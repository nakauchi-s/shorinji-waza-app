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a8f0902f6b5ae388/ドキュメント/少林寺拳法/抽出アプリ/"/>
    </mc:Choice>
  </mc:AlternateContent>
  <xr:revisionPtr revIDLastSave="7079" documentId="8_{D8A4BDA5-6FEA-4B60-B7CA-9CC8089A254A}" xr6:coauthVersionLast="47" xr6:coauthVersionMax="47" xr10:uidLastSave="{2A35C684-2F50-4199-85D9-6AB69163382F}"/>
  <bookViews>
    <workbookView xWindow="30150" yWindow="1350" windowWidth="26190" windowHeight="12960" tabRatio="895" activeTab="1" xr2:uid="{A256BE3A-76C0-4C08-8170-C7C8C35CFE10}"/>
  </bookViews>
  <sheets>
    <sheet name="拳系マスタ" sheetId="24" r:id="rId1"/>
    <sheet name="階級マスタ" sheetId="23" r:id="rId2"/>
    <sheet name="分類マスタ" sheetId="25" r:id="rId3"/>
    <sheet name="技リスト" sheetId="22" r:id="rId4"/>
    <sheet name="特昇対策" sheetId="17" r:id="rId5"/>
    <sheet name="剛法" sheetId="21" r:id="rId6"/>
    <sheet name="柔法" sheetId="19" r:id="rId7"/>
    <sheet name="階級別まとめ" sheetId="16" r:id="rId8"/>
    <sheet name="まとめ" sheetId="13" r:id="rId9"/>
    <sheet name="仁王拳" sheetId="1" r:id="rId10"/>
    <sheet name="三合拳～地王拳" sheetId="12" r:id="rId11"/>
    <sheet name="三合拳" sheetId="2" r:id="rId12"/>
    <sheet name="天王拳" sheetId="3" r:id="rId13"/>
    <sheet name="白蓮拳" sheetId="4" r:id="rId14"/>
    <sheet name="地王拳" sheetId="5" r:id="rId15"/>
    <sheet name="鶴立拳" sheetId="6" r:id="rId16"/>
    <sheet name="龍王拳" sheetId="7" r:id="rId17"/>
    <sheet name="龍華拳" sheetId="8" r:id="rId18"/>
    <sheet name="五花拳" sheetId="9" r:id="rId19"/>
    <sheet name="金剛拳" sheetId="10" r:id="rId20"/>
    <sheet name="羅漢拳" sheetId="11" r:id="rId21"/>
    <sheet name="不安リスト３" sheetId="20" r:id="rId22"/>
    <sheet name="不安リスト２" sheetId="18" r:id="rId23"/>
    <sheet name="不安リスト" sheetId="14" r:id="rId24"/>
  </sheets>
  <definedNames>
    <definedName name="_xlnm._FilterDatabase" localSheetId="3" hidden="1">技リスト!$C$1:$O$267</definedName>
    <definedName name="_xlnm._FilterDatabase" localSheetId="19" hidden="1">金剛拳!$A$1:$H$31</definedName>
    <definedName name="_xlnm._FilterDatabase" localSheetId="18" hidden="1">五花拳!$A$1:$H$27</definedName>
    <definedName name="_xlnm._FilterDatabase" localSheetId="5" hidden="1">剛法!$A$1:$H$74</definedName>
    <definedName name="_xlnm._FilterDatabase" localSheetId="11" hidden="1">三合拳!$A$1:$H$10</definedName>
    <definedName name="_xlnm._FilterDatabase" localSheetId="6" hidden="1">柔法!$A$2:$S$52</definedName>
    <definedName name="_xlnm._FilterDatabase" localSheetId="9" hidden="1">仁王拳!$A$1:$H$37</definedName>
    <definedName name="_xlnm._FilterDatabase" localSheetId="14" hidden="1">地王拳!$A$1:$H$7</definedName>
    <definedName name="_xlnm._FilterDatabase" localSheetId="15" hidden="1">鶴立拳!$A$1:$H$6</definedName>
    <definedName name="_xlnm._FilterDatabase" localSheetId="12" hidden="1">天王拳!$A$1:$H$10</definedName>
    <definedName name="_xlnm._FilterDatabase" localSheetId="13" hidden="1">白蓮拳!$A$1:$H$7</definedName>
    <definedName name="_xlnm._FilterDatabase" localSheetId="20" hidden="1">羅漢拳!$A$1:$H$49</definedName>
    <definedName name="_xlnm._FilterDatabase" localSheetId="16" hidden="1">龍王拳!$A$1:$H$35</definedName>
    <definedName name="_xlnm._FilterDatabase" localSheetId="17" hidden="1">龍華拳!$A$1:$H$62</definedName>
    <definedName name="_xlnm.Print_Area" localSheetId="8">まとめ!$A$1:$AF$180</definedName>
    <definedName name="_xlnm.Print_Area" localSheetId="7">階級別まとめ!$A$1:$AD$89</definedName>
    <definedName name="_xlnm.Print_Area" localSheetId="10">'三合拳～地王拳'!$A$1:$H$38</definedName>
    <definedName name="_xlnm.Print_Area" localSheetId="4">特昇対策!$A$1:$I$213</definedName>
    <definedName name="_xlnm.Print_Area" localSheetId="23">不安リスト!$A$1:$G$53</definedName>
    <definedName name="_xlnm.Print_Titles" localSheetId="8">まとめ!$1:$1</definedName>
    <definedName name="_xlnm.Print_Titles" localSheetId="7">階級別まとめ!$1:$1</definedName>
    <definedName name="_xlnm.Print_Titles" localSheetId="5">剛法!$1:$1</definedName>
    <definedName name="_xlnm.Print_Titles" localSheetId="20">羅漢拳!$1:$1</definedName>
    <definedName name="_xlnm.Print_Titles" localSheetId="17">龍華拳!$1:$1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2" l="1"/>
  <c r="I4" i="22"/>
  <c r="I5" i="22"/>
  <c r="I6" i="22"/>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108" i="22"/>
  <c r="I109" i="22"/>
  <c r="I110" i="22"/>
  <c r="I111" i="22"/>
  <c r="I112" i="22"/>
  <c r="I113" i="22"/>
  <c r="I114" i="22"/>
  <c r="I115" i="22"/>
  <c r="I116" i="22"/>
  <c r="I117" i="22"/>
  <c r="I118" i="22"/>
  <c r="I119" i="22"/>
  <c r="I120" i="22"/>
  <c r="I121" i="22"/>
  <c r="I122" i="22"/>
  <c r="I123" i="22"/>
  <c r="I124" i="22"/>
  <c r="I125" i="22"/>
  <c r="I126" i="22"/>
  <c r="I127" i="22"/>
  <c r="I128" i="22"/>
  <c r="I129" i="22"/>
  <c r="I130" i="22"/>
  <c r="I131" i="22"/>
  <c r="I132" i="22"/>
  <c r="I133" i="22"/>
  <c r="I134" i="22"/>
  <c r="I135" i="22"/>
  <c r="I136" i="22"/>
  <c r="I137" i="22"/>
  <c r="I138" i="22"/>
  <c r="I139" i="22"/>
  <c r="I140" i="22"/>
  <c r="I141" i="22"/>
  <c r="I142" i="22"/>
  <c r="I143" i="22"/>
  <c r="I144" i="22"/>
  <c r="I145" i="22"/>
  <c r="I146" i="22"/>
  <c r="I147" i="22"/>
  <c r="I148" i="22"/>
  <c r="I149" i="22"/>
  <c r="I150" i="22"/>
  <c r="I151" i="22"/>
  <c r="I152" i="22"/>
  <c r="I153" i="22"/>
  <c r="I154" i="22"/>
  <c r="I155" i="22"/>
  <c r="I156" i="22"/>
  <c r="I157" i="22"/>
  <c r="I158" i="22"/>
  <c r="I159" i="22"/>
  <c r="I160" i="22"/>
  <c r="I161" i="22"/>
  <c r="I162" i="22"/>
  <c r="I163" i="22"/>
  <c r="I164" i="22"/>
  <c r="I165" i="22"/>
  <c r="I166" i="22"/>
  <c r="I167" i="22"/>
  <c r="I168" i="22"/>
  <c r="I169" i="22"/>
  <c r="I170" i="22"/>
  <c r="I171" i="22"/>
  <c r="I172" i="22"/>
  <c r="I173" i="22"/>
  <c r="I174" i="22"/>
  <c r="I175" i="22"/>
  <c r="I176" i="22"/>
  <c r="I177" i="22"/>
  <c r="I178" i="22"/>
  <c r="I179" i="22"/>
  <c r="I180" i="22"/>
  <c r="I181" i="22"/>
  <c r="I182" i="22"/>
  <c r="I183" i="22"/>
  <c r="I184" i="22"/>
  <c r="I185" i="22"/>
  <c r="I186" i="22"/>
  <c r="I187" i="22"/>
  <c r="I188" i="22"/>
  <c r="I189" i="22"/>
  <c r="I190" i="22"/>
  <c r="I191" i="22"/>
  <c r="I192" i="22"/>
  <c r="I193" i="22"/>
  <c r="I194" i="22"/>
  <c r="I195" i="22"/>
  <c r="I196" i="22"/>
  <c r="I197" i="22"/>
  <c r="I198" i="22"/>
  <c r="I199" i="22"/>
  <c r="I200" i="22"/>
  <c r="I201" i="22"/>
  <c r="I202" i="22"/>
  <c r="I203" i="22"/>
  <c r="I204" i="22"/>
  <c r="I205" i="22"/>
  <c r="I206" i="22"/>
  <c r="I207" i="22"/>
  <c r="I208" i="22"/>
  <c r="I209" i="22"/>
  <c r="I210" i="22"/>
  <c r="I211" i="22"/>
  <c r="I212" i="22"/>
  <c r="I213" i="22"/>
  <c r="I214" i="22"/>
  <c r="I215" i="22"/>
  <c r="I216" i="22"/>
  <c r="I217" i="22"/>
  <c r="I218" i="22"/>
  <c r="I219" i="22"/>
  <c r="I220" i="22"/>
  <c r="I221" i="22"/>
  <c r="I222" i="22"/>
  <c r="I223" i="22"/>
  <c r="I224" i="22"/>
  <c r="I225" i="22"/>
  <c r="I226" i="22"/>
  <c r="I227" i="22"/>
  <c r="I228" i="22"/>
  <c r="I229" i="22"/>
  <c r="I230" i="22"/>
  <c r="I231" i="22"/>
  <c r="I232" i="22"/>
  <c r="I233" i="22"/>
  <c r="I234" i="22"/>
  <c r="I235" i="22"/>
  <c r="I236" i="22"/>
  <c r="I237" i="22"/>
  <c r="I238" i="22"/>
  <c r="I239" i="22"/>
  <c r="I240" i="22"/>
  <c r="I241" i="22"/>
  <c r="I242" i="22"/>
  <c r="I243" i="22"/>
  <c r="I244" i="22"/>
  <c r="I245" i="22"/>
  <c r="I246" i="22"/>
  <c r="I247" i="22"/>
  <c r="I248" i="22"/>
  <c r="I249" i="22"/>
  <c r="I250" i="22"/>
  <c r="I251" i="22"/>
  <c r="I252" i="22"/>
  <c r="I253" i="22"/>
  <c r="I254" i="22"/>
  <c r="I255" i="22"/>
  <c r="I256" i="22"/>
  <c r="I257" i="22"/>
  <c r="I258" i="22"/>
  <c r="I259" i="22"/>
  <c r="I260" i="22"/>
  <c r="I261" i="22"/>
  <c r="I262" i="22"/>
  <c r="I263" i="22"/>
  <c r="I264" i="22"/>
  <c r="I265" i="22"/>
  <c r="I266" i="22"/>
  <c r="I267" i="22"/>
  <c r="I2" i="22"/>
  <c r="G79" i="22"/>
  <c r="G80" i="22"/>
  <c r="G81" i="22"/>
  <c r="G82" i="22"/>
  <c r="G83" i="22"/>
  <c r="G84" i="22"/>
  <c r="G85" i="22"/>
  <c r="G86" i="22"/>
  <c r="G87" i="22"/>
  <c r="G88" i="22"/>
  <c r="G89" i="22"/>
  <c r="G90" i="22"/>
  <c r="G91" i="22"/>
  <c r="G92" i="22"/>
  <c r="G93" i="22"/>
  <c r="G94" i="22"/>
  <c r="G95" i="22"/>
  <c r="G96" i="22"/>
  <c r="G97" i="22"/>
  <c r="G98" i="22"/>
  <c r="G99" i="22"/>
  <c r="G100" i="22"/>
  <c r="G101" i="22"/>
  <c r="G102" i="22"/>
  <c r="G103" i="22"/>
  <c r="G104" i="22"/>
  <c r="G105" i="22"/>
  <c r="G106" i="22"/>
  <c r="G107" i="22"/>
  <c r="G108" i="22"/>
  <c r="G109" i="22"/>
  <c r="G110" i="22"/>
  <c r="G111" i="22"/>
  <c r="G112" i="22"/>
  <c r="G113" i="22"/>
  <c r="G114" i="22"/>
  <c r="G115" i="22"/>
  <c r="G116" i="22"/>
  <c r="G117" i="22"/>
  <c r="G118" i="22"/>
  <c r="G119" i="22"/>
  <c r="G120" i="22"/>
  <c r="G121" i="22"/>
  <c r="G122" i="22"/>
  <c r="G123" i="22"/>
  <c r="G124" i="22"/>
  <c r="G125" i="22"/>
  <c r="G126" i="22"/>
  <c r="G127" i="22"/>
  <c r="G128" i="22"/>
  <c r="G129" i="22"/>
  <c r="G130" i="22"/>
  <c r="G131" i="22"/>
  <c r="G132" i="22"/>
  <c r="G133" i="22"/>
  <c r="G134" i="22"/>
  <c r="G135" i="22"/>
  <c r="G136" i="22"/>
  <c r="G137" i="22"/>
  <c r="G138" i="22"/>
  <c r="G139" i="22"/>
  <c r="G140" i="22"/>
  <c r="G141" i="22"/>
  <c r="G142" i="22"/>
  <c r="G143" i="22"/>
  <c r="G144" i="22"/>
  <c r="G145" i="22"/>
  <c r="G146" i="22"/>
  <c r="G147" i="22"/>
  <c r="G148" i="22"/>
  <c r="G149" i="22"/>
  <c r="G150" i="22"/>
  <c r="G151" i="22"/>
  <c r="G152" i="22"/>
  <c r="G153" i="22"/>
  <c r="G154" i="22"/>
  <c r="G155" i="22"/>
  <c r="G156" i="22"/>
  <c r="G157" i="22"/>
  <c r="G158" i="22"/>
  <c r="G159" i="22"/>
  <c r="G160" i="22"/>
  <c r="G161" i="22"/>
  <c r="G162" i="22"/>
  <c r="G163" i="22"/>
  <c r="G164" i="22"/>
  <c r="G165"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G217" i="22"/>
  <c r="G218" i="22"/>
  <c r="G219" i="22"/>
  <c r="G220" i="22"/>
  <c r="G221" i="22"/>
  <c r="G222" i="22"/>
  <c r="G223" i="22"/>
  <c r="G224" i="22"/>
  <c r="G225" i="22"/>
  <c r="G226" i="22"/>
  <c r="G227" i="22"/>
  <c r="G228" i="22"/>
  <c r="G229" i="22"/>
  <c r="G230" i="22"/>
  <c r="G231" i="22"/>
  <c r="G232" i="22"/>
  <c r="G233" i="22"/>
  <c r="G234" i="22"/>
  <c r="G235" i="22"/>
  <c r="G236" i="22"/>
  <c r="G237" i="22"/>
  <c r="G238" i="22"/>
  <c r="G239" i="22"/>
  <c r="G240" i="22"/>
  <c r="G241" i="22"/>
  <c r="G242" i="22"/>
  <c r="G243" i="22"/>
  <c r="G244" i="22"/>
  <c r="G245" i="22"/>
  <c r="G246" i="22"/>
  <c r="G247" i="22"/>
  <c r="G248" i="22"/>
  <c r="G249" i="22"/>
  <c r="G250" i="22"/>
  <c r="G251" i="22"/>
  <c r="G252" i="22"/>
  <c r="G253" i="22"/>
  <c r="G254" i="22"/>
  <c r="G255" i="22"/>
  <c r="G256" i="22"/>
  <c r="G257" i="22"/>
  <c r="G258" i="22"/>
  <c r="G259" i="22"/>
  <c r="G260" i="22"/>
  <c r="G261" i="22"/>
  <c r="G262" i="22"/>
  <c r="G263" i="22"/>
  <c r="G264" i="22"/>
  <c r="G265" i="22"/>
  <c r="G266" i="22"/>
  <c r="G267"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G37" i="22"/>
  <c r="G38" i="22"/>
  <c r="G39" i="22"/>
  <c r="G40" i="22"/>
  <c r="G41" i="22"/>
  <c r="G42" i="22"/>
  <c r="G43" i="22"/>
  <c r="G44" i="22"/>
  <c r="G45" i="22"/>
  <c r="G46" i="22"/>
  <c r="G47" i="22"/>
  <c r="G48" i="22"/>
  <c r="G49" i="22"/>
  <c r="G50" i="22"/>
  <c r="G51" i="22"/>
  <c r="G52" i="22"/>
  <c r="G53" i="22"/>
  <c r="G54" i="22"/>
  <c r="G55" i="22"/>
  <c r="G56" i="22"/>
  <c r="G57" i="22"/>
  <c r="G58" i="22"/>
  <c r="G59" i="22"/>
  <c r="G60" i="22"/>
  <c r="G61" i="22"/>
  <c r="G62" i="22"/>
  <c r="G63" i="22"/>
  <c r="G64" i="22"/>
  <c r="G65" i="22"/>
  <c r="G66" i="22"/>
  <c r="G67" i="22"/>
  <c r="G68" i="22"/>
  <c r="G69" i="22"/>
  <c r="G70" i="22"/>
  <c r="G71" i="22"/>
  <c r="G72" i="22"/>
  <c r="G73" i="22"/>
  <c r="G74" i="22"/>
  <c r="G75" i="22"/>
  <c r="G76" i="22"/>
  <c r="G77" i="22"/>
  <c r="G78" i="22"/>
  <c r="G3" i="22"/>
  <c r="G4" i="22"/>
  <c r="G5" i="22"/>
  <c r="G6" i="22"/>
  <c r="G7" i="22"/>
  <c r="G8" i="22"/>
  <c r="G2" i="22"/>
  <c r="C3" i="22"/>
  <c r="C4" i="22"/>
  <c r="C5" i="22"/>
  <c r="C6" i="22"/>
  <c r="C7" i="22"/>
  <c r="C8" i="22"/>
  <c r="C9" i="22"/>
  <c r="C10" i="22"/>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 i="22"/>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2"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189" i="17"/>
  <c r="J170" i="17"/>
  <c r="J171" i="17"/>
  <c r="J172" i="17"/>
  <c r="J173" i="17"/>
  <c r="J174" i="17"/>
  <c r="J175" i="17"/>
  <c r="J176" i="17"/>
  <c r="J177" i="17"/>
  <c r="J178" i="17"/>
  <c r="J179" i="17"/>
  <c r="J180" i="17"/>
  <c r="J181" i="17"/>
  <c r="J182" i="17"/>
  <c r="J183" i="17"/>
  <c r="J184" i="17"/>
  <c r="J185" i="17"/>
  <c r="J186" i="17"/>
  <c r="J169" i="17"/>
  <c r="J152" i="17"/>
  <c r="J153" i="17"/>
  <c r="J154" i="17"/>
  <c r="J155" i="17"/>
  <c r="J156" i="17"/>
  <c r="J157" i="17"/>
  <c r="J158" i="17"/>
  <c r="J159" i="17"/>
  <c r="J160" i="17"/>
  <c r="J161" i="17"/>
  <c r="J162" i="17"/>
  <c r="J163" i="17"/>
  <c r="J164" i="17"/>
  <c r="J165" i="17"/>
  <c r="J166" i="17"/>
  <c r="J151"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95"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59" i="17"/>
  <c r="O3" i="19"/>
  <c r="O4" i="19"/>
  <c r="O5" i="19"/>
  <c r="O6" i="19"/>
  <c r="O7" i="19"/>
  <c r="O8" i="19"/>
  <c r="O9" i="19"/>
  <c r="O10" i="19"/>
  <c r="O11" i="19"/>
  <c r="O12" i="19"/>
  <c r="O13" i="19"/>
  <c r="O14" i="19"/>
  <c r="O15" i="19"/>
  <c r="O16" i="19"/>
  <c r="O17" i="19"/>
  <c r="O18" i="19"/>
  <c r="O19" i="19"/>
  <c r="O20" i="19"/>
  <c r="O21" i="19"/>
  <c r="O22" i="19"/>
  <c r="O23" i="19"/>
  <c r="O24" i="19"/>
  <c r="O25"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A23" i="18"/>
  <c r="A24" i="18"/>
  <c r="A25" i="18"/>
  <c r="A26" i="18"/>
  <c r="A27" i="18"/>
  <c r="A22" i="18"/>
  <c r="A20" i="18"/>
  <c r="A18" i="18"/>
  <c r="A15" i="18"/>
  <c r="A16" i="18"/>
  <c r="A14" i="18"/>
  <c r="A11" i="18"/>
  <c r="A12" i="18"/>
  <c r="A9" i="18"/>
  <c r="A10" i="18"/>
  <c r="A6" i="18"/>
  <c r="A7" i="18"/>
  <c r="A8" i="18"/>
  <c r="A5" i="18"/>
  <c r="A3" i="18"/>
  <c r="A4" i="18"/>
  <c r="A2" i="18"/>
  <c r="A1" i="17"/>
  <c r="A13" i="17"/>
  <c r="A24" i="17"/>
  <c r="A35" i="17"/>
  <c r="A43" i="17"/>
  <c r="A51" i="17"/>
  <c r="A188" i="17"/>
  <c r="A168" i="17"/>
  <c r="A150" i="17"/>
  <c r="A94" i="17"/>
  <c r="A58"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59" i="17"/>
  <c r="B53" i="17"/>
  <c r="B54" i="17"/>
  <c r="B55" i="17"/>
  <c r="B56" i="17"/>
  <c r="B52" i="17"/>
  <c r="B45" i="17"/>
  <c r="B46" i="17"/>
  <c r="B47" i="17"/>
  <c r="B48" i="17"/>
  <c r="B49" i="17"/>
  <c r="B44" i="17"/>
  <c r="B37" i="17"/>
  <c r="B38" i="17"/>
  <c r="B39" i="17"/>
  <c r="B40" i="17"/>
  <c r="B41" i="17"/>
  <c r="B36" i="17"/>
  <c r="B26" i="17"/>
  <c r="B27" i="17"/>
  <c r="B28" i="17"/>
  <c r="B29" i="17"/>
  <c r="B30" i="17"/>
  <c r="B31" i="17"/>
  <c r="B32" i="17"/>
  <c r="B33" i="17"/>
  <c r="B25" i="17"/>
  <c r="B15" i="17"/>
  <c r="B16" i="17"/>
  <c r="B17" i="17"/>
  <c r="B18" i="17"/>
  <c r="B19" i="17"/>
  <c r="B20" i="17"/>
  <c r="B21" i="17"/>
  <c r="B22" i="17"/>
  <c r="B14" i="17"/>
  <c r="B11" i="17"/>
  <c r="B2" i="17"/>
  <c r="B3" i="17"/>
  <c r="B4" i="17"/>
  <c r="B5" i="17"/>
  <c r="B6" i="17"/>
  <c r="B7" i="17"/>
  <c r="B8" i="17"/>
  <c r="B9" i="17"/>
  <c r="B10" i="17"/>
  <c r="AP12" i="13"/>
  <c r="AP11" i="13"/>
  <c r="AP10" i="13"/>
  <c r="AP9" i="13"/>
  <c r="AP8" i="13"/>
  <c r="AP7" i="13"/>
  <c r="AP6" i="13"/>
  <c r="AP5" i="13"/>
  <c r="AP4" i="13"/>
  <c r="AP3" i="13"/>
  <c r="AP2" i="13"/>
  <c r="A34" i="14"/>
  <c r="A3" i="14"/>
  <c r="A4" i="14"/>
  <c r="A5" i="14"/>
  <c r="A6" i="14"/>
  <c r="A7" i="14"/>
  <c r="A12" i="14"/>
  <c r="A13" i="14"/>
  <c r="A14" i="14"/>
  <c r="A15" i="14"/>
  <c r="A16" i="14"/>
  <c r="A17" i="14"/>
  <c r="A18" i="14"/>
  <c r="A19" i="14"/>
  <c r="A20" i="14"/>
  <c r="A8" i="14"/>
  <c r="A9" i="14"/>
  <c r="A10" i="14"/>
  <c r="A11" i="14"/>
  <c r="A21" i="14"/>
  <c r="A22" i="14"/>
  <c r="A23" i="14"/>
  <c r="A24" i="14"/>
  <c r="A25" i="14"/>
  <c r="A26" i="14"/>
  <c r="A27" i="14"/>
  <c r="A28" i="14"/>
  <c r="A29" i="14"/>
  <c r="A30" i="14"/>
  <c r="A31" i="14"/>
  <c r="A32" i="14"/>
  <c r="A33" i="14"/>
  <c r="A35" i="14"/>
  <c r="A51" i="14"/>
  <c r="A52" i="14"/>
  <c r="A53" i="14"/>
  <c r="A38" i="14"/>
  <c r="A40" i="14"/>
  <c r="A41" i="14"/>
  <c r="A39" i="14"/>
  <c r="A42" i="14"/>
  <c r="A43" i="14"/>
  <c r="A44" i="14"/>
  <c r="A45" i="14"/>
  <c r="A46" i="14"/>
  <c r="A47" i="14"/>
  <c r="A48" i="14"/>
  <c r="A49" i="14"/>
  <c r="A36" i="14"/>
  <c r="A37" i="14"/>
  <c r="A50" i="14"/>
  <c r="A2" i="14"/>
  <c r="AN12" i="13"/>
  <c r="AN11" i="13"/>
  <c r="AN10" i="13"/>
  <c r="AN9" i="13"/>
  <c r="AN8" i="13"/>
  <c r="AN7" i="13"/>
  <c r="AN6" i="13"/>
  <c r="AN5" i="13"/>
  <c r="AN4" i="13"/>
  <c r="AN3" i="13"/>
  <c r="AN2" i="13"/>
  <c r="AK3" i="13"/>
  <c r="AJ3" i="13"/>
  <c r="AI3" i="13"/>
  <c r="AK2" i="13"/>
  <c r="AJ2" i="13"/>
  <c r="AI2" i="13"/>
  <c r="AK1" i="13"/>
  <c r="AJ1" i="13"/>
  <c r="AI1" i="13"/>
  <c r="A14" i="12"/>
  <c r="A15" i="12"/>
  <c r="A16" i="12"/>
  <c r="A17" i="12"/>
  <c r="A18" i="12"/>
  <c r="A19" i="12"/>
  <c r="A20" i="12"/>
  <c r="A21" i="12"/>
  <c r="A13" i="12"/>
  <c r="A10" i="12"/>
  <c r="A9" i="12"/>
  <c r="A8" i="12"/>
  <c r="A7" i="12"/>
  <c r="A6" i="12"/>
  <c r="A5" i="12"/>
  <c r="A4" i="12"/>
  <c r="A3" i="12"/>
  <c r="A2" i="12"/>
  <c r="A33" i="12"/>
  <c r="A34" i="12"/>
  <c r="A35" i="12"/>
  <c r="A36" i="12"/>
  <c r="A37" i="12"/>
  <c r="A32" i="12"/>
  <c r="A25" i="12"/>
  <c r="A26" i="12"/>
  <c r="A27" i="12"/>
  <c r="A28" i="12"/>
  <c r="A29" i="12"/>
  <c r="A24" i="12"/>
  <c r="A6" i="10"/>
  <c r="A25" i="1"/>
  <c r="A9" i="11"/>
  <c r="A22" i="11"/>
  <c r="A23" i="11"/>
  <c r="A26" i="11"/>
  <c r="A27" i="11"/>
  <c r="A28" i="11"/>
  <c r="A40" i="11"/>
  <c r="A41" i="11"/>
  <c r="A42" i="11"/>
  <c r="A43" i="11"/>
  <c r="A45" i="11"/>
  <c r="A47" i="11"/>
  <c r="A48" i="11"/>
  <c r="A49" i="11"/>
  <c r="A25" i="11"/>
  <c r="A29" i="11"/>
  <c r="A30" i="11"/>
  <c r="A32" i="11"/>
  <c r="A33" i="11"/>
  <c r="A34" i="11"/>
  <c r="A35" i="11"/>
  <c r="A36" i="11"/>
  <c r="A37" i="11"/>
  <c r="A38" i="11"/>
  <c r="A39" i="11"/>
  <c r="A44" i="11"/>
  <c r="A7" i="10"/>
  <c r="A11" i="10"/>
  <c r="A15" i="10"/>
  <c r="A18" i="10"/>
  <c r="A20" i="10"/>
  <c r="A21" i="10"/>
  <c r="A31" i="10"/>
  <c r="A19" i="9"/>
  <c r="A20" i="9"/>
  <c r="A21" i="9"/>
  <c r="A22" i="9"/>
  <c r="A59" i="8"/>
  <c r="A58" i="8"/>
  <c r="A57" i="8"/>
  <c r="A54" i="8"/>
  <c r="A33" i="8"/>
  <c r="A32" i="8"/>
  <c r="A4" i="8"/>
  <c r="A5" i="8"/>
  <c r="A21" i="8"/>
  <c r="A23" i="8"/>
  <c r="A22" i="8"/>
  <c r="A51" i="8"/>
  <c r="A55" i="8"/>
  <c r="A56" i="8"/>
  <c r="A31" i="8"/>
  <c r="A50" i="8"/>
  <c r="A52" i="8"/>
  <c r="A53" i="8"/>
  <c r="A60" i="8"/>
  <c r="A61" i="8"/>
  <c r="A62" i="8"/>
  <c r="A17" i="8"/>
  <c r="A20" i="8"/>
  <c r="A27" i="8"/>
  <c r="A29" i="8"/>
  <c r="A30" i="8"/>
  <c r="A34" i="8"/>
  <c r="A35" i="8"/>
  <c r="A47" i="8"/>
  <c r="A13" i="8"/>
  <c r="A14" i="8"/>
  <c r="A18" i="8"/>
  <c r="A24" i="8"/>
  <c r="A26" i="8"/>
  <c r="A39" i="8"/>
  <c r="A48" i="8"/>
  <c r="A49" i="8"/>
  <c r="A6" i="8"/>
  <c r="A12" i="8"/>
  <c r="A35" i="7"/>
  <c r="A12" i="7"/>
  <c r="A31" i="7"/>
  <c r="A30" i="7"/>
  <c r="A24" i="7"/>
  <c r="A13" i="7"/>
  <c r="A19" i="7"/>
  <c r="A23" i="7"/>
  <c r="A34" i="7"/>
  <c r="A33" i="7"/>
  <c r="A11" i="7"/>
  <c r="A14" i="7"/>
  <c r="A24" i="11"/>
  <c r="A21" i="11"/>
  <c r="A10" i="11"/>
  <c r="A7" i="11"/>
  <c r="A46" i="11"/>
  <c r="A31" i="11"/>
  <c r="A8" i="11"/>
  <c r="A5" i="11"/>
  <c r="A4" i="11"/>
  <c r="A19" i="11"/>
  <c r="A18" i="11"/>
  <c r="A16" i="11"/>
  <c r="A15" i="11"/>
  <c r="A20" i="11"/>
  <c r="A17" i="11"/>
  <c r="A14" i="11"/>
  <c r="A13" i="11"/>
  <c r="A6" i="11"/>
  <c r="A3" i="11"/>
  <c r="A2" i="11"/>
  <c r="A12" i="11"/>
  <c r="A11" i="11"/>
  <c r="A28" i="10"/>
  <c r="A17" i="10"/>
  <c r="A9" i="10"/>
  <c r="A29" i="10"/>
  <c r="A27" i="10"/>
  <c r="A26" i="10"/>
  <c r="A24" i="10"/>
  <c r="A23" i="10"/>
  <c r="A19" i="10"/>
  <c r="A14" i="10"/>
  <c r="A13" i="10"/>
  <c r="A5" i="10"/>
  <c r="A16" i="10"/>
  <c r="A30" i="10"/>
  <c r="A10" i="10"/>
  <c r="A4" i="10"/>
  <c r="A25" i="10"/>
  <c r="A22" i="10"/>
  <c r="A12" i="10"/>
  <c r="A3" i="10"/>
  <c r="A8" i="10"/>
  <c r="A2" i="10"/>
  <c r="A18" i="9"/>
  <c r="A16" i="9"/>
  <c r="A15" i="9"/>
  <c r="A14" i="9"/>
  <c r="A13" i="9"/>
  <c r="A25" i="9"/>
  <c r="A17" i="9"/>
  <c r="A12" i="9"/>
  <c r="A6" i="9"/>
  <c r="A5" i="9"/>
  <c r="A27" i="9"/>
  <c r="A11" i="9"/>
  <c r="A10" i="9"/>
  <c r="A9" i="9"/>
  <c r="A8" i="9"/>
  <c r="A7" i="9"/>
  <c r="A4" i="9"/>
  <c r="A26" i="9"/>
  <c r="A24" i="9"/>
  <c r="A3" i="9"/>
  <c r="A2" i="9"/>
  <c r="A23" i="9"/>
  <c r="A10" i="8"/>
  <c r="A7" i="8"/>
  <c r="A3" i="8"/>
  <c r="A38" i="8"/>
  <c r="A37" i="8"/>
  <c r="A36" i="8"/>
  <c r="A43" i="8"/>
  <c r="A9" i="8"/>
  <c r="A8" i="8"/>
  <c r="A46" i="8"/>
  <c r="A45" i="8"/>
  <c r="A44" i="8"/>
  <c r="A41" i="8"/>
  <c r="A42" i="8"/>
  <c r="A28" i="8"/>
  <c r="A19" i="8"/>
  <c r="A16" i="8"/>
  <c r="A40" i="8"/>
  <c r="A11" i="8"/>
  <c r="A25" i="8"/>
  <c r="A15" i="8"/>
  <c r="A2" i="8"/>
  <c r="A27" i="7"/>
  <c r="A8" i="7"/>
  <c r="A15" i="7"/>
  <c r="A16" i="7"/>
  <c r="A4" i="7"/>
  <c r="A5" i="7"/>
  <c r="A9" i="7"/>
  <c r="A17" i="7"/>
  <c r="A21" i="7"/>
  <c r="A22" i="7"/>
  <c r="A29" i="7"/>
  <c r="A28" i="7"/>
  <c r="A32" i="7"/>
  <c r="A18" i="7"/>
  <c r="A20" i="7"/>
  <c r="A25" i="7"/>
  <c r="A26" i="7"/>
  <c r="A7" i="7"/>
  <c r="A6" i="7"/>
  <c r="A10" i="7"/>
  <c r="A3" i="7"/>
  <c r="A2" i="7"/>
  <c r="A6" i="6"/>
  <c r="A5" i="6"/>
  <c r="A4" i="6"/>
  <c r="A3" i="6"/>
  <c r="A2" i="6"/>
  <c r="A4" i="5"/>
  <c r="A7" i="5"/>
  <c r="A6" i="5"/>
  <c r="A5" i="5"/>
  <c r="A3" i="5"/>
  <c r="A2" i="5"/>
  <c r="A7" i="4"/>
  <c r="A6" i="4"/>
  <c r="A4" i="4"/>
  <c r="A5" i="4"/>
  <c r="A3" i="4"/>
  <c r="A2" i="4"/>
  <c r="A3" i="3"/>
  <c r="A10" i="3"/>
  <c r="A4" i="3"/>
  <c r="A8" i="3"/>
  <c r="A7" i="3"/>
  <c r="A6" i="3"/>
  <c r="A5" i="3"/>
  <c r="A9" i="3"/>
  <c r="A2" i="3"/>
  <c r="A4" i="2"/>
  <c r="A7" i="2"/>
  <c r="A3" i="2"/>
  <c r="A2" i="2"/>
  <c r="A9" i="2"/>
  <c r="A8" i="2"/>
  <c r="A10" i="2"/>
  <c r="A6" i="2"/>
  <c r="A5" i="2"/>
  <c r="A4" i="1"/>
  <c r="A5" i="1"/>
  <c r="A13" i="1"/>
  <c r="A26" i="1"/>
  <c r="A2" i="1"/>
  <c r="A6" i="1"/>
  <c r="A7" i="1"/>
  <c r="A8" i="1"/>
  <c r="A9" i="1"/>
  <c r="A10" i="1"/>
  <c r="A11" i="1"/>
  <c r="A16" i="1"/>
  <c r="A17" i="1"/>
  <c r="A18" i="1"/>
  <c r="A19" i="1"/>
  <c r="A14" i="1"/>
  <c r="A15" i="1"/>
  <c r="A20" i="1"/>
  <c r="A22" i="1"/>
  <c r="A12" i="1"/>
  <c r="A27" i="1"/>
  <c r="A28" i="1"/>
  <c r="A29" i="1"/>
  <c r="A21" i="1"/>
  <c r="A23" i="1"/>
  <c r="A30" i="1"/>
  <c r="A24" i="1"/>
  <c r="A31" i="1"/>
  <c r="A32" i="1"/>
  <c r="A33" i="1"/>
  <c r="A34" i="1"/>
  <c r="A35" i="1"/>
  <c r="A36" i="1"/>
  <c r="A37" i="1"/>
  <c r="A3" i="1"/>
  <c r="E1" i="19" l="1"/>
  <c r="J1" i="19"/>
  <c r="O1" i="19"/>
</calcChain>
</file>

<file path=xl/sharedStrings.xml><?xml version="1.0" encoding="utf-8"?>
<sst xmlns="http://schemas.openxmlformats.org/spreadsheetml/2006/main" count="6340" uniqueCount="1498">
  <si>
    <t>仁王拳</t>
    <rPh sb="0" eb="2">
      <t>ニオウ</t>
    </rPh>
    <rPh sb="2" eb="3">
      <t>ケン</t>
    </rPh>
    <phoneticPr fontId="2"/>
  </si>
  <si>
    <t>構/守/攻</t>
    <phoneticPr fontId="2"/>
  </si>
  <si>
    <t>攻撃</t>
    <phoneticPr fontId="2"/>
  </si>
  <si>
    <t>教範</t>
    <rPh sb="0" eb="2">
      <t>キョウハン</t>
    </rPh>
    <phoneticPr fontId="2"/>
  </si>
  <si>
    <t>はじめよう！</t>
    <phoneticPr fontId="2"/>
  </si>
  <si>
    <t>ー愛の価値</t>
    <phoneticPr fontId="2"/>
  </si>
  <si>
    <t>流水蹴(前)</t>
    <rPh sb="0" eb="3">
      <t>リュウスイケ</t>
    </rPh>
    <rPh sb="4" eb="5">
      <t>マエ</t>
    </rPh>
    <phoneticPr fontId="2"/>
  </si>
  <si>
    <t>⑤</t>
    <phoneticPr fontId="2"/>
  </si>
  <si>
    <t>流水蹴(後)</t>
    <rPh sb="0" eb="3">
      <t>リュウスイケ</t>
    </rPh>
    <rPh sb="4" eb="5">
      <t>ウシ</t>
    </rPh>
    <phoneticPr fontId="2"/>
  </si>
  <si>
    <t>⑥</t>
    <phoneticPr fontId="2"/>
  </si>
  <si>
    <t>対・開/一/中</t>
    <rPh sb="0" eb="1">
      <t>タイ</t>
    </rPh>
    <rPh sb="2" eb="3">
      <t>ヒラ</t>
    </rPh>
    <rPh sb="4" eb="5">
      <t>イチ</t>
    </rPh>
    <phoneticPr fontId="2"/>
  </si>
  <si>
    <t>上逆</t>
    <rPh sb="0" eb="1">
      <t>ウエ</t>
    </rPh>
    <rPh sb="1" eb="2">
      <t>ギャク</t>
    </rPh>
    <phoneticPr fontId="2"/>
  </si>
  <si>
    <t>上受突(表)</t>
    <rPh sb="0" eb="2">
      <t>ウワウ</t>
    </rPh>
    <rPh sb="2" eb="3">
      <t>トツ</t>
    </rPh>
    <rPh sb="4" eb="5">
      <t>オモテ</t>
    </rPh>
    <phoneticPr fontId="2"/>
  </si>
  <si>
    <t>対/一/中</t>
    <rPh sb="0" eb="1">
      <t>タイ</t>
    </rPh>
    <rPh sb="2" eb="3">
      <t>イチ</t>
    </rPh>
    <phoneticPr fontId="2"/>
  </si>
  <si>
    <t>手打</t>
    <rPh sb="0" eb="1">
      <t>シュ</t>
    </rPh>
    <rPh sb="1" eb="2">
      <t>ウ</t>
    </rPh>
    <phoneticPr fontId="2"/>
  </si>
  <si>
    <t>上受突(裏)</t>
    <rPh sb="0" eb="2">
      <t>ウワウ</t>
    </rPh>
    <rPh sb="2" eb="3">
      <t>トツ</t>
    </rPh>
    <rPh sb="4" eb="5">
      <t>ウラ</t>
    </rPh>
    <phoneticPr fontId="2"/>
  </si>
  <si>
    <t>上受蹴(表)</t>
    <rPh sb="0" eb="2">
      <t>ウワウ</t>
    </rPh>
    <rPh sb="2" eb="3">
      <t>ケ</t>
    </rPh>
    <rPh sb="4" eb="5">
      <t>オモテ</t>
    </rPh>
    <phoneticPr fontId="2"/>
  </si>
  <si>
    <t>上受蹴(裏)</t>
    <rPh sb="0" eb="2">
      <t>ウワウ</t>
    </rPh>
    <rPh sb="2" eb="3">
      <t>ケ</t>
    </rPh>
    <rPh sb="4" eb="5">
      <t>ウラ</t>
    </rPh>
    <phoneticPr fontId="2"/>
  </si>
  <si>
    <t>打上突(表)</t>
    <rPh sb="0" eb="2">
      <t>ウチアゲ</t>
    </rPh>
    <rPh sb="2" eb="3">
      <t>トツ</t>
    </rPh>
    <rPh sb="4" eb="5">
      <t>オモテ</t>
    </rPh>
    <phoneticPr fontId="2"/>
  </si>
  <si>
    <t>④</t>
    <phoneticPr fontId="2"/>
  </si>
  <si>
    <t>開/一/中</t>
    <rPh sb="0" eb="1">
      <t>ヒラ</t>
    </rPh>
    <rPh sb="2" eb="3">
      <t>イチ</t>
    </rPh>
    <phoneticPr fontId="2"/>
  </si>
  <si>
    <t>上直</t>
    <rPh sb="0" eb="1">
      <t>ジョウ</t>
    </rPh>
    <rPh sb="1" eb="2">
      <t>チョク</t>
    </rPh>
    <phoneticPr fontId="2"/>
  </si>
  <si>
    <t>打上突(裏)</t>
    <rPh sb="0" eb="2">
      <t>ウチアゲ</t>
    </rPh>
    <rPh sb="2" eb="3">
      <t>トツ</t>
    </rPh>
    <rPh sb="4" eb="5">
      <t>ウラ</t>
    </rPh>
    <phoneticPr fontId="2"/>
  </si>
  <si>
    <t>打上蹴(表)</t>
    <rPh sb="0" eb="2">
      <t>ウチアゲ</t>
    </rPh>
    <rPh sb="2" eb="3">
      <t>ケ</t>
    </rPh>
    <rPh sb="4" eb="5">
      <t>オモテ</t>
    </rPh>
    <phoneticPr fontId="2"/>
  </si>
  <si>
    <t>打上蹴(裏)</t>
    <rPh sb="0" eb="2">
      <t>ウチアゲ</t>
    </rPh>
    <rPh sb="2" eb="3">
      <t>ケ</t>
    </rPh>
    <rPh sb="4" eb="5">
      <t>ウラ</t>
    </rPh>
    <phoneticPr fontId="2"/>
  </si>
  <si>
    <t>内受突(表)</t>
    <rPh sb="0" eb="2">
      <t>ウチウ</t>
    </rPh>
    <rPh sb="2" eb="3">
      <t>トツ</t>
    </rPh>
    <rPh sb="4" eb="5">
      <t>オモテ</t>
    </rPh>
    <phoneticPr fontId="2"/>
  </si>
  <si>
    <t>②</t>
    <phoneticPr fontId="2"/>
  </si>
  <si>
    <t>内受突(裏)</t>
    <rPh sb="0" eb="2">
      <t>ウチウ</t>
    </rPh>
    <rPh sb="2" eb="3">
      <t>トツ</t>
    </rPh>
    <rPh sb="4" eb="5">
      <t>ウラ</t>
    </rPh>
    <phoneticPr fontId="2"/>
  </si>
  <si>
    <t>内受蹴(表)</t>
    <rPh sb="0" eb="2">
      <t>ウチウ</t>
    </rPh>
    <rPh sb="2" eb="3">
      <t>ケ</t>
    </rPh>
    <rPh sb="4" eb="5">
      <t>オモテ</t>
    </rPh>
    <phoneticPr fontId="2"/>
  </si>
  <si>
    <t>③</t>
    <phoneticPr fontId="2"/>
  </si>
  <si>
    <t>内受蹴(裏)</t>
    <rPh sb="0" eb="2">
      <t>ウチウ</t>
    </rPh>
    <rPh sb="2" eb="3">
      <t>ケ</t>
    </rPh>
    <rPh sb="4" eb="5">
      <t>ウラ</t>
    </rPh>
    <phoneticPr fontId="2"/>
  </si>
  <si>
    <t>外受突(表)</t>
    <rPh sb="0" eb="2">
      <t>ソトウ</t>
    </rPh>
    <rPh sb="2" eb="3">
      <t>トツ</t>
    </rPh>
    <rPh sb="4" eb="5">
      <t>オモテ</t>
    </rPh>
    <phoneticPr fontId="2"/>
  </si>
  <si>
    <t>外受突(裏)</t>
    <rPh sb="0" eb="2">
      <t>ソトウ</t>
    </rPh>
    <rPh sb="2" eb="3">
      <t>トツ</t>
    </rPh>
    <rPh sb="4" eb="5">
      <t>ウラ</t>
    </rPh>
    <phoneticPr fontId="2"/>
  </si>
  <si>
    <t>外受蹴(表)</t>
    <rPh sb="0" eb="2">
      <t>ソトウ</t>
    </rPh>
    <rPh sb="2" eb="3">
      <t>シュウ</t>
    </rPh>
    <rPh sb="4" eb="5">
      <t>オモテ</t>
    </rPh>
    <phoneticPr fontId="2"/>
  </si>
  <si>
    <t>外受蹴(裏)</t>
    <rPh sb="0" eb="2">
      <t>ソトウ</t>
    </rPh>
    <rPh sb="2" eb="3">
      <t>シュウ</t>
    </rPh>
    <rPh sb="4" eb="5">
      <t>ウラ</t>
    </rPh>
    <phoneticPr fontId="2"/>
  </si>
  <si>
    <t>外押受突</t>
    <rPh sb="0" eb="3">
      <t>ソトオシウケ</t>
    </rPh>
    <rPh sb="3" eb="4">
      <t>トツ</t>
    </rPh>
    <phoneticPr fontId="2"/>
  </si>
  <si>
    <t>上横振突</t>
    <rPh sb="0" eb="1">
      <t>ジョウ</t>
    </rPh>
    <rPh sb="1" eb="2">
      <t>ヨコ</t>
    </rPh>
    <rPh sb="2" eb="3">
      <t>フ</t>
    </rPh>
    <rPh sb="3" eb="4">
      <t>トツ</t>
    </rPh>
    <phoneticPr fontId="2"/>
  </si>
  <si>
    <t>外押受蹴</t>
    <rPh sb="0" eb="3">
      <t>ソトオシウケ</t>
    </rPh>
    <rPh sb="3" eb="4">
      <t>ケ</t>
    </rPh>
    <phoneticPr fontId="2"/>
  </si>
  <si>
    <t>内押受突</t>
    <rPh sb="0" eb="1">
      <t>ウチ</t>
    </rPh>
    <rPh sb="1" eb="2">
      <t>オシ</t>
    </rPh>
    <rPh sb="2" eb="3">
      <t>ウケ</t>
    </rPh>
    <rPh sb="3" eb="4">
      <t>トツ</t>
    </rPh>
    <phoneticPr fontId="2"/>
  </si>
  <si>
    <t>内押受蹴</t>
    <rPh sb="0" eb="1">
      <t>ウチ</t>
    </rPh>
    <rPh sb="1" eb="2">
      <t>オシ</t>
    </rPh>
    <rPh sb="2" eb="3">
      <t>ウケ</t>
    </rPh>
    <rPh sb="3" eb="4">
      <t>シュウ</t>
    </rPh>
    <phoneticPr fontId="2"/>
  </si>
  <si>
    <t>開身突(表)</t>
    <rPh sb="0" eb="1">
      <t>カイ</t>
    </rPh>
    <rPh sb="1" eb="2">
      <t>シン</t>
    </rPh>
    <rPh sb="2" eb="3">
      <t>トツ</t>
    </rPh>
    <rPh sb="4" eb="5">
      <t>オモテ</t>
    </rPh>
    <phoneticPr fontId="2"/>
  </si>
  <si>
    <t>二</t>
    <rPh sb="0" eb="1">
      <t>ニ</t>
    </rPh>
    <phoneticPr fontId="2"/>
  </si>
  <si>
    <t>開/乱/中</t>
  </si>
  <si>
    <t>上逆</t>
  </si>
  <si>
    <t>開身突(裏)</t>
    <rPh sb="0" eb="1">
      <t>カイ</t>
    </rPh>
    <rPh sb="1" eb="2">
      <t>シン</t>
    </rPh>
    <rPh sb="2" eb="3">
      <t>トツ</t>
    </rPh>
    <rPh sb="4" eb="5">
      <t>ウラ</t>
    </rPh>
    <phoneticPr fontId="2"/>
  </si>
  <si>
    <t>対/乱/中</t>
  </si>
  <si>
    <t>転身蹴</t>
    <rPh sb="0" eb="3">
      <t>テンシンケ</t>
    </rPh>
    <phoneticPr fontId="2"/>
  </si>
  <si>
    <t>屈身突</t>
    <rPh sb="0" eb="2">
      <t>クッシン</t>
    </rPh>
    <rPh sb="2" eb="3">
      <t>ツ</t>
    </rPh>
    <phoneticPr fontId="2"/>
  </si>
  <si>
    <t>屈身蹴</t>
    <rPh sb="0" eb="2">
      <t>クッシン</t>
    </rPh>
    <rPh sb="2" eb="3">
      <t>ケ</t>
    </rPh>
    <phoneticPr fontId="2"/>
  </si>
  <si>
    <t>屈身突蹴</t>
    <rPh sb="0" eb="2">
      <t>クッシン</t>
    </rPh>
    <rPh sb="2" eb="3">
      <t>ツ</t>
    </rPh>
    <rPh sb="3" eb="4">
      <t>ケ</t>
    </rPh>
    <phoneticPr fontId="2"/>
  </si>
  <si>
    <t>半月蹴</t>
    <rPh sb="0" eb="2">
      <t>ハンゲツ</t>
    </rPh>
    <rPh sb="2" eb="3">
      <t>ゲ</t>
    </rPh>
    <phoneticPr fontId="2"/>
  </si>
  <si>
    <t>待ち蹴</t>
    <rPh sb="0" eb="1">
      <t>マ</t>
    </rPh>
    <rPh sb="2" eb="3">
      <t>ケ</t>
    </rPh>
    <phoneticPr fontId="2"/>
  </si>
  <si>
    <t>三</t>
    <rPh sb="0" eb="1">
      <t>サン</t>
    </rPh>
    <phoneticPr fontId="2"/>
  </si>
  <si>
    <t>開/一/中</t>
  </si>
  <si>
    <t xml:space="preserve">上逆	</t>
  </si>
  <si>
    <t>下受突</t>
    <rPh sb="0" eb="3">
      <t>シタウケツ</t>
    </rPh>
    <phoneticPr fontId="2"/>
  </si>
  <si>
    <t>対/八/中</t>
  </si>
  <si>
    <t>中逆</t>
  </si>
  <si>
    <t>下受段突</t>
    <rPh sb="0" eb="1">
      <t>シタ</t>
    </rPh>
    <rPh sb="1" eb="2">
      <t>ウケ</t>
    </rPh>
    <rPh sb="2" eb="3">
      <t>ダン</t>
    </rPh>
    <rPh sb="3" eb="4">
      <t>トツ</t>
    </rPh>
    <phoneticPr fontId="2"/>
  </si>
  <si>
    <t>外受段突</t>
    <rPh sb="0" eb="2">
      <t>ソトウケ</t>
    </rPh>
    <rPh sb="2" eb="3">
      <t>ダン</t>
    </rPh>
    <rPh sb="3" eb="4">
      <t>ツ</t>
    </rPh>
    <phoneticPr fontId="2"/>
  </si>
  <si>
    <t>対/一/中</t>
  </si>
  <si>
    <t>打上段突</t>
    <rPh sb="0" eb="2">
      <t>ウチアゲ</t>
    </rPh>
    <rPh sb="2" eb="3">
      <t>ダン</t>
    </rPh>
    <rPh sb="3" eb="4">
      <t>ツ</t>
    </rPh>
    <phoneticPr fontId="2"/>
  </si>
  <si>
    <r>
      <t>短刀突込み</t>
    </r>
    <r>
      <rPr>
        <sz val="11"/>
        <rFont val="游ゴシック"/>
        <family val="3"/>
        <charset val="128"/>
        <scheme val="minor"/>
      </rPr>
      <t>下受打落蹴</t>
    </r>
    <rPh sb="0" eb="2">
      <t>タントウ</t>
    </rPh>
    <rPh sb="2" eb="3">
      <t>ツ</t>
    </rPh>
    <rPh sb="3" eb="4">
      <t>コミ</t>
    </rPh>
    <rPh sb="5" eb="7">
      <t>シタウケ</t>
    </rPh>
    <rPh sb="7" eb="9">
      <t>ウチオト</t>
    </rPh>
    <rPh sb="9" eb="10">
      <t>ケ</t>
    </rPh>
    <phoneticPr fontId="2"/>
  </si>
  <si>
    <t>突込</t>
  </si>
  <si>
    <t>短刀振上げ流水蹴</t>
    <rPh sb="0" eb="2">
      <t>タントウ</t>
    </rPh>
    <rPh sb="2" eb="4">
      <t>フリア</t>
    </rPh>
    <rPh sb="5" eb="8">
      <t>リュウスイケ</t>
    </rPh>
    <phoneticPr fontId="2"/>
  </si>
  <si>
    <t>振上</t>
  </si>
  <si>
    <t>三合拳</t>
    <rPh sb="0" eb="1">
      <t>ミ</t>
    </rPh>
    <rPh sb="1" eb="2">
      <t>ゴウ</t>
    </rPh>
    <rPh sb="2" eb="3">
      <t>ケン</t>
    </rPh>
    <phoneticPr fontId="2"/>
  </si>
  <si>
    <t>払受蹴</t>
    <rPh sb="0" eb="1">
      <t>ハラ</t>
    </rPh>
    <rPh sb="1" eb="2">
      <t>ウケ</t>
    </rPh>
    <rPh sb="2" eb="3">
      <t>ケ</t>
    </rPh>
    <phoneticPr fontId="2"/>
  </si>
  <si>
    <t>①</t>
    <phoneticPr fontId="2"/>
  </si>
  <si>
    <t>開/一/一</t>
    <rPh sb="0" eb="1">
      <t>ヒラ</t>
    </rPh>
    <rPh sb="2" eb="3">
      <t>イチ</t>
    </rPh>
    <rPh sb="4" eb="5">
      <t>イチ</t>
    </rPh>
    <phoneticPr fontId="2"/>
  </si>
  <si>
    <t>込廻</t>
  </si>
  <si>
    <t>下段返</t>
    <rPh sb="0" eb="2">
      <t>ゲダン</t>
    </rPh>
    <rPh sb="2" eb="3">
      <t>カエ</t>
    </rPh>
    <phoneticPr fontId="2"/>
  </si>
  <si>
    <t>初</t>
    <rPh sb="0" eb="1">
      <t>ハツ</t>
    </rPh>
    <phoneticPr fontId="2"/>
  </si>
  <si>
    <t>中段返</t>
    <rPh sb="0" eb="2">
      <t>チュウダン</t>
    </rPh>
    <rPh sb="2" eb="3">
      <t>カエ</t>
    </rPh>
    <phoneticPr fontId="2"/>
  </si>
  <si>
    <t>開/待/一</t>
  </si>
  <si>
    <t>下受蹴</t>
    <rPh sb="0" eb="1">
      <t>シタ</t>
    </rPh>
    <rPh sb="1" eb="2">
      <t>ウケ</t>
    </rPh>
    <rPh sb="2" eb="3">
      <t>シュウ</t>
    </rPh>
    <phoneticPr fontId="2"/>
  </si>
  <si>
    <t>対/八/中</t>
    <phoneticPr fontId="2"/>
  </si>
  <si>
    <t>中逆</t>
    <rPh sb="0" eb="1">
      <t>チュウ</t>
    </rPh>
    <rPh sb="1" eb="2">
      <t>ギャク</t>
    </rPh>
    <phoneticPr fontId="2"/>
  </si>
  <si>
    <t>下受順蹴</t>
    <rPh sb="0" eb="1">
      <t>シタ</t>
    </rPh>
    <rPh sb="1" eb="2">
      <t>ウケ</t>
    </rPh>
    <rPh sb="2" eb="3">
      <t>ジュン</t>
    </rPh>
    <rPh sb="3" eb="4">
      <t>シュウ</t>
    </rPh>
    <phoneticPr fontId="2"/>
  </si>
  <si>
    <t>中順</t>
    <rPh sb="0" eb="1">
      <t>チュウ</t>
    </rPh>
    <rPh sb="1" eb="2">
      <t>ジュン</t>
    </rPh>
    <phoneticPr fontId="2"/>
  </si>
  <si>
    <t>逆転身蹴</t>
    <rPh sb="0" eb="3">
      <t>ギャクテンシン</t>
    </rPh>
    <rPh sb="3" eb="4">
      <t>ケ</t>
    </rPh>
    <phoneticPr fontId="2"/>
  </si>
  <si>
    <t>替中</t>
    <rPh sb="1" eb="2">
      <t>チュウ</t>
    </rPh>
    <phoneticPr fontId="2"/>
  </si>
  <si>
    <t>半転身蹴</t>
    <rPh sb="0" eb="1">
      <t>ハン</t>
    </rPh>
    <rPh sb="1" eb="3">
      <t>テンシン</t>
    </rPh>
    <rPh sb="3" eb="4">
      <t>ケ</t>
    </rPh>
    <phoneticPr fontId="2"/>
  </si>
  <si>
    <t>開/中/一</t>
    <rPh sb="0" eb="1">
      <t>ヒラ</t>
    </rPh>
    <rPh sb="2" eb="3">
      <t>チュウ</t>
    </rPh>
    <phoneticPr fontId="2"/>
  </si>
  <si>
    <t>横転身蹴</t>
    <rPh sb="0" eb="1">
      <t>ヨコ</t>
    </rPh>
    <rPh sb="1" eb="3">
      <t>テンシン</t>
    </rPh>
    <rPh sb="3" eb="4">
      <t>ケ</t>
    </rPh>
    <phoneticPr fontId="2"/>
  </si>
  <si>
    <t>対/中/一</t>
    <rPh sb="0" eb="1">
      <t>タイ</t>
    </rPh>
    <rPh sb="2" eb="3">
      <t>チュウ</t>
    </rPh>
    <phoneticPr fontId="2"/>
  </si>
  <si>
    <t>十字受蹴</t>
    <rPh sb="0" eb="2">
      <t>ジュウジ</t>
    </rPh>
    <rPh sb="2" eb="3">
      <t>ウケ</t>
    </rPh>
    <rPh sb="3" eb="4">
      <t>シュウ</t>
    </rPh>
    <phoneticPr fontId="2"/>
  </si>
  <si>
    <t>対/一/一</t>
    <rPh sb="0" eb="1">
      <t>タイ</t>
    </rPh>
    <rPh sb="2" eb="3">
      <t>イチ</t>
    </rPh>
    <phoneticPr fontId="2"/>
  </si>
  <si>
    <t>天王拳</t>
    <rPh sb="0" eb="2">
      <t>テンノウ</t>
    </rPh>
    <rPh sb="2" eb="3">
      <t>ケン</t>
    </rPh>
    <phoneticPr fontId="2"/>
  </si>
  <si>
    <t>突天一</t>
    <rPh sb="0" eb="3">
      <t>トツテンイチ</t>
    </rPh>
    <phoneticPr fontId="2"/>
  </si>
  <si>
    <t>上順突・中逆突</t>
    <rPh sb="0" eb="1">
      <t>ジョウ</t>
    </rPh>
    <rPh sb="1" eb="2">
      <t>ジュン</t>
    </rPh>
    <rPh sb="2" eb="3">
      <t>トツ</t>
    </rPh>
    <rPh sb="4" eb="5">
      <t>チュウ</t>
    </rPh>
    <rPh sb="5" eb="6">
      <t>ギャク</t>
    </rPh>
    <phoneticPr fontId="2"/>
  </si>
  <si>
    <t>蹴天一</t>
    <rPh sb="0" eb="1">
      <t>ケ</t>
    </rPh>
    <rPh sb="1" eb="3">
      <t>テンイチ</t>
    </rPh>
    <phoneticPr fontId="2"/>
  </si>
  <si>
    <t>逆天一</t>
    <rPh sb="0" eb="1">
      <t>ギャク</t>
    </rPh>
    <rPh sb="1" eb="3">
      <t>テンイチ</t>
    </rPh>
    <phoneticPr fontId="2"/>
  </si>
  <si>
    <t>振天二</t>
    <rPh sb="0" eb="1">
      <t>フ</t>
    </rPh>
    <rPh sb="1" eb="2">
      <t>テン</t>
    </rPh>
    <rPh sb="2" eb="3">
      <t>ニ</t>
    </rPh>
    <phoneticPr fontId="2"/>
  </si>
  <si>
    <t>開/一/一</t>
    <phoneticPr fontId="2"/>
  </si>
  <si>
    <t>横振・上振</t>
    <rPh sb="0" eb="1">
      <t>ヨコ</t>
    </rPh>
    <rPh sb="1" eb="2">
      <t>フ</t>
    </rPh>
    <rPh sb="3" eb="5">
      <t>ウワフ</t>
    </rPh>
    <phoneticPr fontId="2"/>
  </si>
  <si>
    <t>突天二</t>
    <rPh sb="0" eb="1">
      <t>トツ</t>
    </rPh>
    <rPh sb="1" eb="2">
      <t>テン</t>
    </rPh>
    <rPh sb="2" eb="3">
      <t>ニ</t>
    </rPh>
    <phoneticPr fontId="2"/>
  </si>
  <si>
    <t>開/中/中</t>
    <rPh sb="2" eb="3">
      <t>チュウ</t>
    </rPh>
    <phoneticPr fontId="2"/>
  </si>
  <si>
    <t>蹴天三</t>
    <rPh sb="0" eb="1">
      <t>ケ</t>
    </rPh>
    <rPh sb="1" eb="3">
      <t>テンサン</t>
    </rPh>
    <phoneticPr fontId="2"/>
  </si>
  <si>
    <t>上順突・中逆突・中逆蹴</t>
    <rPh sb="0" eb="1">
      <t>ジョウ</t>
    </rPh>
    <rPh sb="1" eb="2">
      <t>ジュン</t>
    </rPh>
    <rPh sb="4" eb="5">
      <t>チュウ</t>
    </rPh>
    <rPh sb="5" eb="6">
      <t>ギャク</t>
    </rPh>
    <rPh sb="6" eb="7">
      <t>トツ</t>
    </rPh>
    <rPh sb="8" eb="9">
      <t>チュウ</t>
    </rPh>
    <rPh sb="9" eb="10">
      <t>ギャク</t>
    </rPh>
    <rPh sb="10" eb="11">
      <t>ケ</t>
    </rPh>
    <phoneticPr fontId="2"/>
  </si>
  <si>
    <t>突天三</t>
    <rPh sb="0" eb="1">
      <t>ツ</t>
    </rPh>
    <rPh sb="1" eb="3">
      <t>テンサン</t>
    </rPh>
    <phoneticPr fontId="2"/>
  </si>
  <si>
    <t>上順突・中逆突・上順突</t>
    <rPh sb="0" eb="1">
      <t>ジョウ</t>
    </rPh>
    <rPh sb="1" eb="2">
      <t>ジュン</t>
    </rPh>
    <rPh sb="2" eb="3">
      <t>トツ</t>
    </rPh>
    <rPh sb="4" eb="5">
      <t>チュウ</t>
    </rPh>
    <rPh sb="5" eb="6">
      <t>ギャク</t>
    </rPh>
    <phoneticPr fontId="2"/>
  </si>
  <si>
    <t>混天一</t>
    <rPh sb="0" eb="1">
      <t>コ</t>
    </rPh>
    <rPh sb="1" eb="3">
      <t>テンイチ</t>
    </rPh>
    <phoneticPr fontId="2"/>
  </si>
  <si>
    <t>上横振・中逆突</t>
    <rPh sb="0" eb="1">
      <t>ジョウ</t>
    </rPh>
    <rPh sb="1" eb="2">
      <t>ヨコ</t>
    </rPh>
    <rPh sb="2" eb="3">
      <t>フ</t>
    </rPh>
    <rPh sb="4" eb="5">
      <t>チュウ</t>
    </rPh>
    <rPh sb="5" eb="6">
      <t>ギャク</t>
    </rPh>
    <rPh sb="6" eb="7">
      <t>トツ</t>
    </rPh>
    <phoneticPr fontId="2"/>
  </si>
  <si>
    <t>対天一</t>
    <rPh sb="0" eb="1">
      <t>タイ</t>
    </rPh>
    <rPh sb="1" eb="3">
      <t>テンイチ</t>
    </rPh>
    <phoneticPr fontId="2"/>
  </si>
  <si>
    <t>上順</t>
  </si>
  <si>
    <t>白蓮拳</t>
    <rPh sb="0" eb="2">
      <t>ビャクレン</t>
    </rPh>
    <rPh sb="2" eb="3">
      <t>ケン</t>
    </rPh>
    <phoneticPr fontId="2"/>
  </si>
  <si>
    <t>燕返</t>
    <rPh sb="0" eb="1">
      <t>ツバメ</t>
    </rPh>
    <rPh sb="1" eb="2">
      <t>カエ</t>
    </rPh>
    <phoneticPr fontId="2"/>
  </si>
  <si>
    <t>開/待/中</t>
    <rPh sb="2" eb="3">
      <t>タイ</t>
    </rPh>
    <rPh sb="4" eb="5">
      <t>チュウ</t>
    </rPh>
    <phoneticPr fontId="2"/>
  </si>
  <si>
    <t>上直突</t>
    <rPh sb="0" eb="1">
      <t>ジョウ</t>
    </rPh>
    <rPh sb="1" eb="2">
      <t>チョク</t>
    </rPh>
    <rPh sb="2" eb="3">
      <t>トツ</t>
    </rPh>
    <phoneticPr fontId="2"/>
  </si>
  <si>
    <t>千鳥返</t>
    <rPh sb="0" eb="2">
      <t>チドリ</t>
    </rPh>
    <rPh sb="2" eb="3">
      <t>カエ</t>
    </rPh>
    <phoneticPr fontId="2"/>
  </si>
  <si>
    <t>対/待/中</t>
    <phoneticPr fontId="2"/>
  </si>
  <si>
    <t>替上順突</t>
    <rPh sb="0" eb="1">
      <t>カ</t>
    </rPh>
    <rPh sb="1" eb="2">
      <t>ウエ</t>
    </rPh>
    <rPh sb="2" eb="3">
      <t>ジュン</t>
    </rPh>
    <rPh sb="3" eb="4">
      <t>トツ</t>
    </rPh>
    <phoneticPr fontId="2"/>
  </si>
  <si>
    <t>半月返・掬首投</t>
  </si>
  <si>
    <t>上中</t>
  </si>
  <si>
    <t>払受段突</t>
    <rPh sb="0" eb="1">
      <t>ハラ</t>
    </rPh>
    <rPh sb="1" eb="2">
      <t>ウケ</t>
    </rPh>
    <rPh sb="2" eb="4">
      <t>ダンヅ</t>
    </rPh>
    <phoneticPr fontId="2"/>
  </si>
  <si>
    <t>開/一/一</t>
  </si>
  <si>
    <t>水月返</t>
    <rPh sb="0" eb="2">
      <t>スイゲツ</t>
    </rPh>
    <rPh sb="2" eb="3">
      <t>カエ</t>
    </rPh>
    <phoneticPr fontId="2"/>
  </si>
  <si>
    <t>対/待/中</t>
  </si>
  <si>
    <t>三日月返・刈足</t>
  </si>
  <si>
    <t>替上</t>
  </si>
  <si>
    <t>地王拳</t>
    <rPh sb="0" eb="2">
      <t>チオウ</t>
    </rPh>
    <rPh sb="2" eb="3">
      <t>ケン</t>
    </rPh>
    <phoneticPr fontId="2"/>
  </si>
  <si>
    <t>順蹴地一</t>
    <rPh sb="0" eb="2">
      <t>ジュンケ</t>
    </rPh>
    <rPh sb="2" eb="4">
      <t>チイチ</t>
    </rPh>
    <phoneticPr fontId="2"/>
  </si>
  <si>
    <t>対/一/一</t>
  </si>
  <si>
    <t>蛇金</t>
  </si>
  <si>
    <t>逆蹴地一</t>
    <rPh sb="0" eb="2">
      <t>ギャクゲ</t>
    </rPh>
    <rPh sb="2" eb="4">
      <t>チイチ</t>
    </rPh>
    <phoneticPr fontId="2"/>
  </si>
  <si>
    <t>伏虎地二</t>
    <rPh sb="0" eb="2">
      <t>フッコ</t>
    </rPh>
    <rPh sb="2" eb="4">
      <t>チニ</t>
    </rPh>
    <phoneticPr fontId="2"/>
  </si>
  <si>
    <t>・/座/一</t>
  </si>
  <si>
    <t>払受地二</t>
    <rPh sb="0" eb="1">
      <t>ハラ</t>
    </rPh>
    <rPh sb="1" eb="2">
      <t>ウケ</t>
    </rPh>
    <rPh sb="2" eb="4">
      <t>チニ</t>
    </rPh>
    <phoneticPr fontId="2"/>
  </si>
  <si>
    <t>開/結/一</t>
  </si>
  <si>
    <t>順蹴地三</t>
    <rPh sb="0" eb="2">
      <t>ジュンゲ</t>
    </rPh>
    <rPh sb="2" eb="4">
      <t>チサン</t>
    </rPh>
    <phoneticPr fontId="2"/>
  </si>
  <si>
    <t>逆蹴地三</t>
    <rPh sb="0" eb="2">
      <t>ギャクゲ</t>
    </rPh>
    <rPh sb="2" eb="4">
      <t>チサン</t>
    </rPh>
    <phoneticPr fontId="2"/>
  </si>
  <si>
    <t>金的</t>
  </si>
  <si>
    <t>鶴立拳</t>
    <rPh sb="0" eb="3">
      <t>カクリツケン</t>
    </rPh>
    <phoneticPr fontId="2"/>
  </si>
  <si>
    <t>金的蹴膝受波返</t>
    <rPh sb="0" eb="2">
      <t>キンテキ</t>
    </rPh>
    <rPh sb="2" eb="3">
      <t>ケ</t>
    </rPh>
    <rPh sb="3" eb="5">
      <t>ヒザウケ</t>
    </rPh>
    <rPh sb="5" eb="7">
      <t>ナミカエ</t>
    </rPh>
    <phoneticPr fontId="2"/>
  </si>
  <si>
    <t>下金順蹴</t>
    <rPh sb="0" eb="1">
      <t>ゲ</t>
    </rPh>
    <rPh sb="1" eb="2">
      <t>キム</t>
    </rPh>
    <rPh sb="2" eb="3">
      <t>ジュン</t>
    </rPh>
    <rPh sb="3" eb="4">
      <t>シュウ</t>
    </rPh>
    <phoneticPr fontId="2"/>
  </si>
  <si>
    <t>逆蹴膝受波返</t>
    <rPh sb="0" eb="1">
      <t>ギャク</t>
    </rPh>
    <rPh sb="1" eb="2">
      <t>ケ</t>
    </rPh>
    <rPh sb="2" eb="4">
      <t>ヒザウケ</t>
    </rPh>
    <rPh sb="4" eb="6">
      <t>ナミカエ</t>
    </rPh>
    <phoneticPr fontId="2"/>
  </si>
  <si>
    <t>開/一/一</t>
    <rPh sb="0" eb="1">
      <t>ヒラ</t>
    </rPh>
    <phoneticPr fontId="2"/>
  </si>
  <si>
    <t>下金逆蹴</t>
    <rPh sb="0" eb="1">
      <t>ゲ</t>
    </rPh>
    <rPh sb="1" eb="2">
      <t>キム</t>
    </rPh>
    <rPh sb="2" eb="3">
      <t>ギャク</t>
    </rPh>
    <rPh sb="3" eb="4">
      <t>シュウ</t>
    </rPh>
    <phoneticPr fontId="2"/>
  </si>
  <si>
    <t>足刀蹴引足波返</t>
    <rPh sb="0" eb="3">
      <t>ソクトウケ</t>
    </rPh>
    <rPh sb="3" eb="4">
      <t>ヒ</t>
    </rPh>
    <rPh sb="4" eb="5">
      <t>アシ</t>
    </rPh>
    <rPh sb="5" eb="6">
      <t>ナミ</t>
    </rPh>
    <rPh sb="6" eb="7">
      <t>カエ</t>
    </rPh>
    <phoneticPr fontId="2"/>
  </si>
  <si>
    <t>刈足</t>
  </si>
  <si>
    <t>廻蹴三防受波返</t>
    <rPh sb="0" eb="1">
      <t>マワ</t>
    </rPh>
    <rPh sb="1" eb="2">
      <t>ケ</t>
    </rPh>
    <rPh sb="2" eb="3">
      <t>サン</t>
    </rPh>
    <rPh sb="3" eb="4">
      <t>ボウ</t>
    </rPh>
    <rPh sb="4" eb="5">
      <t>ウケ</t>
    </rPh>
    <rPh sb="5" eb="6">
      <t>ナミ</t>
    </rPh>
    <rPh sb="6" eb="7">
      <t>カエ</t>
    </rPh>
    <phoneticPr fontId="2"/>
  </si>
  <si>
    <t>高廻</t>
  </si>
  <si>
    <t>段蹴三防受段蹴返</t>
    <rPh sb="0" eb="2">
      <t>ダンゲ</t>
    </rPh>
    <rPh sb="2" eb="3">
      <t>サン</t>
    </rPh>
    <rPh sb="3" eb="4">
      <t>ボウ</t>
    </rPh>
    <rPh sb="4" eb="5">
      <t>ウケ</t>
    </rPh>
    <rPh sb="5" eb="6">
      <t>ダン</t>
    </rPh>
    <rPh sb="6" eb="7">
      <t>ケ</t>
    </rPh>
    <rPh sb="7" eb="8">
      <t>カエ</t>
    </rPh>
    <phoneticPr fontId="2"/>
  </si>
  <si>
    <t>段蹴</t>
  </si>
  <si>
    <t>龍王拳</t>
    <rPh sb="0" eb="3">
      <t>リュウオウケン</t>
    </rPh>
    <phoneticPr fontId="2"/>
  </si>
  <si>
    <t>小手抜</t>
    <rPh sb="0" eb="3">
      <t>コテヌ</t>
    </rPh>
    <phoneticPr fontId="2"/>
  </si>
  <si>
    <t>➅</t>
    <phoneticPr fontId="2"/>
  </si>
  <si>
    <t>対/中/中</t>
    <phoneticPr fontId="2"/>
  </si>
  <si>
    <t>片手寄抜</t>
    <rPh sb="0" eb="3">
      <t>カタテヨ</t>
    </rPh>
    <rPh sb="3" eb="4">
      <t>ヌ</t>
    </rPh>
    <phoneticPr fontId="2"/>
  </si>
  <si>
    <t>➄</t>
    <phoneticPr fontId="2"/>
  </si>
  <si>
    <t>開/中/中</t>
    <rPh sb="0" eb="1">
      <t>ヒラ</t>
    </rPh>
    <phoneticPr fontId="2"/>
  </si>
  <si>
    <t>両手寄抜</t>
    <rPh sb="0" eb="2">
      <t>リョウテ</t>
    </rPh>
    <rPh sb="2" eb="3">
      <t>ヨ</t>
    </rPh>
    <rPh sb="3" eb="4">
      <t>ヌ</t>
    </rPh>
    <phoneticPr fontId="2"/>
  </si>
  <si>
    <t>➂</t>
    <phoneticPr fontId="2"/>
  </si>
  <si>
    <t>突抜(両手)</t>
    <rPh sb="0" eb="1">
      <t>ツ</t>
    </rPh>
    <rPh sb="1" eb="2">
      <t>ヌ</t>
    </rPh>
    <rPh sb="3" eb="5">
      <t>リョウテ</t>
    </rPh>
    <phoneticPr fontId="2"/>
  </si>
  <si>
    <t>対/中/・</t>
    <phoneticPr fontId="2"/>
  </si>
  <si>
    <t>突抜(外)</t>
    <rPh sb="0" eb="1">
      <t>ツ</t>
    </rPh>
    <rPh sb="1" eb="2">
      <t>ヌ</t>
    </rPh>
    <rPh sb="3" eb="4">
      <t>ソト</t>
    </rPh>
    <phoneticPr fontId="2"/>
  </si>
  <si>
    <t>➃</t>
    <phoneticPr fontId="2"/>
  </si>
  <si>
    <t>開/中/・</t>
    <rPh sb="0" eb="1">
      <t>ヒラ</t>
    </rPh>
    <phoneticPr fontId="2"/>
  </si>
  <si>
    <t>突抜(内)</t>
    <rPh sb="0" eb="1">
      <t>ツ</t>
    </rPh>
    <rPh sb="1" eb="2">
      <t>ヌ</t>
    </rPh>
    <rPh sb="3" eb="4">
      <t>ウチ</t>
    </rPh>
    <phoneticPr fontId="2"/>
  </si>
  <si>
    <t>諸手突抜</t>
    <rPh sb="0" eb="2">
      <t>モロテ</t>
    </rPh>
    <rPh sb="2" eb="4">
      <t>ツキヌ</t>
    </rPh>
    <phoneticPr fontId="2"/>
  </si>
  <si>
    <t>➀</t>
    <phoneticPr fontId="2"/>
  </si>
  <si>
    <t>巻抜(両手)</t>
    <rPh sb="0" eb="1">
      <t>マ</t>
    </rPh>
    <rPh sb="1" eb="2">
      <t>ヌ</t>
    </rPh>
    <rPh sb="3" eb="5">
      <t>リョウテ</t>
    </rPh>
    <phoneticPr fontId="2"/>
  </si>
  <si>
    <t>巻抜(片手)</t>
    <rPh sb="0" eb="1">
      <t>マ</t>
    </rPh>
    <rPh sb="1" eb="2">
      <t>ヌ</t>
    </rPh>
    <rPh sb="3" eb="5">
      <t>カタテ</t>
    </rPh>
    <phoneticPr fontId="2"/>
  </si>
  <si>
    <t>諸手巻抜</t>
    <rPh sb="0" eb="2">
      <t>モロテ</t>
    </rPh>
    <rPh sb="2" eb="4">
      <t>マキヌ</t>
    </rPh>
    <phoneticPr fontId="2"/>
  </si>
  <si>
    <t>上げ抜</t>
    <rPh sb="0" eb="1">
      <t>ア</t>
    </rPh>
    <rPh sb="2" eb="3">
      <t>ヌ</t>
    </rPh>
    <phoneticPr fontId="2"/>
  </si>
  <si>
    <t>・/正/中</t>
    <rPh sb="2" eb="3">
      <t>セイ</t>
    </rPh>
    <rPh sb="4" eb="5">
      <t>チュウ</t>
    </rPh>
    <phoneticPr fontId="2"/>
  </si>
  <si>
    <t>片手押抜</t>
    <rPh sb="0" eb="2">
      <t>カタテ</t>
    </rPh>
    <rPh sb="2" eb="3">
      <t>オ</t>
    </rPh>
    <rPh sb="3" eb="4">
      <t>ヌ</t>
    </rPh>
    <phoneticPr fontId="2"/>
  </si>
  <si>
    <t>開/下/中</t>
    <rPh sb="0" eb="1">
      <t>ヒラ</t>
    </rPh>
    <rPh sb="2" eb="3">
      <t>シタ</t>
    </rPh>
    <phoneticPr fontId="2"/>
  </si>
  <si>
    <t>諸手押抜</t>
    <rPh sb="0" eb="2">
      <t>モロテ</t>
    </rPh>
    <rPh sb="2" eb="4">
      <t>オシヌ</t>
    </rPh>
    <phoneticPr fontId="2"/>
  </si>
  <si>
    <t>切抜(外)</t>
    <rPh sb="0" eb="1">
      <t>キ</t>
    </rPh>
    <rPh sb="1" eb="2">
      <t>ヌ</t>
    </rPh>
    <rPh sb="3" eb="4">
      <t>ソト</t>
    </rPh>
    <phoneticPr fontId="2"/>
  </si>
  <si>
    <t>切抜(内)</t>
    <rPh sb="0" eb="1">
      <t>キ</t>
    </rPh>
    <rPh sb="1" eb="2">
      <t>ヌ</t>
    </rPh>
    <rPh sb="3" eb="4">
      <t>ウチ</t>
    </rPh>
    <phoneticPr fontId="2"/>
  </si>
  <si>
    <t>十字抜(片手)</t>
    <rPh sb="0" eb="3">
      <t>ジュウジヌ</t>
    </rPh>
    <rPh sb="4" eb="6">
      <t>カタテ</t>
    </rPh>
    <phoneticPr fontId="2"/>
  </si>
  <si>
    <t>十字抜(両手)</t>
    <rPh sb="0" eb="3">
      <t>ジュウジヌ</t>
    </rPh>
    <rPh sb="4" eb="6">
      <t>リョウテ</t>
    </rPh>
    <phoneticPr fontId="2"/>
  </si>
  <si>
    <t>➁</t>
    <phoneticPr fontId="2"/>
  </si>
  <si>
    <t>諸手十字抜</t>
    <rPh sb="0" eb="2">
      <t>モロテ</t>
    </rPh>
    <rPh sb="2" eb="4">
      <t>ジュウジ</t>
    </rPh>
    <rPh sb="4" eb="5">
      <t>ヌ</t>
    </rPh>
    <phoneticPr fontId="2"/>
  </si>
  <si>
    <t>合掌抜</t>
    <rPh sb="0" eb="3">
      <t>ガッショウヌ</t>
    </rPh>
    <phoneticPr fontId="2"/>
  </si>
  <si>
    <t>二段抜</t>
    <rPh sb="0" eb="3">
      <t>ニダンヌ</t>
    </rPh>
    <phoneticPr fontId="2"/>
  </si>
  <si>
    <t>肘抜より前天秤</t>
    <rPh sb="0" eb="2">
      <t>ヒジヌ</t>
    </rPh>
    <rPh sb="4" eb="7">
      <t>マエテンビン</t>
    </rPh>
    <phoneticPr fontId="2"/>
  </si>
  <si>
    <t>諸手引抜</t>
    <rPh sb="0" eb="2">
      <t>モロテ</t>
    </rPh>
    <rPh sb="2" eb="4">
      <t>ヒキヌキ</t>
    </rPh>
    <phoneticPr fontId="2"/>
  </si>
  <si>
    <t>諸手輪抜</t>
    <rPh sb="0" eb="2">
      <t>モロテ</t>
    </rPh>
    <rPh sb="2" eb="4">
      <t>ワヌ</t>
    </rPh>
    <phoneticPr fontId="2"/>
  </si>
  <si>
    <t>上膊抜(片手)</t>
    <rPh sb="0" eb="2">
      <t>ジョウハク</t>
    </rPh>
    <rPh sb="2" eb="3">
      <t>ヌ</t>
    </rPh>
    <rPh sb="4" eb="6">
      <t>カタテ</t>
    </rPh>
    <phoneticPr fontId="2"/>
  </si>
  <si>
    <t>・/中/中</t>
    <rPh sb="2" eb="3">
      <t>チュウ</t>
    </rPh>
    <rPh sb="4" eb="5">
      <t>チュウ</t>
    </rPh>
    <phoneticPr fontId="2"/>
  </si>
  <si>
    <t>上膊抜(両手)</t>
    <rPh sb="0" eb="2">
      <t>ジョウハク</t>
    </rPh>
    <rPh sb="2" eb="3">
      <t>ヌ</t>
    </rPh>
    <rPh sb="4" eb="6">
      <t>リョウテ</t>
    </rPh>
    <phoneticPr fontId="2"/>
  </si>
  <si>
    <t>押切抜</t>
    <rPh sb="0" eb="2">
      <t>オシキリ</t>
    </rPh>
    <rPh sb="2" eb="3">
      <t>ヌ</t>
    </rPh>
    <phoneticPr fontId="2"/>
  </si>
  <si>
    <t>切返抜(諸手)</t>
    <rPh sb="0" eb="1">
      <t>キ</t>
    </rPh>
    <rPh sb="1" eb="2">
      <t>カエ</t>
    </rPh>
    <rPh sb="2" eb="3">
      <t>ヌ</t>
    </rPh>
    <rPh sb="4" eb="6">
      <t>モロテ</t>
    </rPh>
    <phoneticPr fontId="2"/>
  </si>
  <si>
    <t>対/下/一</t>
    <rPh sb="2" eb="3">
      <t>ゲ</t>
    </rPh>
    <rPh sb="4" eb="5">
      <t>イチ</t>
    </rPh>
    <phoneticPr fontId="2"/>
  </si>
  <si>
    <t>切返抜(片手)</t>
    <rPh sb="0" eb="1">
      <t>キ</t>
    </rPh>
    <rPh sb="1" eb="2">
      <t>カエ</t>
    </rPh>
    <rPh sb="2" eb="3">
      <t>ヌ</t>
    </rPh>
    <rPh sb="4" eb="6">
      <t>カタテ</t>
    </rPh>
    <phoneticPr fontId="2"/>
  </si>
  <si>
    <t>打抜(片手)</t>
    <rPh sb="0" eb="1">
      <t>ウ</t>
    </rPh>
    <rPh sb="1" eb="2">
      <t>ヌ</t>
    </rPh>
    <rPh sb="3" eb="5">
      <t>カタテ</t>
    </rPh>
    <phoneticPr fontId="2"/>
  </si>
  <si>
    <t>開/中/中</t>
  </si>
  <si>
    <t>外手</t>
  </si>
  <si>
    <t>打抜(両手)</t>
    <rPh sb="0" eb="1">
      <t>ウ</t>
    </rPh>
    <rPh sb="1" eb="2">
      <t>ヌ</t>
    </rPh>
    <rPh sb="3" eb="5">
      <t>リョウテ</t>
    </rPh>
    <phoneticPr fontId="2"/>
  </si>
  <si>
    <t>対/中/中</t>
  </si>
  <si>
    <t>三角抜</t>
    <rPh sb="0" eb="2">
      <t>サンカク</t>
    </rPh>
    <rPh sb="2" eb="3">
      <t>ヌ</t>
    </rPh>
    <phoneticPr fontId="2"/>
  </si>
  <si>
    <t>対/下/中</t>
    <rPh sb="2" eb="3">
      <t>ゲ</t>
    </rPh>
    <phoneticPr fontId="2"/>
  </si>
  <si>
    <t>袖抜</t>
    <rPh sb="0" eb="1">
      <t>ソデ</t>
    </rPh>
    <rPh sb="1" eb="2">
      <t>ヌ</t>
    </rPh>
    <phoneticPr fontId="2"/>
  </si>
  <si>
    <t>・/逆下/一</t>
    <rPh sb="2" eb="3">
      <t>ギャク</t>
    </rPh>
    <rPh sb="3" eb="4">
      <t>ゲ</t>
    </rPh>
    <rPh sb="5" eb="6">
      <t>イチ</t>
    </rPh>
    <phoneticPr fontId="2"/>
  </si>
  <si>
    <t>襟抜</t>
    <rPh sb="0" eb="1">
      <t>エリ</t>
    </rPh>
    <rPh sb="1" eb="2">
      <t>ヌ</t>
    </rPh>
    <phoneticPr fontId="2"/>
  </si>
  <si>
    <t>・/逆下/中</t>
    <rPh sb="2" eb="3">
      <t>ギャク</t>
    </rPh>
    <rPh sb="3" eb="4">
      <t>ゲ</t>
    </rPh>
    <phoneticPr fontId="2"/>
  </si>
  <si>
    <t>足抜(二種)</t>
    <rPh sb="0" eb="2">
      <t>アシヌ</t>
    </rPh>
    <rPh sb="3" eb="5">
      <t>ニシュ</t>
    </rPh>
    <phoneticPr fontId="2"/>
  </si>
  <si>
    <t>四</t>
    <rPh sb="0" eb="1">
      <t>ヨン</t>
    </rPh>
    <phoneticPr fontId="2"/>
  </si>
  <si>
    <t>廻蹴</t>
  </si>
  <si>
    <t>龍華拳</t>
  </si>
  <si>
    <t>逆小手</t>
    <rPh sb="0" eb="3">
      <t>ギャクコテ</t>
    </rPh>
    <phoneticPr fontId="2"/>
  </si>
  <si>
    <t>諸手逆小手</t>
    <rPh sb="0" eb="2">
      <t>モロテ</t>
    </rPh>
    <rPh sb="2" eb="3">
      <t>ギャク</t>
    </rPh>
    <rPh sb="3" eb="5">
      <t>コテ</t>
    </rPh>
    <phoneticPr fontId="2"/>
  </si>
  <si>
    <t>一背</t>
  </si>
  <si>
    <t>合掌逆小手</t>
    <rPh sb="0" eb="2">
      <t>ガッショウ</t>
    </rPh>
    <rPh sb="2" eb="3">
      <t>ギャク</t>
    </rPh>
    <rPh sb="3" eb="5">
      <t>コテ</t>
    </rPh>
    <phoneticPr fontId="2"/>
  </si>
  <si>
    <t>内手</t>
  </si>
  <si>
    <t>逆合掌投(二種)</t>
    <rPh sb="0" eb="1">
      <t>ギャク</t>
    </rPh>
    <rPh sb="1" eb="4">
      <t>ガッショウナ</t>
    </rPh>
    <rPh sb="5" eb="7">
      <t>ニシュ</t>
    </rPh>
    <phoneticPr fontId="2"/>
  </si>
  <si>
    <t>対/開手/中</t>
  </si>
  <si>
    <t>手平</t>
  </si>
  <si>
    <t>握返</t>
    <rPh sb="0" eb="1">
      <t>ニギ</t>
    </rPh>
    <rPh sb="1" eb="2">
      <t>カエ</t>
    </rPh>
    <phoneticPr fontId="2"/>
  </si>
  <si>
    <t>直立/右前</t>
  </si>
  <si>
    <t>握手</t>
  </si>
  <si>
    <t>逆手投</t>
    <rPh sb="0" eb="2">
      <t>ギャクテ</t>
    </rPh>
    <rPh sb="2" eb="3">
      <t>ナ</t>
    </rPh>
    <phoneticPr fontId="2"/>
  </si>
  <si>
    <t>巻小手(片手)</t>
    <rPh sb="0" eb="1">
      <t>マキ</t>
    </rPh>
    <rPh sb="1" eb="3">
      <t>コテ</t>
    </rPh>
    <rPh sb="4" eb="6">
      <t>カタテ</t>
    </rPh>
    <phoneticPr fontId="2"/>
  </si>
  <si>
    <t>巻小手(諸手)</t>
    <rPh sb="0" eb="1">
      <t>マキ</t>
    </rPh>
    <rPh sb="1" eb="3">
      <t>コテ</t>
    </rPh>
    <rPh sb="4" eb="6">
      <t>モロテ</t>
    </rPh>
    <phoneticPr fontId="2"/>
  </si>
  <si>
    <t>下受蹴小手投</t>
    <rPh sb="0" eb="2">
      <t>シタウ</t>
    </rPh>
    <rPh sb="2" eb="3">
      <t>ゲ</t>
    </rPh>
    <rPh sb="3" eb="6">
      <t>コテナ</t>
    </rPh>
    <phoneticPr fontId="2"/>
  </si>
  <si>
    <t>逆小手より裏返投</t>
    <rPh sb="0" eb="1">
      <t>ギャク</t>
    </rPh>
    <rPh sb="1" eb="3">
      <t>コテ</t>
    </rPh>
    <rPh sb="5" eb="7">
      <t>ウラガエ</t>
    </rPh>
    <rPh sb="7" eb="8">
      <t>トウ</t>
    </rPh>
    <phoneticPr fontId="2"/>
  </si>
  <si>
    <t>巻込小手</t>
    <rPh sb="0" eb="2">
      <t>マキコ</t>
    </rPh>
    <rPh sb="2" eb="4">
      <t>コテ</t>
    </rPh>
    <phoneticPr fontId="2"/>
  </si>
  <si>
    <t>対/下段/中</t>
  </si>
  <si>
    <t>捻上</t>
  </si>
  <si>
    <t>龍投</t>
    <rPh sb="1" eb="2">
      <t>ナ</t>
    </rPh>
    <phoneticPr fontId="2"/>
  </si>
  <si>
    <t>外巻天秤</t>
    <rPh sb="0" eb="2">
      <t>ソトマキ</t>
    </rPh>
    <rPh sb="2" eb="4">
      <t>テンビン</t>
    </rPh>
    <phoneticPr fontId="2"/>
  </si>
  <si>
    <t>片手送小手</t>
    <rPh sb="0" eb="2">
      <t>カタテ</t>
    </rPh>
    <rPh sb="2" eb="3">
      <t>オク</t>
    </rPh>
    <rPh sb="3" eb="5">
      <t>コテ</t>
    </rPh>
    <phoneticPr fontId="2"/>
  </si>
  <si>
    <t>両手送小手</t>
    <rPh sb="0" eb="2">
      <t>リョウテ</t>
    </rPh>
    <rPh sb="2" eb="3">
      <t>オク</t>
    </rPh>
    <rPh sb="3" eb="5">
      <t>コテ</t>
    </rPh>
    <phoneticPr fontId="2"/>
  </si>
  <si>
    <t>諸手送小手投</t>
    <rPh sb="0" eb="2">
      <t>モロテ</t>
    </rPh>
    <rPh sb="2" eb="3">
      <t>オク</t>
    </rPh>
    <rPh sb="3" eb="6">
      <t>コテナ</t>
    </rPh>
    <phoneticPr fontId="2"/>
  </si>
  <si>
    <t>諸手送小手より縛法</t>
  </si>
  <si>
    <t>送捕</t>
    <rPh sb="0" eb="1">
      <t>オク</t>
    </rPh>
    <rPh sb="1" eb="2">
      <t>ト</t>
    </rPh>
    <phoneticPr fontId="2"/>
  </si>
  <si>
    <t>仕掛け</t>
    <rPh sb="0" eb="2">
      <t>シカ</t>
    </rPh>
    <phoneticPr fontId="2"/>
  </si>
  <si>
    <t>木葉送</t>
    <rPh sb="0" eb="2">
      <t>コノハ</t>
    </rPh>
    <rPh sb="2" eb="3">
      <t>オク</t>
    </rPh>
    <phoneticPr fontId="2"/>
  </si>
  <si>
    <t>直立/開手</t>
  </si>
  <si>
    <t>仕掛</t>
  </si>
  <si>
    <t>送合掌(二種)</t>
    <rPh sb="0" eb="1">
      <t>オク</t>
    </rPh>
    <rPh sb="1" eb="3">
      <t>ガッショウ</t>
    </rPh>
    <rPh sb="4" eb="6">
      <t>ニシュ</t>
    </rPh>
    <phoneticPr fontId="2"/>
  </si>
  <si>
    <t>開/開手/中</t>
  </si>
  <si>
    <t>熊手返(両手)</t>
    <rPh sb="0" eb="2">
      <t>クマテ</t>
    </rPh>
    <rPh sb="2" eb="3">
      <t>カエ</t>
    </rPh>
    <rPh sb="4" eb="6">
      <t>リョウテ</t>
    </rPh>
    <phoneticPr fontId="2"/>
  </si>
  <si>
    <t>対/両開/中</t>
  </si>
  <si>
    <t>力比</t>
  </si>
  <si>
    <t>熊手返(片手)</t>
    <rPh sb="0" eb="2">
      <t>クマテ</t>
    </rPh>
    <rPh sb="2" eb="3">
      <t>カエ</t>
    </rPh>
    <rPh sb="4" eb="6">
      <t>カタテ</t>
    </rPh>
    <phoneticPr fontId="2"/>
  </si>
  <si>
    <t>吊落</t>
    <rPh sb="0" eb="1">
      <t>ツリ</t>
    </rPh>
    <rPh sb="1" eb="2">
      <t>オ</t>
    </rPh>
    <phoneticPr fontId="2"/>
  </si>
  <si>
    <t>送巻天秤</t>
    <rPh sb="0" eb="1">
      <t>オク</t>
    </rPh>
    <rPh sb="1" eb="2">
      <t>マキ</t>
    </rPh>
    <rPh sb="2" eb="4">
      <t>テンビン</t>
    </rPh>
    <phoneticPr fontId="2"/>
  </si>
  <si>
    <t>送肘攻</t>
    <rPh sb="0" eb="1">
      <t>オク</t>
    </rPh>
    <rPh sb="1" eb="2">
      <t>ヒジ</t>
    </rPh>
    <rPh sb="2" eb="3">
      <t>セ</t>
    </rPh>
    <phoneticPr fontId="2"/>
  </si>
  <si>
    <t>送指返</t>
    <rPh sb="0" eb="1">
      <t>オク</t>
    </rPh>
    <rPh sb="1" eb="2">
      <t>ユビ</t>
    </rPh>
    <rPh sb="2" eb="3">
      <t>カエ</t>
    </rPh>
    <phoneticPr fontId="2"/>
  </si>
  <si>
    <t>木葉</t>
  </si>
  <si>
    <t>送横天秤</t>
    <rPh sb="0" eb="1">
      <t>オク</t>
    </rPh>
    <rPh sb="1" eb="2">
      <t>ヨコ</t>
    </rPh>
    <rPh sb="2" eb="4">
      <t>テンビン</t>
    </rPh>
    <phoneticPr fontId="2"/>
  </si>
  <si>
    <t>送突倒</t>
    <rPh sb="0" eb="1">
      <t>オク</t>
    </rPh>
    <rPh sb="1" eb="2">
      <t>ツ</t>
    </rPh>
    <rPh sb="2" eb="3">
      <t>タオ</t>
    </rPh>
    <phoneticPr fontId="2"/>
  </si>
  <si>
    <t>送四指捕</t>
    <rPh sb="0" eb="1">
      <t>オク</t>
    </rPh>
    <rPh sb="1" eb="3">
      <t>シシ</t>
    </rPh>
    <rPh sb="3" eb="4">
      <t>ト</t>
    </rPh>
    <phoneticPr fontId="2"/>
  </si>
  <si>
    <t>送閂小手</t>
    <rPh sb="0" eb="1">
      <t>オク</t>
    </rPh>
    <rPh sb="1" eb="2">
      <t>カンヌキ</t>
    </rPh>
    <rPh sb="2" eb="4">
      <t>コテ</t>
    </rPh>
    <phoneticPr fontId="2"/>
  </si>
  <si>
    <t>五</t>
    <rPh sb="0" eb="1">
      <t>ゴ</t>
    </rPh>
    <phoneticPr fontId="2"/>
  </si>
  <si>
    <t>表熊手返</t>
    <rPh sb="0" eb="1">
      <t>オモテ</t>
    </rPh>
    <rPh sb="1" eb="3">
      <t>クマテ</t>
    </rPh>
    <rPh sb="3" eb="4">
      <t>カエ</t>
    </rPh>
    <phoneticPr fontId="2"/>
  </si>
  <si>
    <t>送肘攻表</t>
    <rPh sb="0" eb="1">
      <t>オク</t>
    </rPh>
    <rPh sb="1" eb="2">
      <t>ヒジ</t>
    </rPh>
    <rPh sb="2" eb="3">
      <t>セ</t>
    </rPh>
    <rPh sb="3" eb="4">
      <t>オモテ</t>
    </rPh>
    <phoneticPr fontId="2"/>
  </si>
  <si>
    <t>振捨表投</t>
    <rPh sb="0" eb="2">
      <t>フリス</t>
    </rPh>
    <rPh sb="2" eb="4">
      <t>オモテナ</t>
    </rPh>
    <phoneticPr fontId="2"/>
  </si>
  <si>
    <t>腰挫</t>
    <rPh sb="0" eb="1">
      <t>コシ</t>
    </rPh>
    <rPh sb="1" eb="2">
      <t>クジ</t>
    </rPh>
    <phoneticPr fontId="2"/>
  </si>
  <si>
    <t>押小手(片手)</t>
    <rPh sb="0" eb="1">
      <t>オ</t>
    </rPh>
    <rPh sb="1" eb="3">
      <t>コテ</t>
    </rPh>
    <rPh sb="4" eb="6">
      <t>カタテ</t>
    </rPh>
    <phoneticPr fontId="2"/>
  </si>
  <si>
    <t>開/中/一</t>
    <rPh sb="4" eb="5">
      <t>イチ</t>
    </rPh>
    <phoneticPr fontId="2"/>
  </si>
  <si>
    <t>押小手(両手)</t>
    <rPh sb="0" eb="1">
      <t>オ</t>
    </rPh>
    <rPh sb="1" eb="3">
      <t>コテ</t>
    </rPh>
    <rPh sb="4" eb="6">
      <t>リョウテ</t>
    </rPh>
    <phoneticPr fontId="2"/>
  </si>
  <si>
    <t>小手巻返</t>
    <rPh sb="0" eb="3">
      <t>コテマキ</t>
    </rPh>
    <rPh sb="3" eb="4">
      <t>カエ</t>
    </rPh>
    <phoneticPr fontId="2"/>
  </si>
  <si>
    <t>対/逆下/一</t>
    <rPh sb="0" eb="1">
      <t>タイ</t>
    </rPh>
    <rPh sb="2" eb="3">
      <t>ギャク</t>
    </rPh>
    <rPh sb="3" eb="4">
      <t>シタ</t>
    </rPh>
    <rPh sb="5" eb="6">
      <t>イチ</t>
    </rPh>
    <phoneticPr fontId="2"/>
  </si>
  <si>
    <t>抜打押小手</t>
    <rPh sb="0" eb="1">
      <t>ヌ</t>
    </rPh>
    <rPh sb="1" eb="2">
      <t>ウ</t>
    </rPh>
    <rPh sb="2" eb="3">
      <t>オ</t>
    </rPh>
    <rPh sb="3" eb="5">
      <t>コテ</t>
    </rPh>
    <phoneticPr fontId="2"/>
  </si>
  <si>
    <t>十字小手(片手)</t>
    <rPh sb="0" eb="2">
      <t>ジュウジ</t>
    </rPh>
    <rPh sb="2" eb="4">
      <t>コテ</t>
    </rPh>
    <rPh sb="5" eb="7">
      <t>カタテ</t>
    </rPh>
    <phoneticPr fontId="2"/>
  </si>
  <si>
    <t>略十字小手</t>
    <rPh sb="0" eb="1">
      <t>リャク</t>
    </rPh>
    <rPh sb="1" eb="3">
      <t>ジュウジ</t>
    </rPh>
    <rPh sb="3" eb="5">
      <t>コテ</t>
    </rPh>
    <phoneticPr fontId="2"/>
  </si>
  <si>
    <t>両手十字小手</t>
    <rPh sb="0" eb="2">
      <t>リョウテ</t>
    </rPh>
    <rPh sb="2" eb="4">
      <t>ジュウジ</t>
    </rPh>
    <rPh sb="4" eb="6">
      <t>コテ</t>
    </rPh>
    <phoneticPr fontId="2"/>
  </si>
  <si>
    <t>諸手十字小手</t>
    <rPh sb="0" eb="2">
      <t>モロテ</t>
    </rPh>
    <rPh sb="2" eb="6">
      <t>ジュウジコテ</t>
    </rPh>
    <phoneticPr fontId="2"/>
  </si>
  <si>
    <t>巻十字小手</t>
    <rPh sb="0" eb="1">
      <t>マキ</t>
    </rPh>
    <rPh sb="1" eb="3">
      <t>ジュウジ</t>
    </rPh>
    <rPh sb="3" eb="5">
      <t>コテ</t>
    </rPh>
    <phoneticPr fontId="2"/>
  </si>
  <si>
    <t>切小手(片手)</t>
    <rPh sb="0" eb="1">
      <t>キ</t>
    </rPh>
    <rPh sb="1" eb="3">
      <t>コテ</t>
    </rPh>
    <rPh sb="4" eb="6">
      <t>カタテ</t>
    </rPh>
    <phoneticPr fontId="2"/>
  </si>
  <si>
    <t>対/下段/一</t>
    <rPh sb="2" eb="3">
      <t>シタ</t>
    </rPh>
    <rPh sb="3" eb="4">
      <t>ダン</t>
    </rPh>
    <rPh sb="5" eb="6">
      <t>イチ</t>
    </rPh>
    <phoneticPr fontId="2"/>
  </si>
  <si>
    <t>切小手(諸手)</t>
    <rPh sb="0" eb="1">
      <t>キ</t>
    </rPh>
    <rPh sb="1" eb="3">
      <t>コテ</t>
    </rPh>
    <rPh sb="4" eb="6">
      <t>モロテ</t>
    </rPh>
    <phoneticPr fontId="2"/>
  </si>
  <si>
    <t>切返小手</t>
    <rPh sb="0" eb="1">
      <t>キ</t>
    </rPh>
    <rPh sb="1" eb="2">
      <t>カエ</t>
    </rPh>
    <rPh sb="2" eb="4">
      <t>コテ</t>
    </rPh>
    <phoneticPr fontId="2"/>
  </si>
  <si>
    <t>切返巻天秤</t>
    <rPh sb="0" eb="3">
      <t>キリヘンマ</t>
    </rPh>
    <rPh sb="3" eb="5">
      <t>テンビン</t>
    </rPh>
    <phoneticPr fontId="2"/>
  </si>
  <si>
    <t>対/下/中</t>
  </si>
  <si>
    <t>切返天秤</t>
    <rPh sb="0" eb="1">
      <t>キ</t>
    </rPh>
    <rPh sb="1" eb="2">
      <t>カエ</t>
    </rPh>
    <rPh sb="2" eb="4">
      <t>テンビン</t>
    </rPh>
    <phoneticPr fontId="2"/>
  </si>
  <si>
    <t>切返投</t>
    <rPh sb="0" eb="1">
      <t>キ</t>
    </rPh>
    <rPh sb="1" eb="2">
      <t>カエ</t>
    </rPh>
    <rPh sb="2" eb="3">
      <t>ナ</t>
    </rPh>
    <phoneticPr fontId="2"/>
  </si>
  <si>
    <t>片手投切返</t>
    <rPh sb="0" eb="2">
      <t>カタテ</t>
    </rPh>
    <rPh sb="2" eb="3">
      <t>ナ</t>
    </rPh>
    <rPh sb="3" eb="4">
      <t>キ</t>
    </rPh>
    <rPh sb="4" eb="5">
      <t>カエ</t>
    </rPh>
    <phoneticPr fontId="2"/>
  </si>
  <si>
    <t>片投</t>
  </si>
  <si>
    <t>諸手切返投</t>
    <rPh sb="0" eb="2">
      <t>モロテ</t>
    </rPh>
    <rPh sb="2" eb="3">
      <t>キ</t>
    </rPh>
    <rPh sb="3" eb="4">
      <t>カエ</t>
    </rPh>
    <rPh sb="4" eb="5">
      <t>ナ</t>
    </rPh>
    <phoneticPr fontId="2"/>
  </si>
  <si>
    <t>木葉返</t>
    <rPh sb="0" eb="2">
      <t>コノハ</t>
    </rPh>
    <rPh sb="2" eb="3">
      <t>カエ</t>
    </rPh>
    <phoneticPr fontId="2"/>
  </si>
  <si>
    <t>丁字投</t>
    <rPh sb="0" eb="2">
      <t>チョウジ</t>
    </rPh>
    <rPh sb="2" eb="3">
      <t>ナ</t>
    </rPh>
    <phoneticPr fontId="2"/>
  </si>
  <si>
    <t>直立</t>
  </si>
  <si>
    <t>合掌丁字</t>
    <rPh sb="0" eb="2">
      <t>ガッショウ</t>
    </rPh>
    <rPh sb="2" eb="3">
      <t>テイ</t>
    </rPh>
    <rPh sb="3" eb="4">
      <t>ジ</t>
    </rPh>
    <phoneticPr fontId="2"/>
  </si>
  <si>
    <t>合掌突落</t>
    <rPh sb="0" eb="2">
      <t>ガッショウ</t>
    </rPh>
    <rPh sb="2" eb="3">
      <t>ツ</t>
    </rPh>
    <rPh sb="3" eb="4">
      <t>オ</t>
    </rPh>
    <phoneticPr fontId="2"/>
  </si>
  <si>
    <t>逆木葉返</t>
    <rPh sb="0" eb="1">
      <t>ギャク</t>
    </rPh>
    <rPh sb="1" eb="3">
      <t>コノハ</t>
    </rPh>
    <rPh sb="3" eb="4">
      <t>カエ</t>
    </rPh>
    <phoneticPr fontId="2"/>
  </si>
  <si>
    <t>対/直立</t>
  </si>
  <si>
    <t>木葉丁字</t>
    <rPh sb="0" eb="2">
      <t>コノハ</t>
    </rPh>
    <rPh sb="2" eb="4">
      <t>チョウジ</t>
    </rPh>
    <phoneticPr fontId="2"/>
  </si>
  <si>
    <t>送合掌木葉投</t>
    <rPh sb="0" eb="1">
      <t>オク</t>
    </rPh>
    <rPh sb="1" eb="3">
      <t>ガッショウ</t>
    </rPh>
    <rPh sb="3" eb="5">
      <t>コノハ</t>
    </rPh>
    <rPh sb="5" eb="6">
      <t>ナ</t>
    </rPh>
    <phoneticPr fontId="2"/>
  </si>
  <si>
    <t>居捕送小手</t>
    <rPh sb="0" eb="1">
      <t>イ</t>
    </rPh>
    <rPh sb="1" eb="2">
      <t>ト</t>
    </rPh>
    <rPh sb="2" eb="3">
      <t>オク</t>
    </rPh>
    <rPh sb="3" eb="5">
      <t>コテ</t>
    </rPh>
    <phoneticPr fontId="2"/>
  </si>
  <si>
    <t xml:space="preserve">・/座/中	</t>
  </si>
  <si>
    <t>居捕逆小手</t>
    <rPh sb="0" eb="1">
      <t>イ</t>
    </rPh>
    <rPh sb="1" eb="2">
      <t>ト</t>
    </rPh>
    <rPh sb="2" eb="3">
      <t>ギャク</t>
    </rPh>
    <rPh sb="3" eb="5">
      <t>コテ</t>
    </rPh>
    <phoneticPr fontId="2"/>
  </si>
  <si>
    <t>居捕押小手</t>
    <rPh sb="0" eb="1">
      <t>イ</t>
    </rPh>
    <rPh sb="1" eb="2">
      <t>ト</t>
    </rPh>
    <rPh sb="2" eb="3">
      <t>オシ</t>
    </rPh>
    <rPh sb="3" eb="5">
      <t>コテ</t>
    </rPh>
    <phoneticPr fontId="2"/>
  </si>
  <si>
    <t xml:space="preserve">・/座中/	</t>
  </si>
  <si>
    <t>五花拳</t>
  </si>
  <si>
    <t>上受投</t>
    <rPh sb="0" eb="2">
      <t>ウワウ</t>
    </rPh>
    <rPh sb="2" eb="3">
      <t>ナ</t>
    </rPh>
    <phoneticPr fontId="2"/>
  </si>
  <si>
    <t>二</t>
    <phoneticPr fontId="2"/>
  </si>
  <si>
    <t>打込</t>
  </si>
  <si>
    <t>上受逆手投</t>
    <rPh sb="0" eb="2">
      <t>ウワウ</t>
    </rPh>
    <rPh sb="2" eb="4">
      <t>ギャクテ</t>
    </rPh>
    <rPh sb="4" eb="5">
      <t>ナ</t>
    </rPh>
    <phoneticPr fontId="2"/>
  </si>
  <si>
    <t>逆裏</t>
  </si>
  <si>
    <t>上受背投</t>
    <rPh sb="0" eb="2">
      <t>ウワウ</t>
    </rPh>
    <rPh sb="2" eb="4">
      <t>セナ</t>
    </rPh>
    <phoneticPr fontId="2"/>
  </si>
  <si>
    <t>平打</t>
  </si>
  <si>
    <t>押受投</t>
    <rPh sb="0" eb="1">
      <t>オ</t>
    </rPh>
    <rPh sb="1" eb="2">
      <t>ウ</t>
    </rPh>
    <rPh sb="2" eb="3">
      <t>ナ</t>
    </rPh>
    <phoneticPr fontId="2"/>
  </si>
  <si>
    <t>逆振</t>
  </si>
  <si>
    <t>押受巻投</t>
    <rPh sb="0" eb="1">
      <t>オ</t>
    </rPh>
    <rPh sb="1" eb="2">
      <t>ウ</t>
    </rPh>
    <rPh sb="2" eb="4">
      <t>マキナ</t>
    </rPh>
    <phoneticPr fontId="2"/>
  </si>
  <si>
    <t>片手投</t>
    <rPh sb="0" eb="2">
      <t>カタテ</t>
    </rPh>
    <rPh sb="2" eb="3">
      <t>ナ</t>
    </rPh>
    <phoneticPr fontId="2"/>
  </si>
  <si>
    <t>送片手投</t>
    <rPh sb="0" eb="1">
      <t>オク</t>
    </rPh>
    <rPh sb="1" eb="3">
      <t>カタテ</t>
    </rPh>
    <rPh sb="3" eb="4">
      <t>ナ</t>
    </rPh>
    <phoneticPr fontId="2"/>
  </si>
  <si>
    <t>逆片手投</t>
    <rPh sb="0" eb="1">
      <t>ギャク</t>
    </rPh>
    <rPh sb="1" eb="4">
      <t>カタテナ</t>
    </rPh>
    <phoneticPr fontId="2"/>
  </si>
  <si>
    <t>両手片手投</t>
    <rPh sb="0" eb="2">
      <t>リョウテ</t>
    </rPh>
    <rPh sb="2" eb="4">
      <t>カタテ</t>
    </rPh>
    <rPh sb="4" eb="5">
      <t>ナ</t>
    </rPh>
    <phoneticPr fontId="2"/>
  </si>
  <si>
    <t>諸手片手投</t>
    <rPh sb="0" eb="2">
      <t>モロテ</t>
    </rPh>
    <rPh sb="2" eb="4">
      <t>カタテ</t>
    </rPh>
    <rPh sb="4" eb="5">
      <t>ナ</t>
    </rPh>
    <phoneticPr fontId="2"/>
  </si>
  <si>
    <t>合掌片手投</t>
    <rPh sb="0" eb="2">
      <t>ガッショウ</t>
    </rPh>
    <rPh sb="2" eb="4">
      <t>カタテ</t>
    </rPh>
    <rPh sb="4" eb="5">
      <t>ナ</t>
    </rPh>
    <phoneticPr fontId="2"/>
  </si>
  <si>
    <t>閂片手投</t>
    <rPh sb="0" eb="1">
      <t>カンヌキ</t>
    </rPh>
    <rPh sb="1" eb="3">
      <t>カタテ</t>
    </rPh>
    <rPh sb="3" eb="4">
      <t>ナ</t>
    </rPh>
    <phoneticPr fontId="2"/>
  </si>
  <si>
    <t>開/直立</t>
  </si>
  <si>
    <t>片手閂投</t>
    <rPh sb="0" eb="2">
      <t>カタテ</t>
    </rPh>
    <rPh sb="2" eb="3">
      <t>カンヌキ</t>
    </rPh>
    <rPh sb="3" eb="4">
      <t>ナ</t>
    </rPh>
    <phoneticPr fontId="2"/>
  </si>
  <si>
    <t>両手閂投</t>
    <rPh sb="0" eb="2">
      <t>リョウテ</t>
    </rPh>
    <rPh sb="2" eb="3">
      <t>カンヌキ</t>
    </rPh>
    <rPh sb="3" eb="4">
      <t>ナ</t>
    </rPh>
    <phoneticPr fontId="2"/>
  </si>
  <si>
    <t>閂内天秤</t>
    <rPh sb="0" eb="1">
      <t>カンヌキ</t>
    </rPh>
    <rPh sb="1" eb="2">
      <t>ウチ</t>
    </rPh>
    <rPh sb="2" eb="4">
      <t>テンビン</t>
    </rPh>
    <phoneticPr fontId="2"/>
  </si>
  <si>
    <t>閂外天秤</t>
    <rPh sb="0" eb="1">
      <t>カンヌキ</t>
    </rPh>
    <rPh sb="1" eb="2">
      <t>ソト</t>
    </rPh>
    <rPh sb="2" eb="4">
      <t>テンビン</t>
    </rPh>
    <phoneticPr fontId="2"/>
  </si>
  <si>
    <t>直立開</t>
  </si>
  <si>
    <t>押閂投内</t>
    <rPh sb="0" eb="1">
      <t>オ</t>
    </rPh>
    <rPh sb="1" eb="2">
      <t>カンヌキ</t>
    </rPh>
    <rPh sb="2" eb="3">
      <t>ナ</t>
    </rPh>
    <rPh sb="3" eb="4">
      <t>ウチ</t>
    </rPh>
    <phoneticPr fontId="2"/>
  </si>
  <si>
    <t>押閂投外</t>
    <rPh sb="0" eb="1">
      <t>オ</t>
    </rPh>
    <rPh sb="1" eb="2">
      <t>カンヌキ</t>
    </rPh>
    <rPh sb="2" eb="3">
      <t>ナ</t>
    </rPh>
    <rPh sb="3" eb="4">
      <t>ソト</t>
    </rPh>
    <phoneticPr fontId="2"/>
  </si>
  <si>
    <t>仏骨投</t>
    <rPh sb="0" eb="2">
      <t>ブツコツ</t>
    </rPh>
    <rPh sb="2" eb="3">
      <t>ナ</t>
    </rPh>
    <phoneticPr fontId="2"/>
  </si>
  <si>
    <t>払仏骨投</t>
    <rPh sb="0" eb="1">
      <t>ハラ</t>
    </rPh>
    <rPh sb="1" eb="2">
      <t>ブツ</t>
    </rPh>
    <rPh sb="2" eb="3">
      <t>コツ</t>
    </rPh>
    <rPh sb="3" eb="4">
      <t>ナ</t>
    </rPh>
    <phoneticPr fontId="2"/>
  </si>
  <si>
    <t>後仏骨投</t>
    <rPh sb="0" eb="1">
      <t>ウシ</t>
    </rPh>
    <rPh sb="1" eb="2">
      <t>ブツ</t>
    </rPh>
    <rPh sb="2" eb="3">
      <t>コツ</t>
    </rPh>
    <rPh sb="3" eb="4">
      <t>ナ</t>
    </rPh>
    <phoneticPr fontId="2"/>
  </si>
  <si>
    <t>逆天秤</t>
    <rPh sb="0" eb="1">
      <t>ギャク</t>
    </rPh>
    <rPh sb="1" eb="3">
      <t>テンビン</t>
    </rPh>
    <phoneticPr fontId="2"/>
  </si>
  <si>
    <t>引天秤</t>
    <rPh sb="0" eb="1">
      <t>ヒ</t>
    </rPh>
    <rPh sb="1" eb="3">
      <t>テンビン</t>
    </rPh>
    <phoneticPr fontId="2"/>
  </si>
  <si>
    <t>開足立</t>
    <phoneticPr fontId="2"/>
  </si>
  <si>
    <t>天秤投</t>
    <rPh sb="0" eb="2">
      <t>テンビン</t>
    </rPh>
    <rPh sb="2" eb="3">
      <t>ナ</t>
    </rPh>
    <phoneticPr fontId="2"/>
  </si>
  <si>
    <t>逆引天秤</t>
    <rPh sb="0" eb="1">
      <t>ギャク</t>
    </rPh>
    <rPh sb="1" eb="2">
      <t>ヒ</t>
    </rPh>
    <rPh sb="2" eb="4">
      <t>テンビン</t>
    </rPh>
    <phoneticPr fontId="2"/>
  </si>
  <si>
    <t>合掌引天秤</t>
    <rPh sb="0" eb="2">
      <t>ガッショウ</t>
    </rPh>
    <rPh sb="2" eb="3">
      <t>ヒ</t>
    </rPh>
    <rPh sb="3" eb="5">
      <t>テンビン</t>
    </rPh>
    <phoneticPr fontId="2"/>
  </si>
  <si>
    <t>金剛拳</t>
  </si>
  <si>
    <t>腕十字固</t>
    <rPh sb="0" eb="1">
      <t>ウデ</t>
    </rPh>
    <rPh sb="1" eb="3">
      <t>ジュウジ</t>
    </rPh>
    <rPh sb="3" eb="4">
      <t>カタ</t>
    </rPh>
    <phoneticPr fontId="2"/>
  </si>
  <si>
    <t>送り固</t>
    <rPh sb="0" eb="1">
      <t>オク</t>
    </rPh>
    <rPh sb="2" eb="3">
      <t>カタ</t>
    </rPh>
    <phoneticPr fontId="2"/>
  </si>
  <si>
    <t>送指捕</t>
    <rPh sb="0" eb="1">
      <t>オク</t>
    </rPh>
    <rPh sb="1" eb="2">
      <t>ユビ</t>
    </rPh>
    <rPh sb="2" eb="3">
      <t>ト</t>
    </rPh>
    <phoneticPr fontId="2"/>
  </si>
  <si>
    <t>送天秤捕(二種)</t>
    <rPh sb="0" eb="1">
      <t>オク</t>
    </rPh>
    <rPh sb="1" eb="4">
      <t>テンビント</t>
    </rPh>
    <rPh sb="5" eb="7">
      <t>ニシュ</t>
    </rPh>
    <phoneticPr fontId="2"/>
  </si>
  <si>
    <t>開足立</t>
  </si>
  <si>
    <t>送天秤捕（送小手から）</t>
  </si>
  <si>
    <t>閂送(捕)</t>
    <rPh sb="0" eb="1">
      <t>カンヌキ</t>
    </rPh>
    <rPh sb="1" eb="2">
      <t>オク</t>
    </rPh>
    <rPh sb="3" eb="4">
      <t>ト</t>
    </rPh>
    <phoneticPr fontId="2"/>
  </si>
  <si>
    <t>前指固</t>
    <rPh sb="0" eb="2">
      <t>マエユビ</t>
    </rPh>
    <rPh sb="2" eb="3">
      <t>カタ</t>
    </rPh>
    <phoneticPr fontId="2"/>
  </si>
  <si>
    <t>押指固</t>
    <rPh sb="0" eb="1">
      <t>オ</t>
    </rPh>
    <rPh sb="1" eb="2">
      <t>ユビ</t>
    </rPh>
    <rPh sb="2" eb="3">
      <t>カタ</t>
    </rPh>
    <phoneticPr fontId="2"/>
  </si>
  <si>
    <t>居捕逆小手</t>
  </si>
  <si>
    <t>－</t>
  </si>
  <si>
    <t>前天秤固</t>
    <rPh sb="0" eb="1">
      <t>マエ</t>
    </rPh>
    <rPh sb="1" eb="3">
      <t>テンビン</t>
    </rPh>
    <rPh sb="3" eb="4">
      <t>カタ</t>
    </rPh>
    <phoneticPr fontId="2"/>
  </si>
  <si>
    <t>前腕固(仰向け)</t>
  </si>
  <si>
    <t>裏固</t>
    <rPh sb="0" eb="1">
      <t>ウラ</t>
    </rPh>
    <rPh sb="1" eb="2">
      <t>カタ</t>
    </rPh>
    <phoneticPr fontId="2"/>
  </si>
  <si>
    <t>立一字固（諸手逆小手）</t>
  </si>
  <si>
    <t>背越一字固（諸手逆小手）</t>
  </si>
  <si>
    <t>後腕固(うつ伏せ)</t>
  </si>
  <si>
    <t>閂固</t>
    <rPh sb="0" eb="1">
      <t>カンヌキ</t>
    </rPh>
    <rPh sb="1" eb="2">
      <t>カタ</t>
    </rPh>
    <phoneticPr fontId="2"/>
  </si>
  <si>
    <t>木葉固</t>
    <rPh sb="0" eb="2">
      <t>コノハ</t>
    </rPh>
    <rPh sb="2" eb="3">
      <t>カタ</t>
    </rPh>
    <phoneticPr fontId="2"/>
  </si>
  <si>
    <t>木葉送</t>
  </si>
  <si>
    <t>三角固</t>
    <rPh sb="0" eb="2">
      <t>サンカク</t>
    </rPh>
    <rPh sb="2" eb="3">
      <t>カタ</t>
    </rPh>
    <phoneticPr fontId="2"/>
  </si>
  <si>
    <t>吊上捕</t>
    <rPh sb="0" eb="2">
      <t>ツリア</t>
    </rPh>
    <rPh sb="2" eb="3">
      <t>ト</t>
    </rPh>
    <phoneticPr fontId="2"/>
  </si>
  <si>
    <t>外逆手捕</t>
    <rPh sb="0" eb="1">
      <t>ソト</t>
    </rPh>
    <rPh sb="1" eb="3">
      <t>ギャクテ</t>
    </rPh>
    <rPh sb="3" eb="4">
      <t>ト</t>
    </rPh>
    <phoneticPr fontId="2"/>
  </si>
  <si>
    <t>内逆手捕</t>
    <rPh sb="0" eb="1">
      <t>ウチ</t>
    </rPh>
    <rPh sb="1" eb="3">
      <t>ギャクテ</t>
    </rPh>
    <rPh sb="3" eb="4">
      <t>ト</t>
    </rPh>
    <phoneticPr fontId="2"/>
  </si>
  <si>
    <t>十字固</t>
    <rPh sb="0" eb="2">
      <t>ジュウジ</t>
    </rPh>
    <rPh sb="2" eb="3">
      <t>カタ</t>
    </rPh>
    <phoneticPr fontId="2"/>
  </si>
  <si>
    <t>吊上裏固（縛法）</t>
  </si>
  <si>
    <t>蜘蛛絡（諸手逆小手）</t>
  </si>
  <si>
    <t>立合掌固</t>
    <rPh sb="0" eb="1">
      <t>タ</t>
    </rPh>
    <rPh sb="1" eb="3">
      <t>ガッショウ</t>
    </rPh>
    <rPh sb="3" eb="4">
      <t>カタ</t>
    </rPh>
    <phoneticPr fontId="2"/>
  </si>
  <si>
    <t>裏合掌固（腕十字～立合掌～）</t>
  </si>
  <si>
    <t>裏膝固（縛法）</t>
  </si>
  <si>
    <t>合掌送捕</t>
    <rPh sb="0" eb="2">
      <t>ガッショウ</t>
    </rPh>
    <rPh sb="2" eb="3">
      <t>オク</t>
    </rPh>
    <rPh sb="3" eb="4">
      <t>ト</t>
    </rPh>
    <phoneticPr fontId="2"/>
  </si>
  <si>
    <t>送小手</t>
  </si>
  <si>
    <t>龍固（龍投）</t>
  </si>
  <si>
    <t>天秤固(裏)</t>
    <rPh sb="0" eb="2">
      <t>テンビン</t>
    </rPh>
    <rPh sb="2" eb="3">
      <t>カタ</t>
    </rPh>
    <rPh sb="4" eb="5">
      <t>ウラ</t>
    </rPh>
    <phoneticPr fontId="2"/>
  </si>
  <si>
    <t>逆手固</t>
    <rPh sb="0" eb="2">
      <t>ギャクテ</t>
    </rPh>
    <rPh sb="2" eb="3">
      <t>カタ</t>
    </rPh>
    <phoneticPr fontId="2"/>
  </si>
  <si>
    <t>羅漢拳</t>
  </si>
  <si>
    <t>袖巻</t>
    <rPh sb="0" eb="1">
      <t>ソデ</t>
    </rPh>
    <rPh sb="1" eb="2">
      <t>マキ</t>
    </rPh>
    <phoneticPr fontId="2"/>
  </si>
  <si>
    <t>対/逆下/一</t>
    <rPh sb="5" eb="6">
      <t>イチ</t>
    </rPh>
    <phoneticPr fontId="2"/>
  </si>
  <si>
    <t>後袖</t>
    <rPh sb="0" eb="1">
      <t>ウシ</t>
    </rPh>
    <rPh sb="1" eb="2">
      <t>ソデ</t>
    </rPh>
    <phoneticPr fontId="2"/>
  </si>
  <si>
    <t>袖捕</t>
    <rPh sb="0" eb="1">
      <t>ソデ</t>
    </rPh>
    <rPh sb="1" eb="2">
      <t>ト</t>
    </rPh>
    <phoneticPr fontId="2"/>
  </si>
  <si>
    <t>前袖</t>
    <rPh sb="0" eb="1">
      <t>マエ</t>
    </rPh>
    <rPh sb="1" eb="2">
      <t>ソデ</t>
    </rPh>
    <phoneticPr fontId="2"/>
  </si>
  <si>
    <t>袖口捕</t>
    <rPh sb="0" eb="2">
      <t>ソデグチ</t>
    </rPh>
    <rPh sb="2" eb="3">
      <t>ト</t>
    </rPh>
    <phoneticPr fontId="2"/>
  </si>
  <si>
    <t>対/逆下/中</t>
  </si>
  <si>
    <t>袖口</t>
  </si>
  <si>
    <t>袖口巻</t>
    <rPh sb="0" eb="2">
      <t>ソデグチ</t>
    </rPh>
    <rPh sb="2" eb="3">
      <t>マキ</t>
    </rPh>
    <phoneticPr fontId="2"/>
  </si>
  <si>
    <t>親指</t>
  </si>
  <si>
    <t>袖巻天秤</t>
    <rPh sb="0" eb="1">
      <t>ソデ</t>
    </rPh>
    <rPh sb="1" eb="2">
      <t>マキ</t>
    </rPh>
    <rPh sb="2" eb="4">
      <t>テンビン</t>
    </rPh>
    <phoneticPr fontId="2"/>
  </si>
  <si>
    <t>逆袖捕</t>
    <rPh sb="0" eb="1">
      <t>ギャク</t>
    </rPh>
    <rPh sb="1" eb="2">
      <t>ソデ</t>
    </rPh>
    <rPh sb="2" eb="3">
      <t>ト</t>
    </rPh>
    <phoneticPr fontId="2"/>
  </si>
  <si>
    <t>袖巻返</t>
    <rPh sb="0" eb="2">
      <t>ソデマキ</t>
    </rPh>
    <rPh sb="2" eb="3">
      <t>カエ</t>
    </rPh>
    <phoneticPr fontId="2"/>
  </si>
  <si>
    <t>袖先</t>
  </si>
  <si>
    <t>袖十字</t>
    <rPh sb="0" eb="1">
      <t>ソデ</t>
    </rPh>
    <rPh sb="1" eb="3">
      <t>ジュウジ</t>
    </rPh>
    <phoneticPr fontId="2"/>
  </si>
  <si>
    <t>後袖巻(捕)</t>
    <rPh sb="0" eb="1">
      <t>ウシ</t>
    </rPh>
    <rPh sb="1" eb="3">
      <t>ソデマキ</t>
    </rPh>
    <rPh sb="4" eb="5">
      <t>ト</t>
    </rPh>
    <phoneticPr fontId="2"/>
  </si>
  <si>
    <t>上膊捕(片手)</t>
    <rPh sb="0" eb="2">
      <t>ジョウハク</t>
    </rPh>
    <rPh sb="2" eb="3">
      <t>ト</t>
    </rPh>
    <rPh sb="4" eb="6">
      <t>カタテ</t>
    </rPh>
    <phoneticPr fontId="2"/>
  </si>
  <si>
    <t>上膊捕(両手)</t>
    <rPh sb="0" eb="2">
      <t>ジョウハク</t>
    </rPh>
    <rPh sb="2" eb="3">
      <t>ト</t>
    </rPh>
    <rPh sb="4" eb="6">
      <t>リョウテ</t>
    </rPh>
    <phoneticPr fontId="2"/>
  </si>
  <si>
    <t>引落</t>
    <rPh sb="0" eb="2">
      <t>ヒキオトシ</t>
    </rPh>
    <phoneticPr fontId="2"/>
  </si>
  <si>
    <t>対/・/中</t>
    <rPh sb="0" eb="1">
      <t>タイ</t>
    </rPh>
    <rPh sb="4" eb="5">
      <t>チュウ</t>
    </rPh>
    <phoneticPr fontId="2"/>
  </si>
  <si>
    <t>片胸落</t>
    <rPh sb="0" eb="2">
      <t>カタムナ</t>
    </rPh>
    <rPh sb="2" eb="3">
      <t>オ</t>
    </rPh>
    <phoneticPr fontId="2"/>
  </si>
  <si>
    <t>引胸落</t>
    <rPh sb="0" eb="1">
      <t>ヒ</t>
    </rPh>
    <rPh sb="1" eb="2">
      <t>ムナ</t>
    </rPh>
    <rPh sb="2" eb="3">
      <t>オ</t>
    </rPh>
    <phoneticPr fontId="2"/>
  </si>
  <si>
    <t xml:space="preserve">襟持	</t>
  </si>
  <si>
    <t>両胸落</t>
    <rPh sb="0" eb="2">
      <t>リョウムナ</t>
    </rPh>
    <rPh sb="2" eb="3">
      <t>オ</t>
    </rPh>
    <phoneticPr fontId="2"/>
  </si>
  <si>
    <t xml:space="preserve">対/逆下/中	</t>
  </si>
  <si>
    <t>両襟</t>
  </si>
  <si>
    <t>腕巻</t>
    <rPh sb="0" eb="1">
      <t>ウデ</t>
    </rPh>
    <rPh sb="1" eb="2">
      <t>マキ</t>
    </rPh>
    <phoneticPr fontId="2"/>
  </si>
  <si>
    <t>巻落</t>
    <rPh sb="0" eb="1">
      <t>マキ</t>
    </rPh>
    <rPh sb="1" eb="2">
      <t>オト</t>
    </rPh>
    <phoneticPr fontId="2"/>
  </si>
  <si>
    <t>外巻落</t>
    <rPh sb="0" eb="1">
      <t>ソト</t>
    </rPh>
    <rPh sb="1" eb="3">
      <t>マキオ</t>
    </rPh>
    <phoneticPr fontId="2"/>
  </si>
  <si>
    <t>襟押</t>
  </si>
  <si>
    <t>襟十字</t>
    <rPh sb="0" eb="1">
      <t>エリ</t>
    </rPh>
    <rPh sb="1" eb="3">
      <t>ジュウジ</t>
    </rPh>
    <phoneticPr fontId="2"/>
  </si>
  <si>
    <t>送襟捕</t>
    <rPh sb="0" eb="1">
      <t>オク</t>
    </rPh>
    <rPh sb="1" eb="2">
      <t>エリ</t>
    </rPh>
    <rPh sb="2" eb="3">
      <t>ト</t>
    </rPh>
    <phoneticPr fontId="2"/>
  </si>
  <si>
    <t>手首捕</t>
    <rPh sb="0" eb="2">
      <t>テクビ</t>
    </rPh>
    <rPh sb="2" eb="3">
      <t>ト</t>
    </rPh>
    <phoneticPr fontId="2"/>
  </si>
  <si>
    <t>丁字捕</t>
    <rPh sb="0" eb="2">
      <t>チョウジ</t>
    </rPh>
    <rPh sb="2" eb="3">
      <t>ト</t>
    </rPh>
    <phoneticPr fontId="2"/>
  </si>
  <si>
    <t>後襟捕(表)</t>
    <rPh sb="0" eb="1">
      <t>ウシ</t>
    </rPh>
    <rPh sb="1" eb="2">
      <t>エリ</t>
    </rPh>
    <rPh sb="2" eb="3">
      <t>ト</t>
    </rPh>
    <rPh sb="4" eb="5">
      <t>オモテ</t>
    </rPh>
    <phoneticPr fontId="2"/>
  </si>
  <si>
    <t>後立/中</t>
  </si>
  <si>
    <t>刈倒</t>
  </si>
  <si>
    <t>後襟捕(裏)</t>
    <rPh sb="0" eb="1">
      <t>ウシ</t>
    </rPh>
    <rPh sb="1" eb="2">
      <t>エリ</t>
    </rPh>
    <rPh sb="2" eb="3">
      <t>ト</t>
    </rPh>
    <rPh sb="4" eb="5">
      <t>ウラ</t>
    </rPh>
    <phoneticPr fontId="2"/>
  </si>
  <si>
    <t>四組腰投</t>
    <rPh sb="0" eb="2">
      <t>ヨンクミ</t>
    </rPh>
    <rPh sb="2" eb="3">
      <t>コシ</t>
    </rPh>
    <rPh sb="3" eb="4">
      <t>ナ</t>
    </rPh>
    <phoneticPr fontId="2"/>
  </si>
  <si>
    <t>前髪捕</t>
    <rPh sb="0" eb="2">
      <t>マエガミ</t>
    </rPh>
    <rPh sb="2" eb="3">
      <t>ト</t>
    </rPh>
    <phoneticPr fontId="2"/>
  </si>
  <si>
    <t>帯捕</t>
    <rPh sb="0" eb="1">
      <t>オビ</t>
    </rPh>
    <rPh sb="1" eb="2">
      <t>ト</t>
    </rPh>
    <phoneticPr fontId="2"/>
  </si>
  <si>
    <t>半月首投</t>
    <rPh sb="0" eb="2">
      <t>ハンゲツ</t>
    </rPh>
    <rPh sb="2" eb="4">
      <t>クビナ</t>
    </rPh>
    <phoneticPr fontId="2"/>
  </si>
  <si>
    <t>巻打首投</t>
    <rPh sb="0" eb="1">
      <t>マキ</t>
    </rPh>
    <rPh sb="1" eb="3">
      <t>ウチクビ</t>
    </rPh>
    <rPh sb="3" eb="4">
      <t>トウ</t>
    </rPh>
    <phoneticPr fontId="2"/>
  </si>
  <si>
    <t>掬首投</t>
    <rPh sb="0" eb="1">
      <t>スク</t>
    </rPh>
    <rPh sb="1" eb="2">
      <t>クビ</t>
    </rPh>
    <rPh sb="2" eb="3">
      <t>ナ</t>
    </rPh>
    <phoneticPr fontId="2"/>
  </si>
  <si>
    <t>半月返</t>
  </si>
  <si>
    <t>矢筈投</t>
    <rPh sb="0" eb="2">
      <t>ヤハズ</t>
    </rPh>
    <rPh sb="2" eb="3">
      <t>ナ</t>
    </rPh>
    <phoneticPr fontId="2"/>
  </si>
  <si>
    <t>抱え</t>
  </si>
  <si>
    <t>首締投</t>
    <rPh sb="0" eb="2">
      <t>クビジ</t>
    </rPh>
    <rPh sb="2" eb="3">
      <t>ナ</t>
    </rPh>
    <phoneticPr fontId="2"/>
  </si>
  <si>
    <t>開/逆下/中</t>
  </si>
  <si>
    <t>首締</t>
  </si>
  <si>
    <t>首締守法十字投</t>
    <rPh sb="0" eb="2">
      <t>クビジ</t>
    </rPh>
    <rPh sb="2" eb="4">
      <t>シュホウ</t>
    </rPh>
    <rPh sb="4" eb="6">
      <t>ジュウジ</t>
    </rPh>
    <rPh sb="6" eb="7">
      <t>ナ</t>
    </rPh>
    <phoneticPr fontId="2"/>
  </si>
  <si>
    <t>拳締捕</t>
    <rPh sb="0" eb="2">
      <t>ケンジ</t>
    </rPh>
    <rPh sb="2" eb="3">
      <t>ト</t>
    </rPh>
    <phoneticPr fontId="2"/>
  </si>
  <si>
    <t>表投</t>
    <rPh sb="0" eb="2">
      <t>オモテナ</t>
    </rPh>
    <phoneticPr fontId="2"/>
  </si>
  <si>
    <t>背負</t>
  </si>
  <si>
    <t>裏投</t>
    <rPh sb="0" eb="2">
      <t>ウラナ</t>
    </rPh>
    <phoneticPr fontId="2"/>
  </si>
  <si>
    <t>後刈倒</t>
    <rPh sb="0" eb="1">
      <t>ウシ</t>
    </rPh>
    <rPh sb="1" eb="3">
      <t>カリタオ</t>
    </rPh>
    <phoneticPr fontId="2"/>
  </si>
  <si>
    <t>逆袖巻</t>
    <rPh sb="0" eb="1">
      <t>ギャク</t>
    </rPh>
    <rPh sb="1" eb="3">
      <t>ソデマキ</t>
    </rPh>
    <phoneticPr fontId="2"/>
  </si>
  <si>
    <t>袖捕内天秤</t>
    <rPh sb="0" eb="1">
      <t>ソデ</t>
    </rPh>
    <rPh sb="1" eb="2">
      <t>ト</t>
    </rPh>
    <rPh sb="2" eb="3">
      <t>ウチ</t>
    </rPh>
    <rPh sb="3" eb="5">
      <t>テンビン</t>
    </rPh>
    <phoneticPr fontId="2"/>
  </si>
  <si>
    <t>袖巻返裏</t>
    <rPh sb="0" eb="2">
      <t>ソデマキ</t>
    </rPh>
    <rPh sb="2" eb="3">
      <t>カエ</t>
    </rPh>
    <rPh sb="3" eb="4">
      <t>ウラ</t>
    </rPh>
    <phoneticPr fontId="2"/>
  </si>
  <si>
    <t>送襟捕表</t>
    <rPh sb="0" eb="1">
      <t>オク</t>
    </rPh>
    <rPh sb="1" eb="2">
      <t>エリ</t>
    </rPh>
    <rPh sb="2" eb="3">
      <t>ト</t>
    </rPh>
    <rPh sb="3" eb="4">
      <t>オモテ</t>
    </rPh>
    <phoneticPr fontId="2"/>
  </si>
  <si>
    <t>四組内天秤</t>
    <rPh sb="0" eb="2">
      <t>ヨンクミ</t>
    </rPh>
    <rPh sb="2" eb="3">
      <t>ウチ</t>
    </rPh>
    <rPh sb="3" eb="5">
      <t>テンビン</t>
    </rPh>
    <phoneticPr fontId="2"/>
  </si>
  <si>
    <t>後首投</t>
    <rPh sb="0" eb="1">
      <t>ウシ</t>
    </rPh>
    <rPh sb="1" eb="2">
      <t>クビ</t>
    </rPh>
    <rPh sb="2" eb="3">
      <t>ナ</t>
    </rPh>
    <phoneticPr fontId="2"/>
  </si>
  <si>
    <t>首締投表</t>
    <rPh sb="0" eb="2">
      <t>クビジ</t>
    </rPh>
    <rPh sb="2" eb="3">
      <t>ナ</t>
    </rPh>
    <rPh sb="3" eb="4">
      <t>オモテ</t>
    </rPh>
    <phoneticPr fontId="2"/>
  </si>
  <si>
    <t>肩打投</t>
    <rPh sb="0" eb="2">
      <t>カタウ</t>
    </rPh>
    <rPh sb="2" eb="3">
      <t>ナ</t>
    </rPh>
    <phoneticPr fontId="2"/>
  </si>
  <si>
    <t xml:space="preserve">開/中/中	</t>
  </si>
  <si>
    <t xml:space="preserve">	肩車</t>
  </si>
  <si>
    <t>虎倒二種</t>
    <rPh sb="0" eb="2">
      <t>トラタオ</t>
    </rPh>
    <rPh sb="2" eb="4">
      <t>ニシュ</t>
    </rPh>
    <phoneticPr fontId="2"/>
  </si>
  <si>
    <t>挟倒各種</t>
    <rPh sb="0" eb="1">
      <t>ハサ</t>
    </rPh>
    <rPh sb="1" eb="2">
      <t>タオ</t>
    </rPh>
    <rPh sb="2" eb="4">
      <t>カクシュ</t>
    </rPh>
    <phoneticPr fontId="2"/>
  </si>
  <si>
    <t>伏虎倒各種</t>
    <rPh sb="0" eb="2">
      <t>フッコ</t>
    </rPh>
    <rPh sb="2" eb="3">
      <t>タオ</t>
    </rPh>
    <rPh sb="3" eb="5">
      <t>カクシュ</t>
    </rPh>
    <phoneticPr fontId="2"/>
  </si>
  <si>
    <t>開/八/一</t>
    <rPh sb="0" eb="1">
      <t>ヒラ</t>
    </rPh>
    <phoneticPr fontId="2"/>
  </si>
  <si>
    <t>中逆蹴</t>
    <rPh sb="0" eb="1">
      <t>チュウ</t>
    </rPh>
    <rPh sb="1" eb="2">
      <t>ギャク</t>
    </rPh>
    <rPh sb="2" eb="3">
      <t>ケ</t>
    </rPh>
    <phoneticPr fontId="2"/>
  </si>
  <si>
    <t>替中突</t>
    <rPh sb="1" eb="2">
      <t>チュウ</t>
    </rPh>
    <rPh sb="2" eb="3">
      <t>トツ</t>
    </rPh>
    <phoneticPr fontId="2"/>
  </si>
  <si>
    <t>対/一/中</t>
    <rPh sb="0" eb="1">
      <t>タイ</t>
    </rPh>
    <phoneticPr fontId="2"/>
  </si>
  <si>
    <t>拳系</t>
  </si>
  <si>
    <t>仁王拳</t>
  </si>
  <si>
    <t>天王拳</t>
  </si>
  <si>
    <t>三合拳</t>
  </si>
  <si>
    <t>白連拳</t>
  </si>
  <si>
    <t>地王拳</t>
  </si>
  <si>
    <t>鶴立拳</t>
  </si>
  <si>
    <t>龍王拳</t>
  </si>
  <si>
    <t>6級</t>
    <rPh sb="1" eb="2">
      <t>キュウ</t>
    </rPh>
    <phoneticPr fontId="2"/>
  </si>
  <si>
    <t>５級</t>
    <rPh sb="1" eb="2">
      <t>キュウ</t>
    </rPh>
    <phoneticPr fontId="2"/>
  </si>
  <si>
    <t>４級</t>
    <rPh sb="1" eb="2">
      <t>キュウ</t>
    </rPh>
    <phoneticPr fontId="2"/>
  </si>
  <si>
    <t>3級</t>
    <rPh sb="1" eb="2">
      <t>キュウ</t>
    </rPh>
    <phoneticPr fontId="2"/>
  </si>
  <si>
    <t>2級</t>
    <rPh sb="1" eb="2">
      <t>キュウ</t>
    </rPh>
    <phoneticPr fontId="2"/>
  </si>
  <si>
    <t>1級</t>
    <rPh sb="1" eb="2">
      <t>キュウ</t>
    </rPh>
    <phoneticPr fontId="2"/>
  </si>
  <si>
    <t>初段</t>
    <rPh sb="0" eb="2">
      <t>ショダン</t>
    </rPh>
    <phoneticPr fontId="2"/>
  </si>
  <si>
    <t>二段</t>
    <rPh sb="0" eb="2">
      <t>ニダン</t>
    </rPh>
    <phoneticPr fontId="2"/>
  </si>
  <si>
    <t>三段</t>
    <rPh sb="0" eb="2">
      <t>サンダン</t>
    </rPh>
    <phoneticPr fontId="2"/>
  </si>
  <si>
    <t>四段</t>
    <rPh sb="0" eb="2">
      <t>ヨンダン</t>
    </rPh>
    <phoneticPr fontId="2"/>
  </si>
  <si>
    <t>流水蹴（後）</t>
    <rPh sb="0" eb="2">
      <t>リュウスイ</t>
    </rPh>
    <rPh sb="2" eb="3">
      <t>ケ</t>
    </rPh>
    <rPh sb="4" eb="5">
      <t>ウシ</t>
    </rPh>
    <phoneticPr fontId="2"/>
  </si>
  <si>
    <t>上受突（表・裏）</t>
    <rPh sb="0" eb="3">
      <t>ウワウケツ</t>
    </rPh>
    <rPh sb="4" eb="5">
      <t>オモテ</t>
    </rPh>
    <rPh sb="6" eb="7">
      <t>ウラ</t>
    </rPh>
    <phoneticPr fontId="2"/>
  </si>
  <si>
    <t>内受突（裏）</t>
    <rPh sb="0" eb="2">
      <t>ウチウ</t>
    </rPh>
    <rPh sb="2" eb="3">
      <t>トツ</t>
    </rPh>
    <rPh sb="4" eb="5">
      <t>ウラ</t>
    </rPh>
    <phoneticPr fontId="2"/>
  </si>
  <si>
    <t>転身蹴</t>
    <rPh sb="0" eb="2">
      <t>テンシン</t>
    </rPh>
    <rPh sb="2" eb="3">
      <t>ケ</t>
    </rPh>
    <phoneticPr fontId="2"/>
  </si>
  <si>
    <t>流水蹴（前）</t>
    <rPh sb="0" eb="2">
      <t>リュウスイ</t>
    </rPh>
    <rPh sb="2" eb="3">
      <t>ケ</t>
    </rPh>
    <rPh sb="4" eb="5">
      <t>マエ</t>
    </rPh>
    <phoneticPr fontId="2"/>
  </si>
  <si>
    <t>上受蹴（表・裏）</t>
    <rPh sb="2" eb="3">
      <t>ケ</t>
    </rPh>
    <rPh sb="4" eb="5">
      <t>オモテ</t>
    </rPh>
    <rPh sb="6" eb="7">
      <t>ウラ</t>
    </rPh>
    <phoneticPr fontId="2"/>
  </si>
  <si>
    <t>打上突（裏・表）</t>
    <rPh sb="0" eb="2">
      <t>ウチアゲ</t>
    </rPh>
    <rPh sb="2" eb="3">
      <t>ツ</t>
    </rPh>
    <rPh sb="4" eb="5">
      <t>ウラ</t>
    </rPh>
    <rPh sb="6" eb="7">
      <t>オモテ</t>
    </rPh>
    <phoneticPr fontId="2"/>
  </si>
  <si>
    <t>打上蹴（裏・表）</t>
    <rPh sb="0" eb="2">
      <t>ウチアゲ</t>
    </rPh>
    <rPh sb="2" eb="3">
      <t>ケ</t>
    </rPh>
    <rPh sb="4" eb="5">
      <t>ウラ</t>
    </rPh>
    <rPh sb="6" eb="7">
      <t>オモテ</t>
    </rPh>
    <phoneticPr fontId="2"/>
  </si>
  <si>
    <t>外受突（裏・表）</t>
    <rPh sb="0" eb="2">
      <t>ソトウケ</t>
    </rPh>
    <rPh sb="2" eb="3">
      <t>ツ</t>
    </rPh>
    <rPh sb="4" eb="5">
      <t>ウラ</t>
    </rPh>
    <rPh sb="6" eb="7">
      <t>オモテ</t>
    </rPh>
    <phoneticPr fontId="2"/>
  </si>
  <si>
    <t>外受蹴（裏・表）</t>
    <rPh sb="0" eb="2">
      <t>ソトウケ</t>
    </rPh>
    <rPh sb="2" eb="3">
      <t>ケ</t>
    </rPh>
    <rPh sb="4" eb="5">
      <t>ウラ</t>
    </rPh>
    <rPh sb="6" eb="7">
      <t>オモテ</t>
    </rPh>
    <phoneticPr fontId="2"/>
  </si>
  <si>
    <t>内受蹴（裏・表）</t>
    <rPh sb="0" eb="2">
      <t>ウチウ</t>
    </rPh>
    <rPh sb="2" eb="3">
      <t>ケ</t>
    </rPh>
    <rPh sb="4" eb="5">
      <t>ウラ</t>
    </rPh>
    <rPh sb="6" eb="7">
      <t>オモテ</t>
    </rPh>
    <phoneticPr fontId="2"/>
  </si>
  <si>
    <t>外押受突</t>
    <rPh sb="0" eb="2">
      <t>ソトオシ</t>
    </rPh>
    <rPh sb="2" eb="3">
      <t>ウケ</t>
    </rPh>
    <rPh sb="3" eb="4">
      <t>ツ</t>
    </rPh>
    <phoneticPr fontId="2"/>
  </si>
  <si>
    <t>内押受突</t>
    <rPh sb="0" eb="2">
      <t>ウチオシ</t>
    </rPh>
    <rPh sb="2" eb="3">
      <t>ウケ</t>
    </rPh>
    <rPh sb="3" eb="4">
      <t>ツ</t>
    </rPh>
    <phoneticPr fontId="2"/>
  </si>
  <si>
    <t>内受突（表）</t>
    <rPh sb="0" eb="2">
      <t>ウチウ</t>
    </rPh>
    <rPh sb="2" eb="3">
      <t>ツ</t>
    </rPh>
    <rPh sb="4" eb="5">
      <t>オモテ</t>
    </rPh>
    <phoneticPr fontId="2"/>
  </si>
  <si>
    <t>内押受蹴</t>
    <rPh sb="0" eb="2">
      <t>ウチオシ</t>
    </rPh>
    <rPh sb="2" eb="3">
      <t>ウケ</t>
    </rPh>
    <rPh sb="3" eb="4">
      <t>ケ</t>
    </rPh>
    <phoneticPr fontId="2"/>
  </si>
  <si>
    <t>半月蹴</t>
    <rPh sb="0" eb="2">
      <t>ハンゲツ</t>
    </rPh>
    <rPh sb="2" eb="3">
      <t>ケ</t>
    </rPh>
    <phoneticPr fontId="2"/>
  </si>
  <si>
    <t>下受突</t>
    <rPh sb="0" eb="2">
      <t>シタウケ</t>
    </rPh>
    <rPh sb="2" eb="3">
      <t>ツ</t>
    </rPh>
    <phoneticPr fontId="2"/>
  </si>
  <si>
    <t>下受段突</t>
    <rPh sb="0" eb="2">
      <t>シタウケ</t>
    </rPh>
    <rPh sb="2" eb="3">
      <t>ダン</t>
    </rPh>
    <rPh sb="3" eb="4">
      <t>ツ</t>
    </rPh>
    <phoneticPr fontId="2"/>
  </si>
  <si>
    <t>外受段突</t>
    <rPh sb="0" eb="2">
      <t>ソトウケ</t>
    </rPh>
    <rPh sb="2" eb="4">
      <t>ダンヅ</t>
    </rPh>
    <phoneticPr fontId="2"/>
  </si>
  <si>
    <t>打上段突</t>
    <rPh sb="0" eb="2">
      <t>ウチアゲ</t>
    </rPh>
    <rPh sb="2" eb="4">
      <t>ダンヅ</t>
    </rPh>
    <phoneticPr fontId="2"/>
  </si>
  <si>
    <t>短刀突込み下受打落蹴</t>
    <rPh sb="0" eb="2">
      <t>タントウ</t>
    </rPh>
    <rPh sb="2" eb="3">
      <t>ツ</t>
    </rPh>
    <rPh sb="3" eb="4">
      <t>コ</t>
    </rPh>
    <rPh sb="5" eb="7">
      <t>シタウケ</t>
    </rPh>
    <rPh sb="7" eb="8">
      <t>ウ</t>
    </rPh>
    <rPh sb="8" eb="9">
      <t>オ</t>
    </rPh>
    <rPh sb="9" eb="10">
      <t>ケ</t>
    </rPh>
    <phoneticPr fontId="2"/>
  </si>
  <si>
    <t>短刀振上げ流水蹴</t>
    <rPh sb="0" eb="4">
      <t>タントウフリア</t>
    </rPh>
    <rPh sb="5" eb="8">
      <t>リュウスイケ</t>
    </rPh>
    <phoneticPr fontId="2"/>
  </si>
  <si>
    <t>屈身突</t>
    <rPh sb="0" eb="2">
      <t>クッシン</t>
    </rPh>
    <rPh sb="2" eb="3">
      <t>トツ</t>
    </rPh>
    <phoneticPr fontId="2"/>
  </si>
  <si>
    <t>開身突（表・裏）</t>
    <rPh sb="0" eb="2">
      <t>カイシン</t>
    </rPh>
    <rPh sb="2" eb="3">
      <t>ツ</t>
    </rPh>
    <rPh sb="4" eb="5">
      <t>オモテ</t>
    </rPh>
    <rPh sb="6" eb="7">
      <t>ウラ</t>
    </rPh>
    <phoneticPr fontId="2"/>
  </si>
  <si>
    <t>下受蹴</t>
    <rPh sb="0" eb="2">
      <t>シタウケ</t>
    </rPh>
    <rPh sb="2" eb="3">
      <t>ケ</t>
    </rPh>
    <phoneticPr fontId="2"/>
  </si>
  <si>
    <t>下受順蹴</t>
    <rPh sb="0" eb="2">
      <t>シタウケ</t>
    </rPh>
    <rPh sb="2" eb="4">
      <t>ジュンゲ</t>
    </rPh>
    <phoneticPr fontId="2"/>
  </si>
  <si>
    <t>半転身蹴</t>
    <rPh sb="0" eb="3">
      <t>ハンテンシン</t>
    </rPh>
    <rPh sb="3" eb="4">
      <t>ケ</t>
    </rPh>
    <phoneticPr fontId="2"/>
  </si>
  <si>
    <t>横転身蹴</t>
    <rPh sb="0" eb="3">
      <t>ヨコテンシン</t>
    </rPh>
    <rPh sb="3" eb="4">
      <t>ケ</t>
    </rPh>
    <phoneticPr fontId="2"/>
  </si>
  <si>
    <t>中段返</t>
    <rPh sb="0" eb="3">
      <t>チュウダンガエ</t>
    </rPh>
    <phoneticPr fontId="2"/>
  </si>
  <si>
    <t>混天一</t>
    <rPh sb="0" eb="3">
      <t>コンテンイチ</t>
    </rPh>
    <phoneticPr fontId="2"/>
  </si>
  <si>
    <t>振天二</t>
    <rPh sb="0" eb="1">
      <t>フ</t>
    </rPh>
    <rPh sb="1" eb="3">
      <t>テンニ</t>
    </rPh>
    <phoneticPr fontId="2"/>
  </si>
  <si>
    <t>突天三</t>
    <rPh sb="0" eb="1">
      <t>ツ</t>
    </rPh>
    <rPh sb="1" eb="2">
      <t>テン</t>
    </rPh>
    <rPh sb="2" eb="3">
      <t>サン</t>
    </rPh>
    <phoneticPr fontId="2"/>
  </si>
  <si>
    <t>払受段月</t>
    <rPh sb="0" eb="1">
      <t>ハラ</t>
    </rPh>
    <rPh sb="1" eb="2">
      <t>ウケ</t>
    </rPh>
    <rPh sb="2" eb="4">
      <t>ダンヅキ</t>
    </rPh>
    <phoneticPr fontId="2"/>
  </si>
  <si>
    <t>半月返</t>
    <rPh sb="0" eb="2">
      <t>ハンゲツ</t>
    </rPh>
    <rPh sb="2" eb="3">
      <t>カエ</t>
    </rPh>
    <phoneticPr fontId="2"/>
  </si>
  <si>
    <t>三日月返</t>
    <rPh sb="0" eb="3">
      <t>ミカヅキ</t>
    </rPh>
    <rPh sb="3" eb="4">
      <t>カエ</t>
    </rPh>
    <phoneticPr fontId="2"/>
  </si>
  <si>
    <t>逆蹴地一</t>
    <rPh sb="0" eb="2">
      <t>ギャクケ</t>
    </rPh>
    <rPh sb="2" eb="4">
      <t>チイチ</t>
    </rPh>
    <phoneticPr fontId="2"/>
  </si>
  <si>
    <t>順蹴地三</t>
    <rPh sb="0" eb="2">
      <t>ジュンケ</t>
    </rPh>
    <rPh sb="2" eb="4">
      <t>チサン</t>
    </rPh>
    <phoneticPr fontId="2"/>
  </si>
  <si>
    <t>逆蹴地三</t>
    <rPh sb="0" eb="2">
      <t>ギャクケ</t>
    </rPh>
    <rPh sb="2" eb="3">
      <t>チ</t>
    </rPh>
    <rPh sb="3" eb="4">
      <t>サン</t>
    </rPh>
    <phoneticPr fontId="2"/>
  </si>
  <si>
    <t>金的蹴膝受波返</t>
    <rPh sb="0" eb="3">
      <t>キンテキケ</t>
    </rPh>
    <rPh sb="3" eb="5">
      <t>ヒザウケ</t>
    </rPh>
    <rPh sb="5" eb="7">
      <t>ナミカエ</t>
    </rPh>
    <phoneticPr fontId="2"/>
  </si>
  <si>
    <t>逆蹴膝受波返</t>
    <rPh sb="0" eb="2">
      <t>ギャクゲ</t>
    </rPh>
    <rPh sb="2" eb="4">
      <t>ヒザウケ</t>
    </rPh>
    <rPh sb="4" eb="6">
      <t>ナミカエ</t>
    </rPh>
    <phoneticPr fontId="2"/>
  </si>
  <si>
    <t>足刀蹴引足波返</t>
    <rPh sb="0" eb="2">
      <t>ソクトウ</t>
    </rPh>
    <rPh sb="2" eb="3">
      <t>ケ</t>
    </rPh>
    <rPh sb="3" eb="4">
      <t>ヒ</t>
    </rPh>
    <rPh sb="4" eb="5">
      <t>アシ</t>
    </rPh>
    <rPh sb="5" eb="7">
      <t>ナミカエ</t>
    </rPh>
    <phoneticPr fontId="2"/>
  </si>
  <si>
    <t>廻蹴三防受波返</t>
    <rPh sb="0" eb="1">
      <t>マワ</t>
    </rPh>
    <rPh sb="1" eb="2">
      <t>ケ</t>
    </rPh>
    <rPh sb="2" eb="5">
      <t>サンボウウケ</t>
    </rPh>
    <rPh sb="5" eb="7">
      <t>ナミカエ</t>
    </rPh>
    <phoneticPr fontId="2"/>
  </si>
  <si>
    <t>段蹴三防受段蹴返</t>
    <rPh sb="0" eb="2">
      <t>ダンゲ</t>
    </rPh>
    <rPh sb="2" eb="5">
      <t>サンボウウケ</t>
    </rPh>
    <rPh sb="5" eb="7">
      <t>ダンゲ</t>
    </rPh>
    <rPh sb="7" eb="8">
      <t>カエ</t>
    </rPh>
    <phoneticPr fontId="2"/>
  </si>
  <si>
    <t>片手寄抜</t>
    <rPh sb="0" eb="2">
      <t>カタテ</t>
    </rPh>
    <rPh sb="2" eb="3">
      <t>ヨ</t>
    </rPh>
    <rPh sb="3" eb="4">
      <t>ヌ</t>
    </rPh>
    <phoneticPr fontId="2"/>
  </si>
  <si>
    <t>巻抜（片手）</t>
    <rPh sb="0" eb="1">
      <t>マ</t>
    </rPh>
    <rPh sb="1" eb="2">
      <t>ヌ</t>
    </rPh>
    <rPh sb="3" eb="5">
      <t>カタテ</t>
    </rPh>
    <phoneticPr fontId="2"/>
  </si>
  <si>
    <t>突抜（外・内）</t>
    <rPh sb="0" eb="1">
      <t>ツ</t>
    </rPh>
    <rPh sb="1" eb="2">
      <t>ヌ</t>
    </rPh>
    <rPh sb="3" eb="4">
      <t>ソト</t>
    </rPh>
    <rPh sb="5" eb="6">
      <t>ウチ</t>
    </rPh>
    <phoneticPr fontId="2"/>
  </si>
  <si>
    <t>切抜（外・内）</t>
    <rPh sb="0" eb="1">
      <t>キ</t>
    </rPh>
    <rPh sb="1" eb="2">
      <t>ヌ</t>
    </rPh>
    <rPh sb="3" eb="4">
      <t>ソト</t>
    </rPh>
    <rPh sb="5" eb="6">
      <t>ウチ</t>
    </rPh>
    <phoneticPr fontId="2"/>
  </si>
  <si>
    <t>十字抜（片手）</t>
    <rPh sb="0" eb="2">
      <t>ジュウジ</t>
    </rPh>
    <rPh sb="2" eb="3">
      <t>ヌ</t>
    </rPh>
    <rPh sb="4" eb="6">
      <t>カタテ</t>
    </rPh>
    <phoneticPr fontId="2"/>
  </si>
  <si>
    <t>諸手突抜</t>
    <rPh sb="0" eb="2">
      <t>モロテ</t>
    </rPh>
    <rPh sb="2" eb="3">
      <t>ツ</t>
    </rPh>
    <rPh sb="3" eb="4">
      <t>ヌ</t>
    </rPh>
    <phoneticPr fontId="2"/>
  </si>
  <si>
    <t>片手押抜</t>
    <rPh sb="0" eb="2">
      <t>カタテ</t>
    </rPh>
    <rPh sb="2" eb="4">
      <t>オシヌ</t>
    </rPh>
    <phoneticPr fontId="2"/>
  </si>
  <si>
    <t>諸手十字抜</t>
    <rPh sb="0" eb="2">
      <t>モロテ</t>
    </rPh>
    <rPh sb="2" eb="5">
      <t>ジュウジヌ</t>
    </rPh>
    <phoneticPr fontId="2"/>
  </si>
  <si>
    <t>諸手引抜</t>
    <rPh sb="0" eb="2">
      <t>モロテ</t>
    </rPh>
    <rPh sb="2" eb="3">
      <t>ヒ</t>
    </rPh>
    <rPh sb="3" eb="4">
      <t>ヌ</t>
    </rPh>
    <phoneticPr fontId="2"/>
  </si>
  <si>
    <t>諸手巻抜</t>
    <rPh sb="0" eb="2">
      <t>モロテ</t>
    </rPh>
    <rPh sb="2" eb="3">
      <t>マ</t>
    </rPh>
    <rPh sb="3" eb="4">
      <t>ヌ</t>
    </rPh>
    <phoneticPr fontId="2"/>
  </si>
  <si>
    <t>足抜（二種）</t>
    <rPh sb="0" eb="2">
      <t>アシヌ</t>
    </rPh>
    <rPh sb="3" eb="5">
      <t>ニシュ</t>
    </rPh>
    <phoneticPr fontId="2"/>
  </si>
  <si>
    <t>送巻天秤</t>
    <rPh sb="0" eb="1">
      <t>オク</t>
    </rPh>
    <rPh sb="1" eb="2">
      <t>マ</t>
    </rPh>
    <rPh sb="2" eb="4">
      <t>テンビン</t>
    </rPh>
    <phoneticPr fontId="2"/>
  </si>
  <si>
    <t>十字小手（片手）</t>
    <rPh sb="0" eb="4">
      <t>ジュウジコテ</t>
    </rPh>
    <rPh sb="5" eb="7">
      <t>カタテ</t>
    </rPh>
    <phoneticPr fontId="2"/>
  </si>
  <si>
    <t>送捕</t>
    <rPh sb="0" eb="1">
      <t>オク</t>
    </rPh>
    <rPh sb="1" eb="2">
      <t>ホ</t>
    </rPh>
    <phoneticPr fontId="2"/>
  </si>
  <si>
    <t>略十字小手</t>
    <rPh sb="0" eb="1">
      <t>リャク</t>
    </rPh>
    <rPh sb="1" eb="5">
      <t>ジュウジコテ</t>
    </rPh>
    <phoneticPr fontId="2"/>
  </si>
  <si>
    <t>巻十字小手</t>
    <rPh sb="0" eb="3">
      <t>カンジュウジ</t>
    </rPh>
    <rPh sb="3" eb="5">
      <t>コテ</t>
    </rPh>
    <phoneticPr fontId="2"/>
  </si>
  <si>
    <t>巻小手（片手・諸手）</t>
    <rPh sb="0" eb="1">
      <t>マ</t>
    </rPh>
    <rPh sb="1" eb="3">
      <t>コテ</t>
    </rPh>
    <rPh sb="4" eb="6">
      <t>カタテ</t>
    </rPh>
    <rPh sb="7" eb="9">
      <t>モロテ</t>
    </rPh>
    <phoneticPr fontId="2"/>
  </si>
  <si>
    <t>諸手逆小手</t>
    <rPh sb="0" eb="2">
      <t>モロテ</t>
    </rPh>
    <rPh sb="2" eb="5">
      <t>ギャクコテ</t>
    </rPh>
    <phoneticPr fontId="2"/>
  </si>
  <si>
    <t>下受蹴小手投</t>
    <rPh sb="0" eb="3">
      <t>シタウケケ</t>
    </rPh>
    <rPh sb="3" eb="5">
      <t>コテ</t>
    </rPh>
    <rPh sb="5" eb="6">
      <t>ナ</t>
    </rPh>
    <phoneticPr fontId="2"/>
  </si>
  <si>
    <t>龍投</t>
    <rPh sb="0" eb="2">
      <t>リュウナ</t>
    </rPh>
    <phoneticPr fontId="2"/>
  </si>
  <si>
    <t>外巻天秤</t>
    <rPh sb="0" eb="2">
      <t>ソトマ</t>
    </rPh>
    <rPh sb="2" eb="4">
      <t>テンビン</t>
    </rPh>
    <phoneticPr fontId="2"/>
  </si>
  <si>
    <t>諸手送小手</t>
    <rPh sb="0" eb="2">
      <t>モロテ</t>
    </rPh>
    <rPh sb="2" eb="3">
      <t>オク</t>
    </rPh>
    <rPh sb="3" eb="5">
      <t>コテ</t>
    </rPh>
    <phoneticPr fontId="2"/>
  </si>
  <si>
    <t>吊落</t>
    <rPh sb="0" eb="2">
      <t>ツリオ</t>
    </rPh>
    <phoneticPr fontId="2"/>
  </si>
  <si>
    <t>送肘攻</t>
    <rPh sb="0" eb="1">
      <t>オク</t>
    </rPh>
    <rPh sb="1" eb="3">
      <t>ヒジゼ</t>
    </rPh>
    <phoneticPr fontId="2"/>
  </si>
  <si>
    <t>抜打押小手</t>
    <rPh sb="0" eb="2">
      <t>ヌキウ</t>
    </rPh>
    <rPh sb="2" eb="5">
      <t>オシコテ</t>
    </rPh>
    <phoneticPr fontId="2"/>
  </si>
  <si>
    <t>切返巻天秤</t>
    <rPh sb="0" eb="2">
      <t>キヘン</t>
    </rPh>
    <rPh sb="2" eb="3">
      <t>マ</t>
    </rPh>
    <rPh sb="3" eb="5">
      <t>テンビン</t>
    </rPh>
    <phoneticPr fontId="2"/>
  </si>
  <si>
    <t>切返天秤</t>
    <rPh sb="0" eb="4">
      <t>キヘンテンビン</t>
    </rPh>
    <phoneticPr fontId="2"/>
  </si>
  <si>
    <t>巻込小手</t>
    <rPh sb="0" eb="1">
      <t>マ</t>
    </rPh>
    <rPh sb="1" eb="2">
      <t>コ</t>
    </rPh>
    <rPh sb="2" eb="4">
      <t>コテ</t>
    </rPh>
    <phoneticPr fontId="2"/>
  </si>
  <si>
    <t>諸手送小手投</t>
    <rPh sb="0" eb="2">
      <t>モロテ</t>
    </rPh>
    <rPh sb="2" eb="3">
      <t>オク</t>
    </rPh>
    <rPh sb="3" eb="5">
      <t>コテ</t>
    </rPh>
    <rPh sb="5" eb="6">
      <t>ナ</t>
    </rPh>
    <phoneticPr fontId="2"/>
  </si>
  <si>
    <t>送四指捕</t>
    <rPh sb="0" eb="1">
      <t>オク</t>
    </rPh>
    <rPh sb="1" eb="3">
      <t>シシ</t>
    </rPh>
    <rPh sb="3" eb="4">
      <t>ホ</t>
    </rPh>
    <phoneticPr fontId="2"/>
  </si>
  <si>
    <t>振捨表投</t>
    <rPh sb="0" eb="2">
      <t>フリス</t>
    </rPh>
    <rPh sb="2" eb="3">
      <t>オモテ</t>
    </rPh>
    <rPh sb="3" eb="4">
      <t>ナ</t>
    </rPh>
    <phoneticPr fontId="2"/>
  </si>
  <si>
    <t>切返小手</t>
    <rPh sb="0" eb="2">
      <t>キヘン</t>
    </rPh>
    <rPh sb="2" eb="4">
      <t>コテ</t>
    </rPh>
    <phoneticPr fontId="2"/>
  </si>
  <si>
    <t>切返投</t>
    <rPh sb="0" eb="2">
      <t>キヘン</t>
    </rPh>
    <rPh sb="2" eb="3">
      <t>ナ</t>
    </rPh>
    <phoneticPr fontId="2"/>
  </si>
  <si>
    <t>諸手切返投</t>
    <rPh sb="0" eb="2">
      <t>モロテ</t>
    </rPh>
    <rPh sb="2" eb="4">
      <t>キヘン</t>
    </rPh>
    <rPh sb="4" eb="5">
      <t>ナ</t>
    </rPh>
    <phoneticPr fontId="2"/>
  </si>
  <si>
    <t>居捕送小手</t>
    <rPh sb="0" eb="1">
      <t>イ</t>
    </rPh>
    <rPh sb="1" eb="2">
      <t>ホ</t>
    </rPh>
    <rPh sb="2" eb="3">
      <t>オク</t>
    </rPh>
    <rPh sb="3" eb="5">
      <t>コテ</t>
    </rPh>
    <phoneticPr fontId="2"/>
  </si>
  <si>
    <t>居捕逆小手</t>
    <rPh sb="0" eb="1">
      <t>イ</t>
    </rPh>
    <rPh sb="1" eb="2">
      <t>ホ</t>
    </rPh>
    <rPh sb="2" eb="3">
      <t>ギャク</t>
    </rPh>
    <rPh sb="3" eb="5">
      <t>コテ</t>
    </rPh>
    <phoneticPr fontId="2"/>
  </si>
  <si>
    <t>居捕押小手</t>
    <rPh sb="0" eb="1">
      <t>イ</t>
    </rPh>
    <rPh sb="1" eb="2">
      <t>ホ</t>
    </rPh>
    <rPh sb="2" eb="5">
      <t>オシコテ</t>
    </rPh>
    <phoneticPr fontId="2"/>
  </si>
  <si>
    <t>合掌逆小手</t>
    <rPh sb="0" eb="2">
      <t>ガッショウ</t>
    </rPh>
    <rPh sb="2" eb="5">
      <t>ギャクコテ</t>
    </rPh>
    <phoneticPr fontId="2"/>
  </si>
  <si>
    <t>送合掌（二種）</t>
    <rPh sb="0" eb="1">
      <t>オク</t>
    </rPh>
    <rPh sb="1" eb="3">
      <t>ガッショウ</t>
    </rPh>
    <rPh sb="4" eb="6">
      <t>ニシュ</t>
    </rPh>
    <phoneticPr fontId="2"/>
  </si>
  <si>
    <t>逆合掌投（二種）</t>
    <rPh sb="0" eb="1">
      <t>ギャク</t>
    </rPh>
    <rPh sb="1" eb="3">
      <t>ガッショウ</t>
    </rPh>
    <rPh sb="3" eb="4">
      <t>ナ</t>
    </rPh>
    <rPh sb="5" eb="7">
      <t>ニシュ</t>
    </rPh>
    <phoneticPr fontId="2"/>
  </si>
  <si>
    <t>熊手返（片手・両手）</t>
    <rPh sb="0" eb="2">
      <t>クマデ</t>
    </rPh>
    <rPh sb="2" eb="3">
      <t>カエ</t>
    </rPh>
    <rPh sb="4" eb="6">
      <t>カタテ</t>
    </rPh>
    <rPh sb="7" eb="9">
      <t>リョウテ</t>
    </rPh>
    <phoneticPr fontId="2"/>
  </si>
  <si>
    <t>合掌丁字</t>
    <rPh sb="0" eb="2">
      <t>ガッショウ</t>
    </rPh>
    <rPh sb="2" eb="4">
      <t>テイジ</t>
    </rPh>
    <phoneticPr fontId="2"/>
  </si>
  <si>
    <t>合掌突落</t>
    <rPh sb="0" eb="2">
      <t>ガッショウ</t>
    </rPh>
    <rPh sb="2" eb="3">
      <t>ツ</t>
    </rPh>
    <rPh sb="3" eb="4">
      <t>オト</t>
    </rPh>
    <phoneticPr fontId="2"/>
  </si>
  <si>
    <t>上受投</t>
    <rPh sb="0" eb="2">
      <t>ウワウケ</t>
    </rPh>
    <rPh sb="2" eb="3">
      <t>ナ</t>
    </rPh>
    <phoneticPr fontId="2"/>
  </si>
  <si>
    <t>上受逆手投</t>
    <rPh sb="0" eb="2">
      <t>ウワウケ</t>
    </rPh>
    <rPh sb="2" eb="4">
      <t>ギャクテ</t>
    </rPh>
    <rPh sb="4" eb="5">
      <t>ナ</t>
    </rPh>
    <phoneticPr fontId="2"/>
  </si>
  <si>
    <t>上受背投</t>
    <rPh sb="0" eb="2">
      <t>ウワウケ</t>
    </rPh>
    <rPh sb="2" eb="4">
      <t>セナ</t>
    </rPh>
    <phoneticPr fontId="2"/>
  </si>
  <si>
    <t>押受投</t>
    <rPh sb="0" eb="2">
      <t>オシウケ</t>
    </rPh>
    <rPh sb="2" eb="3">
      <t>ナ</t>
    </rPh>
    <phoneticPr fontId="2"/>
  </si>
  <si>
    <t>押受巻投</t>
    <rPh sb="0" eb="2">
      <t>オシウケ</t>
    </rPh>
    <rPh sb="2" eb="4">
      <t>マキナ</t>
    </rPh>
    <phoneticPr fontId="2"/>
  </si>
  <si>
    <t>閂外天秤</t>
    <rPh sb="0" eb="1">
      <t>カンヌキ</t>
    </rPh>
    <rPh sb="1" eb="4">
      <t>ソトテンビン</t>
    </rPh>
    <phoneticPr fontId="2"/>
  </si>
  <si>
    <t>腕十字固</t>
    <rPh sb="0" eb="1">
      <t>ウデ</t>
    </rPh>
    <rPh sb="1" eb="4">
      <t>ジュウジカタ</t>
    </rPh>
    <phoneticPr fontId="2"/>
  </si>
  <si>
    <t>十字固</t>
    <rPh sb="0" eb="3">
      <t>ジュウジカタ</t>
    </rPh>
    <phoneticPr fontId="2"/>
  </si>
  <si>
    <t>送指捕</t>
    <rPh sb="0" eb="1">
      <t>オク</t>
    </rPh>
    <rPh sb="1" eb="2">
      <t>ユビ</t>
    </rPh>
    <rPh sb="2" eb="3">
      <t>ホ</t>
    </rPh>
    <phoneticPr fontId="2"/>
  </si>
  <si>
    <t>天秤固（裏）</t>
    <rPh sb="0" eb="2">
      <t>テンビン</t>
    </rPh>
    <rPh sb="2" eb="3">
      <t>カタ</t>
    </rPh>
    <rPh sb="4" eb="5">
      <t>ウラ</t>
    </rPh>
    <phoneticPr fontId="2"/>
  </si>
  <si>
    <t>送天秤捕（二種）</t>
    <rPh sb="0" eb="1">
      <t>オク</t>
    </rPh>
    <rPh sb="1" eb="3">
      <t>テンビン</t>
    </rPh>
    <rPh sb="3" eb="4">
      <t>ホ</t>
    </rPh>
    <rPh sb="5" eb="7">
      <t>ニシュ</t>
    </rPh>
    <phoneticPr fontId="2"/>
  </si>
  <si>
    <t>立一字固</t>
    <rPh sb="0" eb="1">
      <t>タ</t>
    </rPh>
    <rPh sb="1" eb="3">
      <t>イチジ</t>
    </rPh>
    <rPh sb="3" eb="4">
      <t>カタ</t>
    </rPh>
    <phoneticPr fontId="2"/>
  </si>
  <si>
    <t>背越一字固</t>
    <rPh sb="0" eb="2">
      <t>セコ</t>
    </rPh>
    <rPh sb="2" eb="4">
      <t>イチジ</t>
    </rPh>
    <rPh sb="4" eb="5">
      <t>カタ</t>
    </rPh>
    <phoneticPr fontId="2"/>
  </si>
  <si>
    <t>吊上捕</t>
    <rPh sb="0" eb="2">
      <t>ツリア</t>
    </rPh>
    <rPh sb="2" eb="3">
      <t>ホ</t>
    </rPh>
    <phoneticPr fontId="2"/>
  </si>
  <si>
    <t>吊上裏固</t>
    <rPh sb="0" eb="2">
      <t>ツリア</t>
    </rPh>
    <rPh sb="2" eb="4">
      <t>ウラカタ</t>
    </rPh>
    <phoneticPr fontId="2"/>
  </si>
  <si>
    <t>蜘蛛絡</t>
    <rPh sb="0" eb="3">
      <t>クモカラ</t>
    </rPh>
    <phoneticPr fontId="2"/>
  </si>
  <si>
    <t>裏合掌固</t>
    <rPh sb="0" eb="1">
      <t>ウラ</t>
    </rPh>
    <rPh sb="1" eb="3">
      <t>ガッショウ</t>
    </rPh>
    <rPh sb="3" eb="4">
      <t>カタ</t>
    </rPh>
    <phoneticPr fontId="2"/>
  </si>
  <si>
    <t>裏膝固</t>
    <rPh sb="0" eb="1">
      <t>ウラ</t>
    </rPh>
    <rPh sb="1" eb="2">
      <t>ヒザ</t>
    </rPh>
    <rPh sb="2" eb="3">
      <t>カタ</t>
    </rPh>
    <phoneticPr fontId="2"/>
  </si>
  <si>
    <t>龍固</t>
    <rPh sb="0" eb="2">
      <t>リュウカタ</t>
    </rPh>
    <phoneticPr fontId="2"/>
  </si>
  <si>
    <t>押指固</t>
    <rPh sb="0" eb="2">
      <t>オシユビ</t>
    </rPh>
    <rPh sb="2" eb="3">
      <t>カタ</t>
    </rPh>
    <phoneticPr fontId="2"/>
  </si>
  <si>
    <t>合掌送捕</t>
    <rPh sb="0" eb="2">
      <t>ガッショウ</t>
    </rPh>
    <rPh sb="2" eb="3">
      <t>オク</t>
    </rPh>
    <rPh sb="3" eb="4">
      <t>ホ</t>
    </rPh>
    <phoneticPr fontId="2"/>
  </si>
  <si>
    <t>閂送（捕）</t>
    <rPh sb="0" eb="1">
      <t>カンヌキ</t>
    </rPh>
    <rPh sb="1" eb="2">
      <t>オク</t>
    </rPh>
    <rPh sb="3" eb="4">
      <t>ホ</t>
    </rPh>
    <phoneticPr fontId="2"/>
  </si>
  <si>
    <t>前腕固</t>
    <rPh sb="0" eb="2">
      <t>マエウデ</t>
    </rPh>
    <rPh sb="2" eb="3">
      <t>カタ</t>
    </rPh>
    <phoneticPr fontId="2"/>
  </si>
  <si>
    <t>後腕固</t>
    <rPh sb="0" eb="1">
      <t>ウシ</t>
    </rPh>
    <rPh sb="1" eb="2">
      <t>ウデ</t>
    </rPh>
    <rPh sb="2" eb="3">
      <t>カタ</t>
    </rPh>
    <phoneticPr fontId="2"/>
  </si>
  <si>
    <t>袖巻</t>
    <rPh sb="0" eb="1">
      <t>ソデ</t>
    </rPh>
    <rPh sb="1" eb="2">
      <t>マ</t>
    </rPh>
    <phoneticPr fontId="2"/>
  </si>
  <si>
    <t>袖捕</t>
    <rPh sb="0" eb="1">
      <t>ソデ</t>
    </rPh>
    <rPh sb="1" eb="2">
      <t>ホ</t>
    </rPh>
    <phoneticPr fontId="2"/>
  </si>
  <si>
    <t>袖巻天秤</t>
    <rPh sb="0" eb="2">
      <t>ソデマ</t>
    </rPh>
    <rPh sb="2" eb="4">
      <t>テンビン</t>
    </rPh>
    <phoneticPr fontId="2"/>
  </si>
  <si>
    <t>片胸落</t>
    <rPh sb="0" eb="1">
      <t>カタ</t>
    </rPh>
    <rPh sb="1" eb="2">
      <t>ムネ</t>
    </rPh>
    <rPh sb="2" eb="3">
      <t>オ</t>
    </rPh>
    <phoneticPr fontId="2"/>
  </si>
  <si>
    <t>腕巻</t>
    <rPh sb="0" eb="2">
      <t>ウデマ</t>
    </rPh>
    <phoneticPr fontId="2"/>
  </si>
  <si>
    <t>引胸落</t>
    <rPh sb="0" eb="1">
      <t>ヒ</t>
    </rPh>
    <rPh sb="1" eb="2">
      <t>ムネ</t>
    </rPh>
    <rPh sb="2" eb="3">
      <t>オト</t>
    </rPh>
    <phoneticPr fontId="2"/>
  </si>
  <si>
    <t>両胸落</t>
    <rPh sb="0" eb="1">
      <t>リョウ</t>
    </rPh>
    <rPh sb="1" eb="2">
      <t>ムネ</t>
    </rPh>
    <rPh sb="2" eb="3">
      <t>オト</t>
    </rPh>
    <phoneticPr fontId="2"/>
  </si>
  <si>
    <t>巻落</t>
    <rPh sb="0" eb="2">
      <t>マキオ</t>
    </rPh>
    <phoneticPr fontId="2"/>
  </si>
  <si>
    <t>外巻落</t>
    <rPh sb="0" eb="2">
      <t>ソトマ</t>
    </rPh>
    <rPh sb="2" eb="3">
      <t>オ</t>
    </rPh>
    <phoneticPr fontId="2"/>
  </si>
  <si>
    <t>袖口巻</t>
    <rPh sb="0" eb="2">
      <t>ソデグチ</t>
    </rPh>
    <rPh sb="2" eb="3">
      <t>マ</t>
    </rPh>
    <phoneticPr fontId="2"/>
  </si>
  <si>
    <t>袖口捕</t>
    <rPh sb="0" eb="2">
      <t>ソデグチ</t>
    </rPh>
    <rPh sb="2" eb="3">
      <t>ホ</t>
    </rPh>
    <phoneticPr fontId="2"/>
  </si>
  <si>
    <t>袖巻返</t>
    <rPh sb="0" eb="2">
      <t>ソデマ</t>
    </rPh>
    <rPh sb="2" eb="3">
      <t>カエ</t>
    </rPh>
    <phoneticPr fontId="2"/>
  </si>
  <si>
    <t>逆袖捕</t>
    <rPh sb="0" eb="1">
      <t>ギャク</t>
    </rPh>
    <rPh sb="1" eb="2">
      <t>ソデ</t>
    </rPh>
    <rPh sb="2" eb="3">
      <t>ホ</t>
    </rPh>
    <phoneticPr fontId="2"/>
  </si>
  <si>
    <t>後袖巻（捕）</t>
    <rPh sb="0" eb="1">
      <t>ウシ</t>
    </rPh>
    <rPh sb="1" eb="2">
      <t>ソデ</t>
    </rPh>
    <rPh sb="2" eb="3">
      <t>マ</t>
    </rPh>
    <rPh sb="4" eb="5">
      <t>ト</t>
    </rPh>
    <phoneticPr fontId="2"/>
  </si>
  <si>
    <t>送襟捕</t>
    <rPh sb="0" eb="1">
      <t>オク</t>
    </rPh>
    <rPh sb="1" eb="2">
      <t>エリ</t>
    </rPh>
    <rPh sb="2" eb="3">
      <t>ホ</t>
    </rPh>
    <phoneticPr fontId="2"/>
  </si>
  <si>
    <t>後襟捕（表・裏）</t>
    <rPh sb="0" eb="1">
      <t>ウシ</t>
    </rPh>
    <rPh sb="1" eb="2">
      <t>エリ</t>
    </rPh>
    <rPh sb="2" eb="3">
      <t>ホ</t>
    </rPh>
    <rPh sb="4" eb="5">
      <t>オモテ</t>
    </rPh>
    <rPh sb="6" eb="7">
      <t>ウラ</t>
    </rPh>
    <phoneticPr fontId="2"/>
  </si>
  <si>
    <t>半月首投</t>
    <rPh sb="0" eb="2">
      <t>ハンゲツ</t>
    </rPh>
    <rPh sb="2" eb="3">
      <t>クビ</t>
    </rPh>
    <rPh sb="3" eb="4">
      <t>ナ</t>
    </rPh>
    <phoneticPr fontId="2"/>
  </si>
  <si>
    <t>巻打首投</t>
    <rPh sb="0" eb="1">
      <t>マ</t>
    </rPh>
    <rPh sb="1" eb="2">
      <t>ウ</t>
    </rPh>
    <rPh sb="2" eb="3">
      <t>クビ</t>
    </rPh>
    <rPh sb="3" eb="4">
      <t>ナ</t>
    </rPh>
    <phoneticPr fontId="2"/>
  </si>
  <si>
    <t>首締守法十字投</t>
    <rPh sb="0" eb="2">
      <t>クビジ</t>
    </rPh>
    <rPh sb="2" eb="3">
      <t>シュ</t>
    </rPh>
    <rPh sb="3" eb="4">
      <t>ホウ</t>
    </rPh>
    <rPh sb="4" eb="6">
      <t>ジュウジ</t>
    </rPh>
    <rPh sb="6" eb="7">
      <t>トウ</t>
    </rPh>
    <phoneticPr fontId="2"/>
  </si>
  <si>
    <t>拳締捕</t>
    <rPh sb="0" eb="2">
      <t>ケンジ</t>
    </rPh>
    <rPh sb="2" eb="3">
      <t>ホ</t>
    </rPh>
    <phoneticPr fontId="2"/>
  </si>
  <si>
    <t>表投</t>
    <rPh sb="0" eb="1">
      <t>オモテ</t>
    </rPh>
    <rPh sb="1" eb="2">
      <t>ナ</t>
    </rPh>
    <phoneticPr fontId="2"/>
  </si>
  <si>
    <t>裏投</t>
    <rPh sb="0" eb="1">
      <t>ウラ</t>
    </rPh>
    <rPh sb="1" eb="2">
      <t>ナ</t>
    </rPh>
    <phoneticPr fontId="2"/>
  </si>
  <si>
    <t>後刈倒</t>
    <rPh sb="0" eb="1">
      <t>ウシ</t>
    </rPh>
    <rPh sb="1" eb="2">
      <t>カ</t>
    </rPh>
    <rPh sb="2" eb="3">
      <t>タオ</t>
    </rPh>
    <phoneticPr fontId="2"/>
  </si>
  <si>
    <t>逆袖巻</t>
    <rPh sb="0" eb="1">
      <t>ギャク</t>
    </rPh>
    <rPh sb="1" eb="2">
      <t>ソデ</t>
    </rPh>
    <rPh sb="2" eb="3">
      <t>マ</t>
    </rPh>
    <phoneticPr fontId="2"/>
  </si>
  <si>
    <t>上段逆突
横に足捌き</t>
    <rPh sb="0" eb="2">
      <t>ジョウダン</t>
    </rPh>
    <rPh sb="2" eb="3">
      <t>ギャク</t>
    </rPh>
    <rPh sb="3" eb="4">
      <t>ツ</t>
    </rPh>
    <rPh sb="5" eb="6">
      <t>ヨコ</t>
    </rPh>
    <rPh sb="7" eb="8">
      <t>アシ</t>
    </rPh>
    <rPh sb="8" eb="9">
      <t>サバ</t>
    </rPh>
    <phoneticPr fontId="2"/>
  </si>
  <si>
    <t>上段逆突又は手刀打込
体捌きだけでかわす</t>
    <rPh sb="0" eb="2">
      <t>ジョウダン</t>
    </rPh>
    <rPh sb="2" eb="3">
      <t>ギャク</t>
    </rPh>
    <rPh sb="3" eb="4">
      <t>ツ</t>
    </rPh>
    <rPh sb="4" eb="5">
      <t>マタ</t>
    </rPh>
    <rPh sb="6" eb="8">
      <t>シュトウ</t>
    </rPh>
    <rPh sb="8" eb="10">
      <t>ウチコ</t>
    </rPh>
    <rPh sb="11" eb="13">
      <t>タイサバ</t>
    </rPh>
    <phoneticPr fontId="2"/>
  </si>
  <si>
    <t>手刀打
腕刀で受ける</t>
    <rPh sb="0" eb="1">
      <t>テ</t>
    </rPh>
    <rPh sb="1" eb="2">
      <t>カタナ</t>
    </rPh>
    <rPh sb="2" eb="3">
      <t>ウ</t>
    </rPh>
    <rPh sb="4" eb="6">
      <t>ワントウ</t>
    </rPh>
    <rPh sb="7" eb="8">
      <t>ウ</t>
    </rPh>
    <phoneticPr fontId="2"/>
  </si>
  <si>
    <t>上段逆突
腕刀で受ける</t>
    <rPh sb="0" eb="2">
      <t>ジョウダン</t>
    </rPh>
    <rPh sb="2" eb="4">
      <t>ギ</t>
    </rPh>
    <rPh sb="5" eb="7">
      <t>ワントウ</t>
    </rPh>
    <rPh sb="8" eb="9">
      <t>ウ</t>
    </rPh>
    <phoneticPr fontId="2"/>
  </si>
  <si>
    <t>上段逆突
握拳打上</t>
    <rPh sb="0" eb="2">
      <t>ジョウダン</t>
    </rPh>
    <rPh sb="2" eb="4">
      <t>ギャクツ</t>
    </rPh>
    <rPh sb="5" eb="6">
      <t>アク</t>
    </rPh>
    <rPh sb="6" eb="7">
      <t>ケン</t>
    </rPh>
    <rPh sb="7" eb="9">
      <t>ウチアゲ</t>
    </rPh>
    <phoneticPr fontId="2"/>
  </si>
  <si>
    <t>上段振突
屈身と流水</t>
    <rPh sb="0" eb="2">
      <t>ジョウダン</t>
    </rPh>
    <rPh sb="2" eb="3">
      <t>フ</t>
    </rPh>
    <rPh sb="3" eb="4">
      <t>ツ</t>
    </rPh>
    <rPh sb="5" eb="7">
      <t>クッシン</t>
    </rPh>
    <rPh sb="8" eb="10">
      <t>リュウスイ</t>
    </rPh>
    <phoneticPr fontId="2"/>
  </si>
  <si>
    <t>上段逆突
後ろ手腕刀で受ける</t>
    <rPh sb="0" eb="2">
      <t>ジョウダン</t>
    </rPh>
    <rPh sb="2" eb="4">
      <t>ギャクツ</t>
    </rPh>
    <rPh sb="5" eb="6">
      <t>ウシ</t>
    </rPh>
    <rPh sb="7" eb="8">
      <t>テ</t>
    </rPh>
    <rPh sb="8" eb="10">
      <t>ワントウ</t>
    </rPh>
    <rPh sb="11" eb="12">
      <t>ウ</t>
    </rPh>
    <phoneticPr fontId="2"/>
  </si>
  <si>
    <t>振突
腕刀で押し受ける</t>
    <rPh sb="0" eb="1">
      <t>フ</t>
    </rPh>
    <rPh sb="1" eb="2">
      <t>ツ</t>
    </rPh>
    <rPh sb="3" eb="5">
      <t>ワントウ</t>
    </rPh>
    <rPh sb="6" eb="7">
      <t>オ</t>
    </rPh>
    <rPh sb="8" eb="9">
      <t>ウ</t>
    </rPh>
    <phoneticPr fontId="2"/>
  </si>
  <si>
    <t>上段逆突
半月受</t>
    <rPh sb="0" eb="2">
      <t>ジョウダン</t>
    </rPh>
    <rPh sb="2" eb="4">
      <t>ギャクツ</t>
    </rPh>
    <rPh sb="5" eb="8">
      <t>ハンゲツウケ</t>
    </rPh>
    <phoneticPr fontId="2"/>
  </si>
  <si>
    <t>中段逆突
八相構えで下受</t>
    <rPh sb="0" eb="2">
      <t>チュウダン</t>
    </rPh>
    <rPh sb="2" eb="4">
      <t>ギャクトツ</t>
    </rPh>
    <rPh sb="5" eb="6">
      <t>ハチ</t>
    </rPh>
    <rPh sb="6" eb="7">
      <t>ソウ</t>
    </rPh>
    <rPh sb="7" eb="8">
      <t>カマ</t>
    </rPh>
    <rPh sb="10" eb="11">
      <t>シタ</t>
    </rPh>
    <rPh sb="11" eb="12">
      <t>ウケ</t>
    </rPh>
    <phoneticPr fontId="2"/>
  </si>
  <si>
    <t>同時蹴り</t>
    <rPh sb="0" eb="3">
      <t>ドウジケ</t>
    </rPh>
    <phoneticPr fontId="2"/>
  </si>
  <si>
    <t>中段逆蹴・差替中段順突
転身してかわす</t>
    <rPh sb="0" eb="2">
      <t>チュウダン</t>
    </rPh>
    <rPh sb="2" eb="3">
      <t>ギャク</t>
    </rPh>
    <rPh sb="3" eb="4">
      <t>シュウ</t>
    </rPh>
    <rPh sb="5" eb="6">
      <t>サ</t>
    </rPh>
    <rPh sb="6" eb="7">
      <t>カワ</t>
    </rPh>
    <rPh sb="7" eb="9">
      <t>チュウダン</t>
    </rPh>
    <rPh sb="9" eb="10">
      <t>ジュン</t>
    </rPh>
    <rPh sb="10" eb="11">
      <t>トツ</t>
    </rPh>
    <rPh sb="12" eb="14">
      <t>テンシン</t>
    </rPh>
    <phoneticPr fontId="2"/>
  </si>
  <si>
    <t>中段廻蹴
打払受</t>
    <rPh sb="0" eb="2">
      <t>チュウダン</t>
    </rPh>
    <rPh sb="2" eb="3">
      <t>マワ</t>
    </rPh>
    <rPh sb="3" eb="4">
      <t>ケ</t>
    </rPh>
    <phoneticPr fontId="2"/>
  </si>
  <si>
    <t>中段廻蹴
打払受＋打押受</t>
    <rPh sb="0" eb="2">
      <t>チュウダン</t>
    </rPh>
    <rPh sb="2" eb="3">
      <t>マワ</t>
    </rPh>
    <rPh sb="3" eb="4">
      <t>ケ</t>
    </rPh>
    <rPh sb="5" eb="6">
      <t>ダ</t>
    </rPh>
    <rPh sb="6" eb="7">
      <t>バライ</t>
    </rPh>
    <rPh sb="7" eb="8">
      <t>ウケ</t>
    </rPh>
    <rPh sb="9" eb="10">
      <t>ウ</t>
    </rPh>
    <rPh sb="10" eb="11">
      <t>オシ</t>
    </rPh>
    <rPh sb="11" eb="12">
      <t>ウケ</t>
    </rPh>
    <phoneticPr fontId="2"/>
  </si>
  <si>
    <t>差込蹴
打払受して蹴込</t>
    <rPh sb="0" eb="2">
      <t>サシコミ</t>
    </rPh>
    <rPh sb="2" eb="3">
      <t>ケ</t>
    </rPh>
    <rPh sb="4" eb="5">
      <t>ウ</t>
    </rPh>
    <rPh sb="5" eb="6">
      <t>ハラ</t>
    </rPh>
    <rPh sb="6" eb="7">
      <t>ウケ</t>
    </rPh>
    <rPh sb="9" eb="10">
      <t>ケ</t>
    </rPh>
    <rPh sb="10" eb="11">
      <t>コ</t>
    </rPh>
    <phoneticPr fontId="2"/>
  </si>
  <si>
    <t>差込蹴
体をひねり乍ら下受して蹴込</t>
    <rPh sb="0" eb="2">
      <t>サシコミ</t>
    </rPh>
    <rPh sb="2" eb="3">
      <t>ケ</t>
    </rPh>
    <rPh sb="4" eb="5">
      <t>カラダ</t>
    </rPh>
    <rPh sb="9" eb="10">
      <t>ナガ</t>
    </rPh>
    <rPh sb="11" eb="13">
      <t>シタウケ</t>
    </rPh>
    <phoneticPr fontId="2"/>
  </si>
  <si>
    <t>上段順突＋中段逆突（二連攻）</t>
    <rPh sb="0" eb="2">
      <t>ジョウダン</t>
    </rPh>
    <rPh sb="2" eb="3">
      <t>ジュン</t>
    </rPh>
    <rPh sb="3" eb="4">
      <t>ツ</t>
    </rPh>
    <rPh sb="5" eb="7">
      <t>チュウダン</t>
    </rPh>
    <rPh sb="7" eb="8">
      <t>ギャク</t>
    </rPh>
    <rPh sb="8" eb="9">
      <t>ツ</t>
    </rPh>
    <rPh sb="10" eb="12">
      <t>ニレン</t>
    </rPh>
    <rPh sb="12" eb="13">
      <t>コウ</t>
    </rPh>
    <phoneticPr fontId="2"/>
  </si>
  <si>
    <t>上段逆突＋中段順突（二連攻）</t>
    <rPh sb="0" eb="2">
      <t>ジョウダン</t>
    </rPh>
    <rPh sb="2" eb="3">
      <t>ギャク</t>
    </rPh>
    <rPh sb="3" eb="4">
      <t>ツ</t>
    </rPh>
    <rPh sb="5" eb="7">
      <t>チュウダン</t>
    </rPh>
    <rPh sb="7" eb="8">
      <t>ジュン</t>
    </rPh>
    <rPh sb="8" eb="9">
      <t>ツ</t>
    </rPh>
    <rPh sb="10" eb="12">
      <t>ニレン</t>
    </rPh>
    <rPh sb="12" eb="13">
      <t>コウ</t>
    </rPh>
    <phoneticPr fontId="2"/>
  </si>
  <si>
    <t>横振突＋中段順突（二連攻）</t>
    <rPh sb="0" eb="1">
      <t>ヨコ</t>
    </rPh>
    <rPh sb="1" eb="2">
      <t>シン</t>
    </rPh>
    <rPh sb="2" eb="3">
      <t>トツ</t>
    </rPh>
    <rPh sb="4" eb="6">
      <t>チュウダン</t>
    </rPh>
    <rPh sb="6" eb="7">
      <t>ジュン</t>
    </rPh>
    <rPh sb="7" eb="8">
      <t>ツ</t>
    </rPh>
    <rPh sb="9" eb="11">
      <t>ニレン</t>
    </rPh>
    <rPh sb="11" eb="12">
      <t>コウ</t>
    </rPh>
    <phoneticPr fontId="2"/>
  </si>
  <si>
    <t>振突＋逆振突（二連攻）</t>
    <rPh sb="0" eb="1">
      <t>シン</t>
    </rPh>
    <rPh sb="1" eb="2">
      <t>トツ</t>
    </rPh>
    <rPh sb="3" eb="4">
      <t>ギャク</t>
    </rPh>
    <rPh sb="4" eb="5">
      <t>シン</t>
    </rPh>
    <rPh sb="5" eb="6">
      <t>トツ</t>
    </rPh>
    <rPh sb="7" eb="9">
      <t>ニレン</t>
    </rPh>
    <rPh sb="9" eb="10">
      <t>コウ</t>
    </rPh>
    <phoneticPr fontId="2"/>
  </si>
  <si>
    <t>上段順突＋上段逆突（二連攻）</t>
    <rPh sb="0" eb="2">
      <t>ジョウダン</t>
    </rPh>
    <rPh sb="2" eb="3">
      <t>ジュン</t>
    </rPh>
    <rPh sb="3" eb="4">
      <t>ツ</t>
    </rPh>
    <rPh sb="5" eb="7">
      <t>ジョウダン</t>
    </rPh>
    <rPh sb="7" eb="8">
      <t>ギャク</t>
    </rPh>
    <rPh sb="8" eb="9">
      <t>ツ</t>
    </rPh>
    <rPh sb="10" eb="12">
      <t>ニレン</t>
    </rPh>
    <rPh sb="12" eb="13">
      <t>コウ</t>
    </rPh>
    <phoneticPr fontId="2"/>
  </si>
  <si>
    <t>上段順突＋中段逆突＋差込上段順突（三連攻）</t>
    <rPh sb="0" eb="2">
      <t>ジョウダン</t>
    </rPh>
    <rPh sb="2" eb="3">
      <t>ジュン</t>
    </rPh>
    <rPh sb="3" eb="4">
      <t>ツ</t>
    </rPh>
    <rPh sb="5" eb="7">
      <t>チュウダン</t>
    </rPh>
    <rPh sb="7" eb="8">
      <t>ギャク</t>
    </rPh>
    <rPh sb="8" eb="9">
      <t>ツ</t>
    </rPh>
    <rPh sb="10" eb="12">
      <t>サシコミ</t>
    </rPh>
    <rPh sb="12" eb="14">
      <t>ジョウダン</t>
    </rPh>
    <rPh sb="14" eb="15">
      <t>ジュン</t>
    </rPh>
    <rPh sb="15" eb="16">
      <t>トツ</t>
    </rPh>
    <rPh sb="17" eb="18">
      <t>サン</t>
    </rPh>
    <rPh sb="18" eb="19">
      <t>レン</t>
    </rPh>
    <rPh sb="19" eb="20">
      <t>コウ</t>
    </rPh>
    <phoneticPr fontId="2"/>
  </si>
  <si>
    <t>上段逆突＋中段廻蹴（二連攻）</t>
    <rPh sb="0" eb="2">
      <t>ジョウダン</t>
    </rPh>
    <rPh sb="2" eb="3">
      <t>ギャク</t>
    </rPh>
    <rPh sb="3" eb="4">
      <t>ツ</t>
    </rPh>
    <rPh sb="5" eb="7">
      <t>チュウダン</t>
    </rPh>
    <rPh sb="7" eb="8">
      <t>カイ</t>
    </rPh>
    <rPh sb="8" eb="9">
      <t>シュウ</t>
    </rPh>
    <rPh sb="10" eb="12">
      <t>ニレン</t>
    </rPh>
    <rPh sb="12" eb="13">
      <t>コウ</t>
    </rPh>
    <phoneticPr fontId="2"/>
  </si>
  <si>
    <t>上段順突＋中段逆突＋中段廻蹴（三連攻）</t>
    <rPh sb="0" eb="2">
      <t>ジョウダン</t>
    </rPh>
    <rPh sb="2" eb="3">
      <t>ジュン</t>
    </rPh>
    <rPh sb="3" eb="4">
      <t>ツ</t>
    </rPh>
    <rPh sb="5" eb="7">
      <t>チュウダン</t>
    </rPh>
    <rPh sb="7" eb="8">
      <t>ギャク</t>
    </rPh>
    <rPh sb="8" eb="9">
      <t>ツ</t>
    </rPh>
    <rPh sb="15" eb="16">
      <t>サン</t>
    </rPh>
    <rPh sb="16" eb="17">
      <t>レン</t>
    </rPh>
    <rPh sb="17" eb="18">
      <t>コウ</t>
    </rPh>
    <phoneticPr fontId="2"/>
  </si>
  <si>
    <t>差込上段逆突</t>
    <rPh sb="0" eb="2">
      <t>サシコミ</t>
    </rPh>
    <rPh sb="2" eb="4">
      <t>ジョウダン</t>
    </rPh>
    <rPh sb="4" eb="5">
      <t>ギャク</t>
    </rPh>
    <rPh sb="5" eb="6">
      <t>ツ</t>
    </rPh>
    <phoneticPr fontId="2"/>
  </si>
  <si>
    <t>差込中段廻蹴</t>
    <rPh sb="0" eb="2">
      <t>サシコミ</t>
    </rPh>
    <rPh sb="2" eb="4">
      <t>チュウダン</t>
    </rPh>
    <rPh sb="4" eb="5">
      <t>マワ</t>
    </rPh>
    <rPh sb="5" eb="6">
      <t>ケ</t>
    </rPh>
    <phoneticPr fontId="2"/>
  </si>
  <si>
    <t>上段順突＋中段逆突（二連攻）
乱構</t>
    <rPh sb="0" eb="2">
      <t>ジョウダン</t>
    </rPh>
    <rPh sb="2" eb="3">
      <t>ジュン</t>
    </rPh>
    <rPh sb="3" eb="4">
      <t>ツ</t>
    </rPh>
    <rPh sb="5" eb="7">
      <t>チュウダン</t>
    </rPh>
    <rPh sb="7" eb="8">
      <t>ギャク</t>
    </rPh>
    <rPh sb="8" eb="9">
      <t>ツ</t>
    </rPh>
    <rPh sb="10" eb="12">
      <t>ニレン</t>
    </rPh>
    <rPh sb="12" eb="13">
      <t>コウ</t>
    </rPh>
    <rPh sb="15" eb="16">
      <t>ミダ</t>
    </rPh>
    <rPh sb="16" eb="17">
      <t>カマ</t>
    </rPh>
    <phoneticPr fontId="2"/>
  </si>
  <si>
    <t>上段順突
待気構</t>
    <rPh sb="0" eb="2">
      <t>ジョウダン</t>
    </rPh>
    <rPh sb="2" eb="4">
      <t>ジュンツ</t>
    </rPh>
    <rPh sb="5" eb="6">
      <t>タイ</t>
    </rPh>
    <rPh sb="6" eb="7">
      <t>キ</t>
    </rPh>
    <rPh sb="7" eb="8">
      <t>カマエ</t>
    </rPh>
    <phoneticPr fontId="2"/>
  </si>
  <si>
    <t>蛇突＋金的蹴</t>
    <rPh sb="0" eb="2">
      <t>ジャツ</t>
    </rPh>
    <rPh sb="3" eb="5">
      <t>キンテキ</t>
    </rPh>
    <rPh sb="5" eb="6">
      <t>ケ</t>
    </rPh>
    <phoneticPr fontId="2"/>
  </si>
  <si>
    <t>（上/中）廻蹴＋上段逆突
受け＋内受＋中段順突</t>
    <rPh sb="1" eb="2">
      <t>ウエ</t>
    </rPh>
    <rPh sb="3" eb="4">
      <t>チュウ</t>
    </rPh>
    <rPh sb="5" eb="6">
      <t>マワ</t>
    </rPh>
    <rPh sb="6" eb="7">
      <t>ケ</t>
    </rPh>
    <rPh sb="8" eb="10">
      <t>ジョウダン</t>
    </rPh>
    <rPh sb="10" eb="11">
      <t>ギャク</t>
    </rPh>
    <rPh sb="11" eb="12">
      <t>ツ</t>
    </rPh>
    <rPh sb="13" eb="14">
      <t>ウ</t>
    </rPh>
    <rPh sb="16" eb="18">
      <t>ウチウ</t>
    </rPh>
    <rPh sb="19" eb="21">
      <t>チュウダン</t>
    </rPh>
    <rPh sb="21" eb="22">
      <t>ジュン</t>
    </rPh>
    <rPh sb="22" eb="23">
      <t>ツ</t>
    </rPh>
    <phoneticPr fontId="2"/>
  </si>
  <si>
    <t>中段足刀蹴＋上段順突＋中段逆突（三連攻）</t>
    <rPh sb="0" eb="2">
      <t>チュウダン</t>
    </rPh>
    <rPh sb="2" eb="4">
      <t>ソクトウ</t>
    </rPh>
    <rPh sb="4" eb="5">
      <t>ケ</t>
    </rPh>
    <rPh sb="6" eb="8">
      <t>ジョウダン</t>
    </rPh>
    <rPh sb="8" eb="9">
      <t>ジュン</t>
    </rPh>
    <rPh sb="9" eb="10">
      <t>ツ</t>
    </rPh>
    <rPh sb="11" eb="13">
      <t>チュウダン</t>
    </rPh>
    <rPh sb="13" eb="14">
      <t>ギャク</t>
    </rPh>
    <rPh sb="14" eb="15">
      <t>ツ</t>
    </rPh>
    <rPh sb="16" eb="19">
      <t>サンレンコウ</t>
    </rPh>
    <phoneticPr fontId="2"/>
  </si>
  <si>
    <t>金的蹴＋手刀頸中切＋中段逆突（三連攻）</t>
    <rPh sb="0" eb="2">
      <t>キンテキ</t>
    </rPh>
    <rPh sb="2" eb="3">
      <t>ケ</t>
    </rPh>
    <rPh sb="4" eb="6">
      <t>シュトウ</t>
    </rPh>
    <rPh sb="6" eb="7">
      <t>クビ</t>
    </rPh>
    <rPh sb="7" eb="8">
      <t>チュウ</t>
    </rPh>
    <rPh sb="8" eb="9">
      <t>キ</t>
    </rPh>
    <rPh sb="10" eb="12">
      <t>チュウダン</t>
    </rPh>
    <rPh sb="12" eb="13">
      <t>ギャク</t>
    </rPh>
    <rPh sb="13" eb="14">
      <t>ツ</t>
    </rPh>
    <rPh sb="15" eb="18">
      <t>サンレンコウ</t>
    </rPh>
    <phoneticPr fontId="2"/>
  </si>
  <si>
    <t>金的蹴
膝受＋金的蹴</t>
    <rPh sb="0" eb="2">
      <t>キンテキ</t>
    </rPh>
    <rPh sb="2" eb="3">
      <t>ケ</t>
    </rPh>
    <rPh sb="4" eb="6">
      <t>ヒザウケ</t>
    </rPh>
    <rPh sb="7" eb="9">
      <t>キンテキ</t>
    </rPh>
    <rPh sb="9" eb="10">
      <t>ケ</t>
    </rPh>
    <phoneticPr fontId="2"/>
  </si>
  <si>
    <t>足刀で膝蹴り
引足</t>
    <rPh sb="0" eb="2">
      <t>ソクトウ</t>
    </rPh>
    <rPh sb="3" eb="4">
      <t>ヒザ</t>
    </rPh>
    <rPh sb="4" eb="5">
      <t>ケ</t>
    </rPh>
    <rPh sb="7" eb="8">
      <t>ヒ</t>
    </rPh>
    <rPh sb="8" eb="9">
      <t>アシ</t>
    </rPh>
    <phoneticPr fontId="2"/>
  </si>
  <si>
    <t>逆蹴
膝受と十字受＋蹴返</t>
    <rPh sb="0" eb="1">
      <t>ギャク</t>
    </rPh>
    <rPh sb="1" eb="2">
      <t>ケ</t>
    </rPh>
    <rPh sb="3" eb="5">
      <t>ヒザウケ</t>
    </rPh>
    <rPh sb="6" eb="8">
      <t>ジュウジ</t>
    </rPh>
    <rPh sb="8" eb="9">
      <t>ウ</t>
    </rPh>
    <rPh sb="10" eb="11">
      <t>ケ</t>
    </rPh>
    <rPh sb="11" eb="12">
      <t>カエ</t>
    </rPh>
    <phoneticPr fontId="2"/>
  </si>
  <si>
    <t>高廻蹴
三防受＋蹴返</t>
    <rPh sb="0" eb="1">
      <t>タカ</t>
    </rPh>
    <rPh sb="1" eb="2">
      <t>マワ</t>
    </rPh>
    <rPh sb="2" eb="3">
      <t>ケ</t>
    </rPh>
    <rPh sb="4" eb="7">
      <t>サンボウウケ</t>
    </rPh>
    <rPh sb="8" eb="9">
      <t>ケ</t>
    </rPh>
    <rPh sb="9" eb="10">
      <t>カエ</t>
    </rPh>
    <phoneticPr fontId="2"/>
  </si>
  <si>
    <t>差込金的蹴＋三日月蹴
膝受＋横十字受＋金的＋水月蹴</t>
    <rPh sb="0" eb="2">
      <t>サシコミ</t>
    </rPh>
    <rPh sb="2" eb="4">
      <t>キンテキ</t>
    </rPh>
    <rPh sb="4" eb="5">
      <t>ケ</t>
    </rPh>
    <rPh sb="6" eb="9">
      <t>ミカヅキ</t>
    </rPh>
    <rPh sb="9" eb="10">
      <t>ケ</t>
    </rPh>
    <rPh sb="11" eb="13">
      <t>ヒザウケ</t>
    </rPh>
    <rPh sb="14" eb="15">
      <t>ヨコ</t>
    </rPh>
    <rPh sb="15" eb="17">
      <t>ジュウジ</t>
    </rPh>
    <rPh sb="17" eb="18">
      <t>ウ</t>
    </rPh>
    <rPh sb="19" eb="21">
      <t>キンテキ</t>
    </rPh>
    <rPh sb="22" eb="24">
      <t>スイゲツ</t>
    </rPh>
    <rPh sb="24" eb="25">
      <t>ケ</t>
    </rPh>
    <phoneticPr fontId="2"/>
  </si>
  <si>
    <t>内手首　順引く</t>
    <rPh sb="0" eb="1">
      <t>ウチ</t>
    </rPh>
    <rPh sb="1" eb="3">
      <t>テクビ</t>
    </rPh>
    <rPh sb="4" eb="5">
      <t>ジュン</t>
    </rPh>
    <rPh sb="5" eb="6">
      <t>ヒ</t>
    </rPh>
    <phoneticPr fontId="2"/>
  </si>
  <si>
    <t>鈎手を下方に押さえる</t>
    <rPh sb="0" eb="2">
      <t>カギテ</t>
    </rPh>
    <rPh sb="3" eb="5">
      <t>カホウ</t>
    </rPh>
    <rPh sb="6" eb="7">
      <t>オ</t>
    </rPh>
    <phoneticPr fontId="2"/>
  </si>
  <si>
    <t>外手首　順引く</t>
    <rPh sb="0" eb="1">
      <t>ソト</t>
    </rPh>
    <rPh sb="1" eb="3">
      <t>テクビ</t>
    </rPh>
    <rPh sb="4" eb="5">
      <t>ジュン</t>
    </rPh>
    <rPh sb="5" eb="6">
      <t>ヒ</t>
    </rPh>
    <phoneticPr fontId="2"/>
  </si>
  <si>
    <t>両手寄抜きをさせまいとする</t>
    <rPh sb="0" eb="2">
      <t>リョウテ</t>
    </rPh>
    <rPh sb="2" eb="3">
      <t>ヨ</t>
    </rPh>
    <rPh sb="3" eb="4">
      <t>ヌ</t>
    </rPh>
    <phoneticPr fontId="2"/>
  </si>
  <si>
    <t>片手は引き、片手は押す</t>
    <rPh sb="0" eb="2">
      <t>カタテ</t>
    </rPh>
    <rPh sb="3" eb="4">
      <t>ヒ</t>
    </rPh>
    <rPh sb="6" eb="8">
      <t>カタテ</t>
    </rPh>
    <rPh sb="9" eb="10">
      <t>オ</t>
    </rPh>
    <phoneticPr fontId="2"/>
  </si>
  <si>
    <t>外手首　順</t>
    <rPh sb="0" eb="1">
      <t>ソト</t>
    </rPh>
    <rPh sb="1" eb="3">
      <t>テクビ</t>
    </rPh>
    <rPh sb="4" eb="5">
      <t>ジュン</t>
    </rPh>
    <phoneticPr fontId="2"/>
  </si>
  <si>
    <t>一本背投</t>
    <rPh sb="0" eb="2">
      <t>イッポン</t>
    </rPh>
    <rPh sb="2" eb="4">
      <t>セナ</t>
    </rPh>
    <phoneticPr fontId="2"/>
  </si>
  <si>
    <t>外手首　逆引く</t>
    <rPh sb="0" eb="1">
      <t>ソト</t>
    </rPh>
    <rPh sb="1" eb="3">
      <t>テクビ</t>
    </rPh>
    <rPh sb="4" eb="5">
      <t>ギャク</t>
    </rPh>
    <rPh sb="5" eb="6">
      <t>ヒ</t>
    </rPh>
    <phoneticPr fontId="2"/>
  </si>
  <si>
    <t>両外手首　逆引き崩す</t>
    <rPh sb="0" eb="1">
      <t>リョウ</t>
    </rPh>
    <rPh sb="1" eb="2">
      <t>ソト</t>
    </rPh>
    <rPh sb="2" eb="4">
      <t>テクビ</t>
    </rPh>
    <rPh sb="5" eb="6">
      <t>ギャク</t>
    </rPh>
    <rPh sb="6" eb="7">
      <t>ヒ</t>
    </rPh>
    <rPh sb="8" eb="9">
      <t>クズ</t>
    </rPh>
    <phoneticPr fontId="2"/>
  </si>
  <si>
    <t>腕後捻上</t>
    <rPh sb="0" eb="1">
      <t>ウデ</t>
    </rPh>
    <rPh sb="1" eb="2">
      <t>ウシ</t>
    </rPh>
    <rPh sb="2" eb="3">
      <t>ネ</t>
    </rPh>
    <rPh sb="3" eb="4">
      <t>ア</t>
    </rPh>
    <phoneticPr fontId="2"/>
  </si>
  <si>
    <t>上膊を強く掴み押す</t>
    <rPh sb="0" eb="2">
      <t>ジョウハク</t>
    </rPh>
    <rPh sb="3" eb="4">
      <t>ツヨ</t>
    </rPh>
    <rPh sb="5" eb="6">
      <t>ツカ</t>
    </rPh>
    <rPh sb="7" eb="8">
      <t>オ</t>
    </rPh>
    <phoneticPr fontId="2"/>
  </si>
  <si>
    <t>上膊抜をさせまいとする</t>
    <rPh sb="0" eb="3">
      <t>ジョウハクヌ</t>
    </rPh>
    <phoneticPr fontId="2"/>
  </si>
  <si>
    <t>内手首　下から順手、後捻上</t>
    <rPh sb="0" eb="1">
      <t>ウチ</t>
    </rPh>
    <rPh sb="1" eb="3">
      <t>テクビ</t>
    </rPh>
    <rPh sb="4" eb="5">
      <t>シタ</t>
    </rPh>
    <rPh sb="7" eb="9">
      <t>ジュンテ</t>
    </rPh>
    <rPh sb="10" eb="11">
      <t>ウシ</t>
    </rPh>
    <rPh sb="11" eb="12">
      <t>ネ</t>
    </rPh>
    <rPh sb="12" eb="13">
      <t>ア</t>
    </rPh>
    <phoneticPr fontId="2"/>
  </si>
  <si>
    <t>腕逆捕</t>
    <rPh sb="0" eb="1">
      <t>ウデ</t>
    </rPh>
    <rPh sb="1" eb="2">
      <t>ギャク</t>
    </rPh>
    <rPh sb="2" eb="3">
      <t>ホ</t>
    </rPh>
    <phoneticPr fontId="2"/>
  </si>
  <si>
    <t>下襟　握り引く</t>
    <rPh sb="0" eb="1">
      <t>シタ</t>
    </rPh>
    <rPh sb="1" eb="2">
      <t>エリ</t>
    </rPh>
    <rPh sb="3" eb="4">
      <t>ニギ</t>
    </rPh>
    <rPh sb="5" eb="6">
      <t>ヒ</t>
    </rPh>
    <phoneticPr fontId="2"/>
  </si>
  <si>
    <t>後袖　握り引く</t>
    <rPh sb="0" eb="1">
      <t>ウシ</t>
    </rPh>
    <rPh sb="1" eb="2">
      <t>ソデ</t>
    </rPh>
    <rPh sb="3" eb="4">
      <t>ニギ</t>
    </rPh>
    <rPh sb="5" eb="6">
      <t>ヒ</t>
    </rPh>
    <phoneticPr fontId="2"/>
  </si>
  <si>
    <t>上袖　握り引く</t>
    <rPh sb="0" eb="2">
      <t>ウエソデ</t>
    </rPh>
    <rPh sb="3" eb="4">
      <t>ニギ</t>
    </rPh>
    <rPh sb="5" eb="6">
      <t>ヒ</t>
    </rPh>
    <phoneticPr fontId="2"/>
  </si>
  <si>
    <t>横より外手首　引く</t>
    <rPh sb="0" eb="1">
      <t>ヨコ</t>
    </rPh>
    <rPh sb="3" eb="6">
      <t>ソトテクビ</t>
    </rPh>
    <rPh sb="7" eb="8">
      <t>ヒ</t>
    </rPh>
    <phoneticPr fontId="2"/>
  </si>
  <si>
    <t>略十字小手の変化（背を向けて逃れようとする）</t>
    <rPh sb="0" eb="1">
      <t>リャク</t>
    </rPh>
    <rPh sb="1" eb="3">
      <t>ジュウジ</t>
    </rPh>
    <rPh sb="3" eb="5">
      <t>コテ</t>
    </rPh>
    <rPh sb="6" eb="8">
      <t>ヘンカ</t>
    </rPh>
    <rPh sb="9" eb="10">
      <t>セ</t>
    </rPh>
    <rPh sb="11" eb="12">
      <t>ム</t>
    </rPh>
    <rPh sb="14" eb="15">
      <t>ノガ</t>
    </rPh>
    <phoneticPr fontId="2"/>
  </si>
  <si>
    <t>片手：内手首逆　諸手：腕逆捕</t>
    <rPh sb="0" eb="2">
      <t>カタテ</t>
    </rPh>
    <rPh sb="3" eb="6">
      <t>ウチテクビ</t>
    </rPh>
    <rPh sb="6" eb="7">
      <t>ギャク</t>
    </rPh>
    <rPh sb="8" eb="10">
      <t>モロテ</t>
    </rPh>
    <rPh sb="11" eb="14">
      <t>ウデギャクホ</t>
    </rPh>
    <phoneticPr fontId="2"/>
  </si>
  <si>
    <t>外手首　逆押す/（諸手）腕逆捕</t>
    <rPh sb="0" eb="1">
      <t>ソト</t>
    </rPh>
    <rPh sb="1" eb="3">
      <t>テクビ</t>
    </rPh>
    <rPh sb="4" eb="5">
      <t>ギャク</t>
    </rPh>
    <rPh sb="5" eb="6">
      <t>オ</t>
    </rPh>
    <rPh sb="9" eb="11">
      <t>モロテ</t>
    </rPh>
    <rPh sb="12" eb="15">
      <t>ウデギャクホ</t>
    </rPh>
    <phoneticPr fontId="2"/>
  </si>
  <si>
    <t>（外）手首　逆押す/（諸手）腕逆捕</t>
    <rPh sb="1" eb="2">
      <t>ソト</t>
    </rPh>
    <rPh sb="3" eb="5">
      <t>テクビ</t>
    </rPh>
    <rPh sb="6" eb="7">
      <t>ギャク</t>
    </rPh>
    <rPh sb="7" eb="8">
      <t>オ</t>
    </rPh>
    <rPh sb="14" eb="15">
      <t>ウデ</t>
    </rPh>
    <rPh sb="15" eb="16">
      <t>ギャク</t>
    </rPh>
    <rPh sb="16" eb="17">
      <t>ホ</t>
    </rPh>
    <phoneticPr fontId="2"/>
  </si>
  <si>
    <t>外手首　順</t>
    <rPh sb="0" eb="3">
      <t>ソトテクビ</t>
    </rPh>
    <rPh sb="4" eb="5">
      <t>ジュン</t>
    </rPh>
    <phoneticPr fontId="2"/>
  </si>
  <si>
    <t>袖巻（捕）から逃れる</t>
    <rPh sb="0" eb="2">
      <t>ソデマ</t>
    </rPh>
    <rPh sb="3" eb="4">
      <t>ホ</t>
    </rPh>
    <rPh sb="7" eb="8">
      <t>ノガ</t>
    </rPh>
    <phoneticPr fontId="2"/>
  </si>
  <si>
    <t>上袖　握り引く</t>
    <rPh sb="0" eb="1">
      <t>ウワ</t>
    </rPh>
    <rPh sb="1" eb="2">
      <t>ソデ</t>
    </rPh>
    <rPh sb="3" eb="4">
      <t>ニギ</t>
    </rPh>
    <rPh sb="5" eb="6">
      <t>ヒ</t>
    </rPh>
    <phoneticPr fontId="2"/>
  </si>
  <si>
    <t>袖捕・上膊捕の変化（抵抗して突っ張り、押す）</t>
    <rPh sb="0" eb="1">
      <t>ソデ</t>
    </rPh>
    <rPh sb="1" eb="2">
      <t>ホ</t>
    </rPh>
    <rPh sb="3" eb="5">
      <t>ジョウハク</t>
    </rPh>
    <rPh sb="5" eb="6">
      <t>ト</t>
    </rPh>
    <rPh sb="7" eb="9">
      <t>ヘンカ</t>
    </rPh>
    <rPh sb="10" eb="12">
      <t>テイコウ</t>
    </rPh>
    <rPh sb="14" eb="15">
      <t>ツ</t>
    </rPh>
    <rPh sb="16" eb="17">
      <t>パ</t>
    </rPh>
    <rPh sb="19" eb="20">
      <t>オ</t>
    </rPh>
    <phoneticPr fontId="2"/>
  </si>
  <si>
    <t>上襟　握り押す（縦拳）</t>
    <rPh sb="0" eb="2">
      <t>ウワエリ</t>
    </rPh>
    <rPh sb="3" eb="4">
      <t>ニギ</t>
    </rPh>
    <rPh sb="5" eb="6">
      <t>オ</t>
    </rPh>
    <rPh sb="8" eb="9">
      <t>タテ</t>
    </rPh>
    <rPh sb="9" eb="10">
      <t>ケン</t>
    </rPh>
    <phoneticPr fontId="2"/>
  </si>
  <si>
    <t>上襟　握り押す（横拳）</t>
    <rPh sb="0" eb="2">
      <t>ウワエリ</t>
    </rPh>
    <rPh sb="3" eb="4">
      <t>ニギ</t>
    </rPh>
    <rPh sb="5" eb="6">
      <t>オ</t>
    </rPh>
    <rPh sb="8" eb="9">
      <t>ヨコ</t>
    </rPh>
    <rPh sb="9" eb="10">
      <t>ケン</t>
    </rPh>
    <phoneticPr fontId="2"/>
  </si>
  <si>
    <t>居捕から外手首　順引く</t>
    <rPh sb="0" eb="1">
      <t>イ</t>
    </rPh>
    <rPh sb="1" eb="2">
      <t>ト</t>
    </rPh>
    <rPh sb="4" eb="5">
      <t>ソト</t>
    </rPh>
    <rPh sb="5" eb="7">
      <t>テクビ</t>
    </rPh>
    <rPh sb="8" eb="10">
      <t>ジュンヒ</t>
    </rPh>
    <phoneticPr fontId="2"/>
  </si>
  <si>
    <t>挟受・掬受</t>
    <rPh sb="0" eb="1">
      <t>ハサ</t>
    </rPh>
    <rPh sb="1" eb="2">
      <t>ウ</t>
    </rPh>
    <rPh sb="3" eb="4">
      <t>スク</t>
    </rPh>
    <rPh sb="4" eb="5">
      <t>ウ</t>
    </rPh>
    <phoneticPr fontId="2"/>
  </si>
  <si>
    <t>外側から逆に背負って投げる</t>
    <rPh sb="0" eb="2">
      <t>ソトガワ</t>
    </rPh>
    <rPh sb="4" eb="5">
      <t>ギャク</t>
    </rPh>
    <rPh sb="6" eb="8">
      <t>セオ</t>
    </rPh>
    <rPh sb="10" eb="11">
      <t>ナ</t>
    </rPh>
    <phoneticPr fontId="2"/>
  </si>
  <si>
    <t>逆小手の変化技</t>
    <rPh sb="0" eb="3">
      <t>ギャクコテ</t>
    </rPh>
    <rPh sb="4" eb="6">
      <t>ヘンカ</t>
    </rPh>
    <rPh sb="6" eb="7">
      <t>ワザ</t>
    </rPh>
    <phoneticPr fontId="2"/>
  </si>
  <si>
    <t>腕相撲</t>
    <rPh sb="0" eb="3">
      <t>ウデズモウ</t>
    </rPh>
    <phoneticPr fontId="2"/>
  </si>
  <si>
    <t>居捕から内手首　順引く</t>
    <rPh sb="0" eb="1">
      <t>イ</t>
    </rPh>
    <rPh sb="1" eb="2">
      <t>ホ</t>
    </rPh>
    <rPh sb="4" eb="5">
      <t>ウチ</t>
    </rPh>
    <rPh sb="5" eb="7">
      <t>テクビ</t>
    </rPh>
    <rPh sb="8" eb="9">
      <t>ジュン</t>
    </rPh>
    <rPh sb="9" eb="10">
      <t>ヒ</t>
    </rPh>
    <phoneticPr fontId="2"/>
  </si>
  <si>
    <t>下受から相手の腕が伸びる</t>
    <rPh sb="0" eb="2">
      <t>シタウケ</t>
    </rPh>
    <rPh sb="4" eb="6">
      <t>アイテ</t>
    </rPh>
    <rPh sb="7" eb="8">
      <t>ウデ</t>
    </rPh>
    <rPh sb="9" eb="10">
      <t>ノ</t>
    </rPh>
    <phoneticPr fontId="2"/>
  </si>
  <si>
    <t>引く/後捻上/一本背投</t>
    <rPh sb="0" eb="1">
      <t>ヒ</t>
    </rPh>
    <rPh sb="3" eb="4">
      <t>ウシ</t>
    </rPh>
    <rPh sb="4" eb="5">
      <t>ネ</t>
    </rPh>
    <rPh sb="5" eb="6">
      <t>ア</t>
    </rPh>
    <rPh sb="7" eb="9">
      <t>イッポン</t>
    </rPh>
    <rPh sb="9" eb="11">
      <t>セナ</t>
    </rPh>
    <phoneticPr fontId="2"/>
  </si>
  <si>
    <t>居捕から外手首　順</t>
    <rPh sb="0" eb="1">
      <t>イ</t>
    </rPh>
    <rPh sb="1" eb="2">
      <t>ホ</t>
    </rPh>
    <rPh sb="4" eb="5">
      <t>ソト</t>
    </rPh>
    <rPh sb="5" eb="7">
      <t>テクビ</t>
    </rPh>
    <rPh sb="8" eb="9">
      <t>ジュン</t>
    </rPh>
    <phoneticPr fontId="2"/>
  </si>
  <si>
    <t>送小手の変化技</t>
    <rPh sb="0" eb="1">
      <t>オク</t>
    </rPh>
    <rPh sb="1" eb="3">
      <t>コテ</t>
    </rPh>
    <rPh sb="4" eb="6">
      <t>ヘンカ</t>
    </rPh>
    <rPh sb="6" eb="7">
      <t>ワザ</t>
    </rPh>
    <phoneticPr fontId="2"/>
  </si>
  <si>
    <t>木葉返の裏技</t>
    <rPh sb="0" eb="2">
      <t>コノハ</t>
    </rPh>
    <rPh sb="2" eb="3">
      <t>カエ</t>
    </rPh>
    <rPh sb="4" eb="5">
      <t>ウラ</t>
    </rPh>
    <rPh sb="5" eb="6">
      <t>ワザ</t>
    </rPh>
    <phoneticPr fontId="2"/>
  </si>
  <si>
    <t>送小手の仕掛</t>
    <rPh sb="0" eb="1">
      <t>オク</t>
    </rPh>
    <rPh sb="1" eb="3">
      <t>コテ</t>
    </rPh>
    <rPh sb="4" eb="6">
      <t>シカ</t>
    </rPh>
    <phoneticPr fontId="2"/>
  </si>
  <si>
    <t>切小手の変化技</t>
    <rPh sb="0" eb="1">
      <t>キ</t>
    </rPh>
    <rPh sb="1" eb="3">
      <t>コテ</t>
    </rPh>
    <rPh sb="4" eb="6">
      <t>ヘンカ</t>
    </rPh>
    <rPh sb="6" eb="7">
      <t>ワザ</t>
    </rPh>
    <phoneticPr fontId="2"/>
  </si>
  <si>
    <t>切返投の変化技</t>
    <rPh sb="0" eb="1">
      <t>キ</t>
    </rPh>
    <rPh sb="1" eb="2">
      <t>カエ</t>
    </rPh>
    <rPh sb="2" eb="3">
      <t>ナ</t>
    </rPh>
    <rPh sb="4" eb="7">
      <t>ヘンカワザ</t>
    </rPh>
    <phoneticPr fontId="2"/>
  </si>
  <si>
    <t>仕掛技</t>
    <rPh sb="0" eb="2">
      <t>シカ</t>
    </rPh>
    <rPh sb="2" eb="3">
      <t>ワザ</t>
    </rPh>
    <phoneticPr fontId="2"/>
  </si>
  <si>
    <t>仕掛技（握手からの逆小手）</t>
    <rPh sb="0" eb="2">
      <t>シカ</t>
    </rPh>
    <rPh sb="2" eb="3">
      <t>ワザ</t>
    </rPh>
    <rPh sb="4" eb="6">
      <t>アクシュ</t>
    </rPh>
    <rPh sb="9" eb="12">
      <t>ギャクコテ</t>
    </rPh>
    <phoneticPr fontId="2"/>
  </si>
  <si>
    <t>背投</t>
    <rPh sb="0" eb="2">
      <t>セナ</t>
    </rPh>
    <phoneticPr fontId="2"/>
  </si>
  <si>
    <t>熊手</t>
    <rPh sb="0" eb="2">
      <t>クマテ</t>
    </rPh>
    <phoneticPr fontId="2"/>
  </si>
  <si>
    <t>仕掛技（握手から）</t>
    <rPh sb="0" eb="2">
      <t>シカ</t>
    </rPh>
    <rPh sb="2" eb="3">
      <t>ワザ</t>
    </rPh>
    <rPh sb="4" eb="6">
      <t>アクシュ</t>
    </rPh>
    <phoneticPr fontId="2"/>
  </si>
  <si>
    <t>仕掛技（木葉から）</t>
    <rPh sb="0" eb="2">
      <t>シカ</t>
    </rPh>
    <rPh sb="2" eb="3">
      <t>ワザ</t>
    </rPh>
    <rPh sb="4" eb="6">
      <t>コノハ</t>
    </rPh>
    <phoneticPr fontId="2"/>
  </si>
  <si>
    <t>下から天秤</t>
    <rPh sb="0" eb="1">
      <t>シタ</t>
    </rPh>
    <rPh sb="3" eb="5">
      <t>テンビン</t>
    </rPh>
    <phoneticPr fontId="2"/>
  </si>
  <si>
    <t>裏拳打込</t>
    <rPh sb="0" eb="2">
      <t>ウラケン</t>
    </rPh>
    <rPh sb="2" eb="3">
      <t>ウ</t>
    </rPh>
    <rPh sb="3" eb="4">
      <t>コ</t>
    </rPh>
    <phoneticPr fontId="2"/>
  </si>
  <si>
    <t>平拳打込</t>
    <rPh sb="0" eb="1">
      <t>ヒラ</t>
    </rPh>
    <rPh sb="1" eb="2">
      <t>ケン</t>
    </rPh>
    <rPh sb="2" eb="3">
      <t>ウ</t>
    </rPh>
    <rPh sb="3" eb="4">
      <t>コ</t>
    </rPh>
    <phoneticPr fontId="2"/>
  </si>
  <si>
    <t>握手</t>
    <rPh sb="0" eb="2">
      <t>アクシュ</t>
    </rPh>
    <phoneticPr fontId="2"/>
  </si>
  <si>
    <t>逆小手からの変化技</t>
    <rPh sb="0" eb="3">
      <t>ギャクコテ</t>
    </rPh>
    <rPh sb="6" eb="9">
      <t>ヘンカワザ</t>
    </rPh>
    <phoneticPr fontId="2"/>
  </si>
  <si>
    <t>乱構</t>
    <rPh sb="0" eb="1">
      <t>ミダ</t>
    </rPh>
    <rPh sb="1" eb="2">
      <t>カマエ</t>
    </rPh>
    <phoneticPr fontId="2"/>
  </si>
  <si>
    <t>片手閂から天秤</t>
    <rPh sb="0" eb="2">
      <t>カタテ</t>
    </rPh>
    <rPh sb="2" eb="3">
      <t>カンヌキ</t>
    </rPh>
    <rPh sb="5" eb="7">
      <t>テンビン</t>
    </rPh>
    <phoneticPr fontId="2"/>
  </si>
  <si>
    <t>背投/逆天秤</t>
    <rPh sb="0" eb="2">
      <t>セナ</t>
    </rPh>
    <rPh sb="3" eb="6">
      <t>ギャクテンビン</t>
    </rPh>
    <phoneticPr fontId="2"/>
  </si>
  <si>
    <t>上襟　握り引く</t>
    <rPh sb="0" eb="2">
      <t>ウワエリ</t>
    </rPh>
    <rPh sb="3" eb="4">
      <t>ニギ</t>
    </rPh>
    <rPh sb="5" eb="6">
      <t>ヒ</t>
    </rPh>
    <phoneticPr fontId="2"/>
  </si>
  <si>
    <t>巻落からの変化技</t>
    <rPh sb="0" eb="1">
      <t>マ</t>
    </rPh>
    <rPh sb="1" eb="2">
      <t>オ</t>
    </rPh>
    <rPh sb="5" eb="8">
      <t>ヘンカワザ</t>
    </rPh>
    <phoneticPr fontId="2"/>
  </si>
  <si>
    <t>後袖（下）　握り引く</t>
    <rPh sb="0" eb="1">
      <t>ウシ</t>
    </rPh>
    <rPh sb="1" eb="2">
      <t>ソデ</t>
    </rPh>
    <rPh sb="3" eb="4">
      <t>シタ</t>
    </rPh>
    <rPh sb="6" eb="7">
      <t>ニギ</t>
    </rPh>
    <rPh sb="8" eb="9">
      <t>ヒ</t>
    </rPh>
    <phoneticPr fontId="2"/>
  </si>
  <si>
    <t>袖口を拇指を入れて掴む</t>
    <rPh sb="0" eb="2">
      <t>ソデグチ</t>
    </rPh>
    <rPh sb="3" eb="4">
      <t>オヤユビ</t>
    </rPh>
    <rPh sb="4" eb="5">
      <t>ユビ</t>
    </rPh>
    <rPh sb="6" eb="7">
      <t>イ</t>
    </rPh>
    <rPh sb="9" eb="10">
      <t>ツカ</t>
    </rPh>
    <phoneticPr fontId="2"/>
  </si>
  <si>
    <t>袖口を四指を入れて掴む</t>
    <rPh sb="0" eb="2">
      <t>ソデグチ</t>
    </rPh>
    <rPh sb="3" eb="5">
      <t>シシ</t>
    </rPh>
    <rPh sb="6" eb="7">
      <t>イ</t>
    </rPh>
    <rPh sb="9" eb="10">
      <t>ツカ</t>
    </rPh>
    <phoneticPr fontId="2"/>
  </si>
  <si>
    <t>柔道の肩車</t>
    <rPh sb="0" eb="2">
      <t>ジュウドウ</t>
    </rPh>
    <rPh sb="3" eb="5">
      <t>カタグルマ</t>
    </rPh>
    <phoneticPr fontId="2"/>
  </si>
  <si>
    <t>送小手からの変化技</t>
    <rPh sb="0" eb="1">
      <t>オク</t>
    </rPh>
    <rPh sb="1" eb="3">
      <t>コテ</t>
    </rPh>
    <rPh sb="6" eb="9">
      <t>ヘンカワザ</t>
    </rPh>
    <phoneticPr fontId="2"/>
  </si>
  <si>
    <t>仕掛技（送小手）</t>
    <rPh sb="0" eb="2">
      <t>シカ</t>
    </rPh>
    <rPh sb="2" eb="3">
      <t>ワザ</t>
    </rPh>
    <rPh sb="4" eb="5">
      <t>オク</t>
    </rPh>
    <rPh sb="5" eb="7">
      <t>コテ</t>
    </rPh>
    <phoneticPr fontId="2"/>
  </si>
  <si>
    <t>下袖　握り背負</t>
    <rPh sb="0" eb="1">
      <t>シタ</t>
    </rPh>
    <rPh sb="1" eb="2">
      <t>ソデ</t>
    </rPh>
    <rPh sb="3" eb="4">
      <t>ニギ</t>
    </rPh>
    <rPh sb="5" eb="7">
      <t>セオ</t>
    </rPh>
    <phoneticPr fontId="2"/>
  </si>
  <si>
    <t>奥襟　握り引く</t>
    <rPh sb="0" eb="2">
      <t>オクエリ</t>
    </rPh>
    <rPh sb="3" eb="4">
      <t>ニギ</t>
    </rPh>
    <rPh sb="5" eb="6">
      <t>ヒ</t>
    </rPh>
    <phoneticPr fontId="2"/>
  </si>
  <si>
    <t>後ろから襟を握り刈足</t>
    <rPh sb="0" eb="1">
      <t>ウシ</t>
    </rPh>
    <rPh sb="4" eb="5">
      <t>エリ</t>
    </rPh>
    <rPh sb="6" eb="7">
      <t>ニギ</t>
    </rPh>
    <rPh sb="8" eb="10">
      <t>カリアシ</t>
    </rPh>
    <phoneticPr fontId="2"/>
  </si>
  <si>
    <t>後ろより襟を握り刈足して引倒</t>
    <rPh sb="0" eb="1">
      <t>ウシ</t>
    </rPh>
    <rPh sb="4" eb="5">
      <t>エリ</t>
    </rPh>
    <rPh sb="6" eb="7">
      <t>ニギ</t>
    </rPh>
    <rPh sb="8" eb="10">
      <t>カリアシ</t>
    </rPh>
    <rPh sb="12" eb="13">
      <t>ヒ</t>
    </rPh>
    <rPh sb="13" eb="14">
      <t>タオ</t>
    </rPh>
    <phoneticPr fontId="2"/>
  </si>
  <si>
    <t>柔道式に襟と上袖を握って背負投</t>
    <rPh sb="0" eb="3">
      <t>ジュウドウシキ</t>
    </rPh>
    <rPh sb="4" eb="5">
      <t>エリ</t>
    </rPh>
    <rPh sb="6" eb="7">
      <t>ウワ</t>
    </rPh>
    <rPh sb="7" eb="8">
      <t>ソデ</t>
    </rPh>
    <rPh sb="9" eb="10">
      <t>ニギ</t>
    </rPh>
    <rPh sb="12" eb="14">
      <t>セオ</t>
    </rPh>
    <rPh sb="14" eb="15">
      <t>ナ</t>
    </rPh>
    <phoneticPr fontId="2"/>
  </si>
  <si>
    <t>半月受より首投</t>
    <rPh sb="0" eb="3">
      <t>ハンゲツウケ</t>
    </rPh>
    <rPh sb="5" eb="7">
      <t>クビナ</t>
    </rPh>
    <phoneticPr fontId="2"/>
  </si>
  <si>
    <t>後ろから抱きつく</t>
    <rPh sb="0" eb="1">
      <t>ウシ</t>
    </rPh>
    <rPh sb="4" eb="5">
      <t>ダ</t>
    </rPh>
    <phoneticPr fontId="2"/>
  </si>
  <si>
    <t>首締</t>
    <rPh sb="0" eb="2">
      <t>クビジ</t>
    </rPh>
    <phoneticPr fontId="2"/>
  </si>
  <si>
    <t>□</t>
  </si>
  <si>
    <t>□</t>
    <phoneticPr fontId="2"/>
  </si>
  <si>
    <r>
      <t>突抜（</t>
    </r>
    <r>
      <rPr>
        <sz val="10.5"/>
        <color rgb="FFFF0000"/>
        <rFont val="メイリオ"/>
        <family val="3"/>
        <charset val="128"/>
      </rPr>
      <t>両手</t>
    </r>
    <r>
      <rPr>
        <sz val="10.5"/>
        <color theme="1"/>
        <rFont val="メイリオ"/>
        <family val="3"/>
        <charset val="128"/>
      </rPr>
      <t>）</t>
    </r>
    <rPh sb="0" eb="1">
      <t>ツ</t>
    </rPh>
    <rPh sb="1" eb="2">
      <t>ヌ</t>
    </rPh>
    <rPh sb="3" eb="5">
      <t>リョウテ</t>
    </rPh>
    <phoneticPr fontId="2"/>
  </si>
  <si>
    <r>
      <t>巻抜（</t>
    </r>
    <r>
      <rPr>
        <sz val="10.5"/>
        <color rgb="FFFF0000"/>
        <rFont val="メイリオ"/>
        <family val="3"/>
        <charset val="128"/>
      </rPr>
      <t>両手</t>
    </r>
    <r>
      <rPr>
        <sz val="10.5"/>
        <color theme="1"/>
        <rFont val="メイリオ"/>
        <family val="3"/>
        <charset val="128"/>
      </rPr>
      <t>）</t>
    </r>
    <rPh sb="0" eb="1">
      <t>マ</t>
    </rPh>
    <rPh sb="1" eb="2">
      <t>ヌ</t>
    </rPh>
    <rPh sb="3" eb="5">
      <t>リョウテ</t>
    </rPh>
    <phoneticPr fontId="2"/>
  </si>
  <si>
    <r>
      <rPr>
        <sz val="10.5"/>
        <color rgb="FFFF0000"/>
        <rFont val="メイリオ"/>
        <family val="3"/>
        <charset val="128"/>
      </rPr>
      <t>両手</t>
    </r>
    <r>
      <rPr>
        <sz val="10.5"/>
        <color theme="1"/>
        <rFont val="メイリオ"/>
        <family val="3"/>
        <charset val="128"/>
      </rPr>
      <t>寄抜</t>
    </r>
    <rPh sb="0" eb="2">
      <t>リョウテ</t>
    </rPh>
    <rPh sb="2" eb="3">
      <t>ヨ</t>
    </rPh>
    <rPh sb="3" eb="4">
      <t>ヌ</t>
    </rPh>
    <phoneticPr fontId="2"/>
  </si>
  <si>
    <r>
      <t>十字抜（</t>
    </r>
    <r>
      <rPr>
        <sz val="10.5"/>
        <color rgb="FFFF0000"/>
        <rFont val="メイリオ"/>
        <family val="3"/>
        <charset val="128"/>
      </rPr>
      <t>両手</t>
    </r>
    <r>
      <rPr>
        <sz val="10.5"/>
        <color theme="1"/>
        <rFont val="メイリオ"/>
        <family val="3"/>
        <charset val="128"/>
      </rPr>
      <t>）</t>
    </r>
    <rPh sb="0" eb="3">
      <t>ジュウジヌ</t>
    </rPh>
    <rPh sb="4" eb="6">
      <t>リョウテ</t>
    </rPh>
    <phoneticPr fontId="2"/>
  </si>
  <si>
    <r>
      <t>上膊抜（片手・</t>
    </r>
    <r>
      <rPr>
        <sz val="10.5"/>
        <color rgb="FFFF0000"/>
        <rFont val="メイリオ"/>
        <family val="3"/>
        <charset val="128"/>
      </rPr>
      <t>両手</t>
    </r>
    <r>
      <rPr>
        <sz val="10.5"/>
        <color theme="1"/>
        <rFont val="メイリオ"/>
        <family val="3"/>
        <charset val="128"/>
      </rPr>
      <t>）</t>
    </r>
    <rPh sb="0" eb="2">
      <t>ジョウハク</t>
    </rPh>
    <rPh sb="2" eb="3">
      <t>ヌ</t>
    </rPh>
    <rPh sb="4" eb="6">
      <t>カタテ</t>
    </rPh>
    <rPh sb="7" eb="9">
      <t>リョウテ</t>
    </rPh>
    <phoneticPr fontId="2"/>
  </si>
  <si>
    <r>
      <rPr>
        <sz val="10.5"/>
        <color rgb="FFFF0000"/>
        <rFont val="メイリオ"/>
        <family val="3"/>
        <charset val="128"/>
      </rPr>
      <t>両手</t>
    </r>
    <r>
      <rPr>
        <sz val="10.5"/>
        <color theme="1"/>
        <rFont val="メイリオ"/>
        <family val="3"/>
        <charset val="128"/>
      </rPr>
      <t>送小手</t>
    </r>
    <rPh sb="0" eb="2">
      <t>リョウテ</t>
    </rPh>
    <rPh sb="2" eb="3">
      <t>オク</t>
    </rPh>
    <rPh sb="3" eb="5">
      <t>コテ</t>
    </rPh>
    <phoneticPr fontId="2"/>
  </si>
  <si>
    <r>
      <rPr>
        <sz val="10.5"/>
        <color rgb="FFFF0000"/>
        <rFont val="メイリオ"/>
        <family val="3"/>
        <charset val="128"/>
      </rPr>
      <t>両手</t>
    </r>
    <r>
      <rPr>
        <sz val="10.5"/>
        <color theme="1"/>
        <rFont val="メイリオ"/>
        <family val="3"/>
        <charset val="128"/>
      </rPr>
      <t>十字小手</t>
    </r>
    <rPh sb="0" eb="2">
      <t>リョウテ</t>
    </rPh>
    <rPh sb="2" eb="4">
      <t>ジュウジ</t>
    </rPh>
    <rPh sb="4" eb="6">
      <t>コテ</t>
    </rPh>
    <phoneticPr fontId="2"/>
  </si>
  <si>
    <r>
      <t>切小手（片手・</t>
    </r>
    <r>
      <rPr>
        <sz val="10.5"/>
        <color rgb="FFFF0000"/>
        <rFont val="メイリオ"/>
        <family val="3"/>
        <charset val="128"/>
      </rPr>
      <t>両手</t>
    </r>
    <r>
      <rPr>
        <sz val="10.5"/>
        <color theme="1"/>
        <rFont val="メイリオ"/>
        <family val="3"/>
        <charset val="128"/>
      </rPr>
      <t>）</t>
    </r>
    <rPh sb="0" eb="1">
      <t>キ</t>
    </rPh>
    <rPh sb="1" eb="3">
      <t>コテ</t>
    </rPh>
    <rPh sb="4" eb="6">
      <t>カタテ</t>
    </rPh>
    <rPh sb="7" eb="9">
      <t>リョウテ</t>
    </rPh>
    <phoneticPr fontId="2"/>
  </si>
  <si>
    <r>
      <t>押小手（片手・</t>
    </r>
    <r>
      <rPr>
        <sz val="10.5"/>
        <color rgb="FFFF0000"/>
        <rFont val="メイリオ"/>
        <family val="3"/>
        <charset val="128"/>
      </rPr>
      <t>両手</t>
    </r>
    <r>
      <rPr>
        <sz val="10.5"/>
        <color theme="1"/>
        <rFont val="メイリオ"/>
        <family val="3"/>
        <charset val="128"/>
      </rPr>
      <t>）</t>
    </r>
    <rPh sb="0" eb="3">
      <t>オシコテ</t>
    </rPh>
    <rPh sb="4" eb="6">
      <t>カタテ</t>
    </rPh>
    <rPh sb="7" eb="9">
      <t>リョウテ</t>
    </rPh>
    <phoneticPr fontId="2"/>
  </si>
  <si>
    <r>
      <t>上膊捕（片手・</t>
    </r>
    <r>
      <rPr>
        <sz val="10.5"/>
        <color rgb="FFFF0000"/>
        <rFont val="メイリオ"/>
        <family val="3"/>
        <charset val="128"/>
      </rPr>
      <t>両手</t>
    </r>
    <r>
      <rPr>
        <sz val="10.5"/>
        <color theme="1"/>
        <rFont val="メイリオ"/>
        <family val="3"/>
        <charset val="128"/>
      </rPr>
      <t>）</t>
    </r>
    <rPh sb="0" eb="2">
      <t>ジョウハク</t>
    </rPh>
    <rPh sb="2" eb="3">
      <t>ホ</t>
    </rPh>
    <rPh sb="4" eb="6">
      <t>カタテ</t>
    </rPh>
    <rPh sb="7" eb="9">
      <t>リョウテ</t>
    </rPh>
    <phoneticPr fontId="2"/>
  </si>
  <si>
    <t>対・開</t>
    <rPh sb="0" eb="1">
      <t>タイ</t>
    </rPh>
    <rPh sb="2" eb="3">
      <t>ヒラ</t>
    </rPh>
    <phoneticPr fontId="2"/>
  </si>
  <si>
    <t>対</t>
    <rPh sb="0" eb="1">
      <t>タイ</t>
    </rPh>
    <phoneticPr fontId="2"/>
  </si>
  <si>
    <t>開</t>
    <rPh sb="0" eb="1">
      <t>ヒラ</t>
    </rPh>
    <phoneticPr fontId="2"/>
  </si>
  <si>
    <t>裏：対
表：開</t>
    <rPh sb="0" eb="1">
      <t>ウラ</t>
    </rPh>
    <rPh sb="2" eb="3">
      <t>タイ</t>
    </rPh>
    <rPh sb="4" eb="5">
      <t>オモテ</t>
    </rPh>
    <rPh sb="6" eb="7">
      <t>ヒラ</t>
    </rPh>
    <phoneticPr fontId="2"/>
  </si>
  <si>
    <t>外：開
内：対</t>
    <rPh sb="0" eb="1">
      <t>ソト</t>
    </rPh>
    <rPh sb="2" eb="3">
      <t>ヒラ</t>
    </rPh>
    <rPh sb="4" eb="5">
      <t>ウチ</t>
    </rPh>
    <rPh sb="6" eb="7">
      <t>タイ</t>
    </rPh>
    <phoneticPr fontId="2"/>
  </si>
  <si>
    <t>片手送小手からの固め技</t>
    <rPh sb="0" eb="3">
      <t>カタテオク</t>
    </rPh>
    <rPh sb="3" eb="5">
      <t>コテ</t>
    </rPh>
    <rPh sb="8" eb="9">
      <t>カタ</t>
    </rPh>
    <rPh sb="10" eb="11">
      <t>ワザ</t>
    </rPh>
    <phoneticPr fontId="2"/>
  </si>
  <si>
    <t>十字受蹴</t>
    <rPh sb="0" eb="1">
      <t>タイ</t>
    </rPh>
    <phoneticPr fontId="2"/>
  </si>
  <si>
    <t>十字小手（片手）からの固め技</t>
    <rPh sb="0" eb="4">
      <t>ジュウジコテ</t>
    </rPh>
    <rPh sb="5" eb="7">
      <t>カタテ</t>
    </rPh>
    <rPh sb="11" eb="12">
      <t>カタ</t>
    </rPh>
    <rPh sb="13" eb="14">
      <t>ワザ</t>
    </rPh>
    <phoneticPr fontId="2"/>
  </si>
  <si>
    <t>腕十字固めより立合掌固</t>
    <rPh sb="0" eb="3">
      <t>ウデジュウジ</t>
    </rPh>
    <rPh sb="3" eb="4">
      <t>カタ</t>
    </rPh>
    <rPh sb="7" eb="8">
      <t>タ</t>
    </rPh>
    <rPh sb="8" eb="10">
      <t>ガッショウ</t>
    </rPh>
    <rPh sb="10" eb="11">
      <t>コ</t>
    </rPh>
    <phoneticPr fontId="2"/>
  </si>
  <si>
    <t>片：開
両：対</t>
    <rPh sb="0" eb="1">
      <t>カタ</t>
    </rPh>
    <rPh sb="2" eb="3">
      <t>ヒラ</t>
    </rPh>
    <rPh sb="4" eb="5">
      <t>リョウ</t>
    </rPh>
    <rPh sb="6" eb="7">
      <t>タイ</t>
    </rPh>
    <phoneticPr fontId="2"/>
  </si>
  <si>
    <t>横</t>
    <rPh sb="0" eb="1">
      <t>ヨコ</t>
    </rPh>
    <phoneticPr fontId="2"/>
  </si>
  <si>
    <t>両手送小手より固め技</t>
    <rPh sb="0" eb="2">
      <t>リョウテ</t>
    </rPh>
    <rPh sb="2" eb="3">
      <t>オク</t>
    </rPh>
    <rPh sb="3" eb="5">
      <t>コテ</t>
    </rPh>
    <rPh sb="7" eb="8">
      <t>カタ</t>
    </rPh>
    <rPh sb="9" eb="10">
      <t>ワザ</t>
    </rPh>
    <phoneticPr fontId="2"/>
  </si>
  <si>
    <t>逆手：開
腕逆捕：対</t>
    <rPh sb="0" eb="2">
      <t>ギャクテ</t>
    </rPh>
    <rPh sb="3" eb="4">
      <t>ヒラ</t>
    </rPh>
    <rPh sb="5" eb="8">
      <t>ウデギャクホ</t>
    </rPh>
    <rPh sb="9" eb="10">
      <t>タイ</t>
    </rPh>
    <phoneticPr fontId="2"/>
  </si>
  <si>
    <t>巻小手より固め技</t>
    <rPh sb="0" eb="1">
      <t>マ</t>
    </rPh>
    <rPh sb="1" eb="3">
      <t>コテ</t>
    </rPh>
    <rPh sb="5" eb="6">
      <t>カタ</t>
    </rPh>
    <rPh sb="7" eb="8">
      <t>ワザ</t>
    </rPh>
    <phoneticPr fontId="2"/>
  </si>
  <si>
    <t>逆小手からの裏返し投げからの固め技
/巻小手より固め技</t>
    <rPh sb="0" eb="3">
      <t>ギャクコテ</t>
    </rPh>
    <rPh sb="6" eb="8">
      <t>ウラカエ</t>
    </rPh>
    <rPh sb="9" eb="10">
      <t>ナ</t>
    </rPh>
    <rPh sb="14" eb="15">
      <t>カタ</t>
    </rPh>
    <rPh sb="16" eb="17">
      <t>ワザ</t>
    </rPh>
    <phoneticPr fontId="2"/>
  </si>
  <si>
    <t>押小手より固め技</t>
    <rPh sb="0" eb="3">
      <t>オシコテ</t>
    </rPh>
    <rPh sb="5" eb="6">
      <t>カタ</t>
    </rPh>
    <rPh sb="7" eb="8">
      <t>ワザ</t>
    </rPh>
    <phoneticPr fontId="2"/>
  </si>
  <si>
    <t>表：開
裏：対</t>
    <rPh sb="0" eb="1">
      <t>オモテ</t>
    </rPh>
    <rPh sb="2" eb="3">
      <t>ヒラ</t>
    </rPh>
    <rPh sb="4" eb="5">
      <t>ウラ</t>
    </rPh>
    <rPh sb="6" eb="7">
      <t>タイ</t>
    </rPh>
    <phoneticPr fontId="2"/>
  </si>
  <si>
    <t>開</t>
    <rPh sb="0" eb="1">
      <t>ヒラキ</t>
    </rPh>
    <phoneticPr fontId="2"/>
  </si>
  <si>
    <t>変化：開
仕掛：－</t>
    <rPh sb="0" eb="2">
      <t>ヘンカ</t>
    </rPh>
    <rPh sb="3" eb="4">
      <t>ヒラ</t>
    </rPh>
    <rPh sb="5" eb="7">
      <t>シカ</t>
    </rPh>
    <phoneticPr fontId="2"/>
  </si>
  <si>
    <t>諸手逆小手より固め技</t>
    <rPh sb="0" eb="2">
      <t>モロテ</t>
    </rPh>
    <rPh sb="2" eb="5">
      <t>ギャクコテ</t>
    </rPh>
    <rPh sb="7" eb="8">
      <t>カタ</t>
    </rPh>
    <rPh sb="9" eb="10">
      <t>ワザ</t>
    </rPh>
    <phoneticPr fontId="2"/>
  </si>
  <si>
    <t>背投：開
逆天秤：対</t>
    <rPh sb="0" eb="2">
      <t>セナ</t>
    </rPh>
    <rPh sb="3" eb="4">
      <t>ヒラキ</t>
    </rPh>
    <rPh sb="5" eb="8">
      <t>ギャクテンビン</t>
    </rPh>
    <rPh sb="9" eb="10">
      <t>タイ</t>
    </rPh>
    <phoneticPr fontId="2"/>
  </si>
  <si>
    <r>
      <t>打抜（片手・</t>
    </r>
    <r>
      <rPr>
        <sz val="10.5"/>
        <color rgb="FFFF0000"/>
        <rFont val="メイリオ"/>
        <family val="3"/>
        <charset val="128"/>
      </rPr>
      <t>両手</t>
    </r>
    <r>
      <rPr>
        <sz val="10.5"/>
        <color theme="1"/>
        <rFont val="メイリオ"/>
        <family val="3"/>
        <charset val="128"/>
      </rPr>
      <t>）</t>
    </r>
    <rPh sb="0" eb="1">
      <t>ウ</t>
    </rPh>
    <rPh sb="1" eb="2">
      <t>ヌ</t>
    </rPh>
    <rPh sb="3" eb="5">
      <t>カタテ</t>
    </rPh>
    <rPh sb="6" eb="8">
      <t>リョウテ</t>
    </rPh>
    <phoneticPr fontId="2"/>
  </si>
  <si>
    <r>
      <t xml:space="preserve">裏：対
</t>
    </r>
    <r>
      <rPr>
        <sz val="10.5"/>
        <color rgb="FFFF0000"/>
        <rFont val="メイリオ"/>
        <family val="3"/>
        <charset val="128"/>
      </rPr>
      <t>表：開</t>
    </r>
    <rPh sb="0" eb="1">
      <t>ウラ</t>
    </rPh>
    <rPh sb="2" eb="3">
      <t>タイ</t>
    </rPh>
    <rPh sb="4" eb="5">
      <t>オモテ</t>
    </rPh>
    <rPh sb="6" eb="7">
      <t>ヒラ</t>
    </rPh>
    <phoneticPr fontId="2"/>
  </si>
  <si>
    <r>
      <rPr>
        <sz val="10.5"/>
        <color rgb="FFFF0000"/>
        <rFont val="メイリオ"/>
        <family val="3"/>
        <charset val="128"/>
      </rPr>
      <t>表：開</t>
    </r>
    <r>
      <rPr>
        <sz val="10.5"/>
        <color theme="1"/>
        <rFont val="メイリオ"/>
        <family val="3"/>
        <charset val="128"/>
      </rPr>
      <t xml:space="preserve">
裏：対</t>
    </r>
    <rPh sb="0" eb="1">
      <t>オモテ</t>
    </rPh>
    <rPh sb="2" eb="3">
      <t>ヒラ</t>
    </rPh>
    <rPh sb="4" eb="5">
      <t>ウラ</t>
    </rPh>
    <rPh sb="6" eb="7">
      <t>タイ</t>
    </rPh>
    <phoneticPr fontId="2"/>
  </si>
  <si>
    <r>
      <t>切返抜（</t>
    </r>
    <r>
      <rPr>
        <sz val="10.5"/>
        <color rgb="FFFF0000"/>
        <rFont val="メイリオ"/>
        <family val="3"/>
        <charset val="128"/>
      </rPr>
      <t>両手</t>
    </r>
    <r>
      <rPr>
        <sz val="10.5"/>
        <color theme="1"/>
        <rFont val="メイリオ"/>
        <family val="3"/>
        <charset val="128"/>
      </rPr>
      <t>・片手）</t>
    </r>
    <rPh sb="0" eb="1">
      <t>キ</t>
    </rPh>
    <rPh sb="1" eb="2">
      <t>カエ</t>
    </rPh>
    <rPh sb="2" eb="3">
      <t>ヌ</t>
    </rPh>
    <rPh sb="4" eb="6">
      <t>リョウテ</t>
    </rPh>
    <rPh sb="7" eb="9">
      <t>カタテ</t>
    </rPh>
    <phoneticPr fontId="2"/>
  </si>
  <si>
    <t>二～四</t>
    <rPh sb="0" eb="1">
      <t>ニ</t>
    </rPh>
    <rPh sb="2" eb="3">
      <t>ヨン</t>
    </rPh>
    <phoneticPr fontId="2"/>
  </si>
  <si>
    <t>●</t>
    <phoneticPr fontId="2"/>
  </si>
  <si>
    <t>仁王拳</t>
    <rPh sb="0" eb="3">
      <t>ニオウケン</t>
    </rPh>
    <phoneticPr fontId="2"/>
  </si>
  <si>
    <t>三合拳</t>
    <rPh sb="0" eb="3">
      <t>サンゴウケン</t>
    </rPh>
    <phoneticPr fontId="2"/>
  </si>
  <si>
    <t>天王拳</t>
    <rPh sb="0" eb="3">
      <t>テンノウケン</t>
    </rPh>
    <phoneticPr fontId="2"/>
  </si>
  <si>
    <t>白蓮拳</t>
    <rPh sb="0" eb="3">
      <t>ビャクレンケン</t>
    </rPh>
    <phoneticPr fontId="2"/>
  </si>
  <si>
    <t>鶴立拳</t>
    <rPh sb="0" eb="2">
      <t>カクリツ</t>
    </rPh>
    <rPh sb="2" eb="3">
      <t>ケン</t>
    </rPh>
    <phoneticPr fontId="2"/>
  </si>
  <si>
    <t>龍王拳</t>
    <rPh sb="0" eb="2">
      <t>リュウオウ</t>
    </rPh>
    <rPh sb="2" eb="3">
      <t>ケン</t>
    </rPh>
    <phoneticPr fontId="2"/>
  </si>
  <si>
    <t>龍華拳</t>
    <rPh sb="0" eb="2">
      <t>リュウカ</t>
    </rPh>
    <rPh sb="2" eb="3">
      <t>ケン</t>
    </rPh>
    <phoneticPr fontId="2"/>
  </si>
  <si>
    <t>五花拳</t>
    <rPh sb="0" eb="3">
      <t>ゴカケン</t>
    </rPh>
    <phoneticPr fontId="2"/>
  </si>
  <si>
    <t>金剛拳</t>
    <rPh sb="0" eb="3">
      <t>コンゴウケン</t>
    </rPh>
    <phoneticPr fontId="2"/>
  </si>
  <si>
    <r>
      <t>切小手（片手・</t>
    </r>
    <r>
      <rPr>
        <sz val="10.5"/>
        <color rgb="FFFF0000"/>
        <rFont val="メイリオ"/>
        <family val="3"/>
        <charset val="128"/>
      </rPr>
      <t>諸手</t>
    </r>
    <r>
      <rPr>
        <sz val="10.5"/>
        <color theme="1"/>
        <rFont val="メイリオ"/>
        <family val="3"/>
        <charset val="128"/>
      </rPr>
      <t>）</t>
    </r>
    <rPh sb="0" eb="1">
      <t>キ</t>
    </rPh>
    <rPh sb="1" eb="3">
      <t>コテ</t>
    </rPh>
    <rPh sb="4" eb="6">
      <t>カタテ</t>
    </rPh>
    <rPh sb="7" eb="9">
      <t>モロテ</t>
    </rPh>
    <phoneticPr fontId="2"/>
  </si>
  <si>
    <t>切返抜（諸手・片手）</t>
    <rPh sb="0" eb="1">
      <t>キ</t>
    </rPh>
    <rPh sb="1" eb="2">
      <t>カエ</t>
    </rPh>
    <rPh sb="2" eb="3">
      <t>ヌ</t>
    </rPh>
    <rPh sb="4" eb="6">
      <t>モロテ</t>
    </rPh>
    <rPh sb="7" eb="9">
      <t>カタテ</t>
    </rPh>
    <phoneticPr fontId="2"/>
  </si>
  <si>
    <t>開/八/一</t>
    <rPh sb="0" eb="1">
      <t>ヒラ</t>
    </rPh>
    <rPh sb="2" eb="3">
      <t>ハチ</t>
    </rPh>
    <rPh sb="4" eb="5">
      <t>イチ</t>
    </rPh>
    <phoneticPr fontId="2"/>
  </si>
  <si>
    <t>逆小手より裏返投</t>
    <rPh sb="0" eb="1">
      <t>ギャク</t>
    </rPh>
    <rPh sb="1" eb="3">
      <t>コテ</t>
    </rPh>
    <rPh sb="5" eb="7">
      <t>ウラカエ</t>
    </rPh>
    <rPh sb="7" eb="8">
      <t>ナ</t>
    </rPh>
    <phoneticPr fontId="2"/>
  </si>
  <si>
    <t>対/中/中</t>
    <rPh sb="0" eb="1">
      <t>タイ</t>
    </rPh>
    <rPh sb="4" eb="5">
      <t>チュウ</t>
    </rPh>
    <phoneticPr fontId="2"/>
  </si>
  <si>
    <t>三合拳</t>
    <rPh sb="0" eb="2">
      <t>サンゴウ</t>
    </rPh>
    <rPh sb="2" eb="3">
      <t>ケン</t>
    </rPh>
    <phoneticPr fontId="2"/>
  </si>
  <si>
    <t>龍王拳</t>
    <rPh sb="0" eb="1">
      <t>リュウ</t>
    </rPh>
    <rPh sb="1" eb="2">
      <t>オウ</t>
    </rPh>
    <rPh sb="2" eb="3">
      <t>ケン</t>
    </rPh>
    <phoneticPr fontId="2"/>
  </si>
  <si>
    <t>五花拳</t>
    <rPh sb="0" eb="1">
      <t>ゴ</t>
    </rPh>
    <rPh sb="1" eb="2">
      <t>カ</t>
    </rPh>
    <rPh sb="2" eb="3">
      <t>ケン</t>
    </rPh>
    <phoneticPr fontId="2"/>
  </si>
  <si>
    <t>金剛拳</t>
    <rPh sb="2" eb="3">
      <t>ケン</t>
    </rPh>
    <phoneticPr fontId="2"/>
  </si>
  <si>
    <t>羅漢拳</t>
    <rPh sb="2" eb="3">
      <t>ケン</t>
    </rPh>
    <phoneticPr fontId="2"/>
  </si>
  <si>
    <t>開/乱/中</t>
    <rPh sb="2" eb="3">
      <t>ミダ</t>
    </rPh>
    <phoneticPr fontId="2"/>
  </si>
  <si>
    <t>一本背投</t>
  </si>
  <si>
    <t>系統別</t>
    <rPh sb="0" eb="2">
      <t>ケイトウ</t>
    </rPh>
    <rPh sb="2" eb="3">
      <t>ベツ</t>
    </rPh>
    <phoneticPr fontId="2"/>
  </si>
  <si>
    <t>技</t>
    <rPh sb="0" eb="1">
      <t>ワザ</t>
    </rPh>
    <phoneticPr fontId="2"/>
  </si>
  <si>
    <t>段位</t>
    <rPh sb="0" eb="2">
      <t>ダンイ</t>
    </rPh>
    <phoneticPr fontId="2"/>
  </si>
  <si>
    <t>拳系</t>
    <rPh sb="0" eb="2">
      <t>ケンケイ</t>
    </rPh>
    <phoneticPr fontId="2"/>
  </si>
  <si>
    <t>送小手系</t>
    <rPh sb="0" eb="1">
      <t>オク</t>
    </rPh>
    <rPh sb="1" eb="3">
      <t>コテ</t>
    </rPh>
    <rPh sb="3" eb="4">
      <t>ケイ</t>
    </rPh>
    <phoneticPr fontId="2"/>
  </si>
  <si>
    <t>片胸落系</t>
    <rPh sb="0" eb="2">
      <t>カタムナ</t>
    </rPh>
    <rPh sb="2" eb="3">
      <t>オ</t>
    </rPh>
    <rPh sb="3" eb="4">
      <t>ケイ</t>
    </rPh>
    <phoneticPr fontId="2"/>
  </si>
  <si>
    <t>羅漢拳</t>
    <rPh sb="0" eb="3">
      <t>ラカンケン</t>
    </rPh>
    <phoneticPr fontId="2"/>
  </si>
  <si>
    <t>送小手送指捕</t>
    <rPh sb="0" eb="1">
      <t>オク</t>
    </rPh>
    <rPh sb="1" eb="3">
      <t>コテ</t>
    </rPh>
    <rPh sb="3" eb="4">
      <t>オク</t>
    </rPh>
    <rPh sb="4" eb="5">
      <t>ユビ</t>
    </rPh>
    <rPh sb="5" eb="6">
      <t>ト</t>
    </rPh>
    <phoneticPr fontId="2"/>
  </si>
  <si>
    <t>襟系</t>
    <rPh sb="0" eb="1">
      <t>エリ</t>
    </rPh>
    <rPh sb="1" eb="2">
      <t>ケイ</t>
    </rPh>
    <phoneticPr fontId="2"/>
  </si>
  <si>
    <t>腕巻</t>
    <rPh sb="0" eb="2">
      <t>ウデマキ</t>
    </rPh>
    <phoneticPr fontId="2"/>
  </si>
  <si>
    <t>首投</t>
    <rPh sb="0" eb="1">
      <t>クビ</t>
    </rPh>
    <rPh sb="1" eb="2">
      <t>ナ</t>
    </rPh>
    <phoneticPr fontId="2"/>
  </si>
  <si>
    <t>掬首投</t>
    <rPh sb="0" eb="1">
      <t>スク</t>
    </rPh>
    <rPh sb="1" eb="3">
      <t>クビナ</t>
    </rPh>
    <phoneticPr fontId="2"/>
  </si>
  <si>
    <t>襟捕</t>
    <rPh sb="0" eb="1">
      <t>エリ</t>
    </rPh>
    <rPh sb="1" eb="2">
      <t>ト</t>
    </rPh>
    <phoneticPr fontId="2"/>
  </si>
  <si>
    <t>初</t>
    <rPh sb="0" eb="1">
      <t>ショ</t>
    </rPh>
    <phoneticPr fontId="2"/>
  </si>
  <si>
    <t>？</t>
    <phoneticPr fontId="2"/>
  </si>
  <si>
    <t>巻打首投</t>
    <rPh sb="0" eb="2">
      <t>マキウ</t>
    </rPh>
    <rPh sb="2" eb="3">
      <t>クビ</t>
    </rPh>
    <rPh sb="3" eb="4">
      <t>ナ</t>
    </rPh>
    <phoneticPr fontId="2"/>
  </si>
  <si>
    <t>後襟捕（表・裏）</t>
    <rPh sb="0" eb="1">
      <t>ウシ</t>
    </rPh>
    <rPh sb="1" eb="2">
      <t>エリ</t>
    </rPh>
    <rPh sb="2" eb="3">
      <t>ト</t>
    </rPh>
    <rPh sb="4" eb="5">
      <t>オモテ</t>
    </rPh>
    <rPh sb="6" eb="7">
      <t>ウラ</t>
    </rPh>
    <phoneticPr fontId="2"/>
  </si>
  <si>
    <t>後首投</t>
    <rPh sb="0" eb="1">
      <t>ウシ</t>
    </rPh>
    <rPh sb="1" eb="3">
      <t>クビナ</t>
    </rPh>
    <phoneticPr fontId="2"/>
  </si>
  <si>
    <t>吊上捕</t>
    <rPh sb="0" eb="1">
      <t>ツ</t>
    </rPh>
    <rPh sb="1" eb="2">
      <t>ア</t>
    </rPh>
    <rPh sb="2" eb="3">
      <t>ト</t>
    </rPh>
    <phoneticPr fontId="2"/>
  </si>
  <si>
    <t>木葉系</t>
    <rPh sb="0" eb="2">
      <t>コノハ</t>
    </rPh>
    <rPh sb="2" eb="3">
      <t>ケイ</t>
    </rPh>
    <phoneticPr fontId="2"/>
  </si>
  <si>
    <t>龍華拳</t>
    <rPh sb="0" eb="3">
      <t>リュウカケン</t>
    </rPh>
    <phoneticPr fontId="2"/>
  </si>
  <si>
    <t>袖系</t>
    <rPh sb="0" eb="1">
      <t>ソデ</t>
    </rPh>
    <rPh sb="1" eb="2">
      <t>ケイ</t>
    </rPh>
    <phoneticPr fontId="2"/>
  </si>
  <si>
    <t>上膊捕</t>
    <rPh sb="0" eb="2">
      <t>ジョウハク</t>
    </rPh>
    <rPh sb="2" eb="3">
      <t>ト</t>
    </rPh>
    <phoneticPr fontId="2"/>
  </si>
  <si>
    <t>送天秤捕（二種）</t>
    <rPh sb="0" eb="1">
      <t>オク</t>
    </rPh>
    <rPh sb="1" eb="3">
      <t>テンビン</t>
    </rPh>
    <rPh sb="3" eb="4">
      <t>ト</t>
    </rPh>
    <rPh sb="5" eb="7">
      <t>ニシュ</t>
    </rPh>
    <phoneticPr fontId="2"/>
  </si>
  <si>
    <t>引落</t>
    <rPh sb="0" eb="1">
      <t>ヒ</t>
    </rPh>
    <rPh sb="1" eb="2">
      <t>オ</t>
    </rPh>
    <phoneticPr fontId="2"/>
  </si>
  <si>
    <t>寄抜（片・両）</t>
    <rPh sb="0" eb="1">
      <t>ヨ</t>
    </rPh>
    <rPh sb="1" eb="2">
      <t>ヌ</t>
    </rPh>
    <rPh sb="3" eb="4">
      <t>カタ</t>
    </rPh>
    <rPh sb="5" eb="6">
      <t>リョウ</t>
    </rPh>
    <phoneticPr fontId="2"/>
  </si>
  <si>
    <t>5・3</t>
    <phoneticPr fontId="2"/>
  </si>
  <si>
    <t>閂系</t>
    <rPh sb="0" eb="1">
      <t>カンヌキ</t>
    </rPh>
    <rPh sb="1" eb="2">
      <t>ケイ</t>
    </rPh>
    <phoneticPr fontId="2"/>
  </si>
  <si>
    <t>閂送（捕）</t>
    <rPh sb="0" eb="1">
      <t>カンヌキ</t>
    </rPh>
    <rPh sb="1" eb="2">
      <t>オク</t>
    </rPh>
    <rPh sb="3" eb="4">
      <t>ト</t>
    </rPh>
    <phoneticPr fontId="2"/>
  </si>
  <si>
    <t>巻抜（片・両・諸）</t>
    <rPh sb="0" eb="2">
      <t>マキヌ</t>
    </rPh>
    <rPh sb="3" eb="4">
      <t>カタ</t>
    </rPh>
    <rPh sb="5" eb="6">
      <t>リョウ</t>
    </rPh>
    <rPh sb="7" eb="8">
      <t>ショ</t>
    </rPh>
    <phoneticPr fontId="2"/>
  </si>
  <si>
    <t>5・3・初</t>
    <rPh sb="4" eb="5">
      <t>ショ</t>
    </rPh>
    <phoneticPr fontId="2"/>
  </si>
  <si>
    <t>閂外天秤</t>
    <rPh sb="0" eb="1">
      <t>カンヌキ</t>
    </rPh>
    <rPh sb="1" eb="4">
      <t>ガイテンビン</t>
    </rPh>
    <phoneticPr fontId="2"/>
  </si>
  <si>
    <t>肘抜前天秤</t>
    <rPh sb="0" eb="2">
      <t>ヒジヌ</t>
    </rPh>
    <rPh sb="2" eb="3">
      <t>マエ</t>
    </rPh>
    <rPh sb="3" eb="5">
      <t>テンビン</t>
    </rPh>
    <phoneticPr fontId="2"/>
  </si>
  <si>
    <t>居捕</t>
    <rPh sb="0" eb="1">
      <t>キョ</t>
    </rPh>
    <rPh sb="1" eb="2">
      <t>ホ</t>
    </rPh>
    <phoneticPr fontId="2"/>
  </si>
  <si>
    <t>上抜</t>
    <rPh sb="0" eb="2">
      <t>ウワヌ</t>
    </rPh>
    <phoneticPr fontId="2"/>
  </si>
  <si>
    <t>突抜（（内・外）・両・諸）</t>
    <rPh sb="0" eb="1">
      <t>ツ</t>
    </rPh>
    <rPh sb="1" eb="2">
      <t>ヌ</t>
    </rPh>
    <rPh sb="4" eb="5">
      <t>ウチ</t>
    </rPh>
    <rPh sb="6" eb="7">
      <t>ソト</t>
    </rPh>
    <rPh sb="9" eb="10">
      <t>リョウ</t>
    </rPh>
    <rPh sb="11" eb="12">
      <t>モロ</t>
    </rPh>
    <phoneticPr fontId="2"/>
  </si>
  <si>
    <t>4・3・1</t>
    <phoneticPr fontId="2"/>
  </si>
  <si>
    <t>後袖巻（捕）</t>
    <rPh sb="0" eb="1">
      <t>ウシ</t>
    </rPh>
    <rPh sb="1" eb="2">
      <t>ソデ</t>
    </rPh>
    <rPh sb="2" eb="3">
      <t>マキ</t>
    </rPh>
    <rPh sb="4" eb="5">
      <t>ト</t>
    </rPh>
    <phoneticPr fontId="2"/>
  </si>
  <si>
    <t>打抜（片・両）</t>
    <rPh sb="0" eb="1">
      <t>ウ</t>
    </rPh>
    <rPh sb="1" eb="2">
      <t>ヌ</t>
    </rPh>
    <rPh sb="3" eb="4">
      <t>カタ</t>
    </rPh>
    <rPh sb="5" eb="6">
      <t>リョウ</t>
    </rPh>
    <phoneticPr fontId="2"/>
  </si>
  <si>
    <t>袖巻返</t>
    <rPh sb="0" eb="1">
      <t>ソデ</t>
    </rPh>
    <rPh sb="1" eb="2">
      <t>マキ</t>
    </rPh>
    <rPh sb="2" eb="3">
      <t>カエ</t>
    </rPh>
    <phoneticPr fontId="2"/>
  </si>
  <si>
    <t>押小手系</t>
    <rPh sb="0" eb="1">
      <t>オ</t>
    </rPh>
    <rPh sb="1" eb="3">
      <t>コテ</t>
    </rPh>
    <rPh sb="3" eb="4">
      <t>ケイ</t>
    </rPh>
    <phoneticPr fontId="2"/>
  </si>
  <si>
    <t>押小手（片・両）</t>
    <rPh sb="0" eb="1">
      <t>オ</t>
    </rPh>
    <rPh sb="1" eb="3">
      <t>コテ</t>
    </rPh>
    <rPh sb="4" eb="5">
      <t>カタ</t>
    </rPh>
    <rPh sb="6" eb="7">
      <t>リョウ</t>
    </rPh>
    <phoneticPr fontId="2"/>
  </si>
  <si>
    <t>袖口捕</t>
    <rPh sb="0" eb="1">
      <t>ソデ</t>
    </rPh>
    <rPh sb="1" eb="2">
      <t>グチ</t>
    </rPh>
    <rPh sb="2" eb="3">
      <t>ト</t>
    </rPh>
    <phoneticPr fontId="2"/>
  </si>
  <si>
    <t>合掌系</t>
    <rPh sb="0" eb="2">
      <t>ガッショウ</t>
    </rPh>
    <rPh sb="2" eb="3">
      <t>ケイ</t>
    </rPh>
    <phoneticPr fontId="2"/>
  </si>
  <si>
    <t>二段抜</t>
    <rPh sb="0" eb="2">
      <t>ニダン</t>
    </rPh>
    <rPh sb="2" eb="3">
      <t>ヌ</t>
    </rPh>
    <phoneticPr fontId="2"/>
  </si>
  <si>
    <t>逆袖巻</t>
    <rPh sb="0" eb="1">
      <t>ギャク</t>
    </rPh>
    <rPh sb="1" eb="2">
      <t>ソデ</t>
    </rPh>
    <rPh sb="2" eb="3">
      <t>マキ</t>
    </rPh>
    <phoneticPr fontId="2"/>
  </si>
  <si>
    <t>合掌丁字</t>
    <rPh sb="0" eb="2">
      <t>ガッショウ</t>
    </rPh>
    <rPh sb="2" eb="4">
      <t>チョウジ</t>
    </rPh>
    <phoneticPr fontId="2"/>
  </si>
  <si>
    <t>押抜（片・諸）</t>
    <rPh sb="0" eb="1">
      <t>オ</t>
    </rPh>
    <rPh sb="1" eb="2">
      <t>ヌ</t>
    </rPh>
    <rPh sb="3" eb="4">
      <t>カタ</t>
    </rPh>
    <rPh sb="5" eb="6">
      <t>モロ</t>
    </rPh>
    <phoneticPr fontId="2"/>
  </si>
  <si>
    <t>1・初</t>
    <rPh sb="2" eb="3">
      <t>ショ</t>
    </rPh>
    <phoneticPr fontId="2"/>
  </si>
  <si>
    <t>合掌突倒</t>
    <rPh sb="0" eb="2">
      <t>ガッショウ</t>
    </rPh>
    <rPh sb="2" eb="3">
      <t>ツ</t>
    </rPh>
    <rPh sb="3" eb="4">
      <t>タオ</t>
    </rPh>
    <phoneticPr fontId="2"/>
  </si>
  <si>
    <t>巻小手系</t>
    <rPh sb="0" eb="1">
      <t>マキ</t>
    </rPh>
    <rPh sb="1" eb="3">
      <t>コテ</t>
    </rPh>
    <rPh sb="3" eb="4">
      <t>ケイ</t>
    </rPh>
    <phoneticPr fontId="2"/>
  </si>
  <si>
    <t>巻小手（片・諸）</t>
    <rPh sb="0" eb="1">
      <t>マキ</t>
    </rPh>
    <rPh sb="1" eb="3">
      <t>コテ</t>
    </rPh>
    <rPh sb="4" eb="5">
      <t>カタ</t>
    </rPh>
    <rPh sb="6" eb="7">
      <t>モロ</t>
    </rPh>
    <phoneticPr fontId="2"/>
  </si>
  <si>
    <t>上膊抜（片・両）</t>
    <rPh sb="0" eb="2">
      <t>ジョウハク</t>
    </rPh>
    <rPh sb="2" eb="3">
      <t>ヌ</t>
    </rPh>
    <rPh sb="4" eb="5">
      <t>カタ</t>
    </rPh>
    <rPh sb="6" eb="7">
      <t>リョウ</t>
    </rPh>
    <phoneticPr fontId="2"/>
  </si>
  <si>
    <t>熊手返（片・両）</t>
    <rPh sb="0" eb="2">
      <t>クマデ</t>
    </rPh>
    <rPh sb="2" eb="3">
      <t>カエ</t>
    </rPh>
    <rPh sb="4" eb="5">
      <t>カタ</t>
    </rPh>
    <rPh sb="6" eb="7">
      <t>リョウ</t>
    </rPh>
    <phoneticPr fontId="2"/>
  </si>
  <si>
    <t>切抜（内・外）</t>
    <rPh sb="0" eb="1">
      <t>キ</t>
    </rPh>
    <rPh sb="1" eb="2">
      <t>ヌ</t>
    </rPh>
    <rPh sb="3" eb="4">
      <t>ウチ</t>
    </rPh>
    <rPh sb="5" eb="6">
      <t>ソト</t>
    </rPh>
    <phoneticPr fontId="2"/>
  </si>
  <si>
    <t>足系</t>
    <rPh sb="0" eb="1">
      <t>アシ</t>
    </rPh>
    <rPh sb="1" eb="2">
      <t>ケイ</t>
    </rPh>
    <phoneticPr fontId="2"/>
  </si>
  <si>
    <t>合掌抜</t>
    <rPh sb="0" eb="2">
      <t>ガッショウ</t>
    </rPh>
    <rPh sb="2" eb="3">
      <t>ヌ</t>
    </rPh>
    <phoneticPr fontId="2"/>
  </si>
  <si>
    <t>崩投</t>
    <rPh sb="0" eb="1">
      <t>クズ</t>
    </rPh>
    <rPh sb="1" eb="2">
      <t>ナ</t>
    </rPh>
    <phoneticPr fontId="2"/>
  </si>
  <si>
    <t>腕十字</t>
    <rPh sb="0" eb="1">
      <t>ウデ</t>
    </rPh>
    <rPh sb="1" eb="3">
      <t>ジュウジ</t>
    </rPh>
    <phoneticPr fontId="2"/>
  </si>
  <si>
    <t>切小手系</t>
    <rPh sb="0" eb="1">
      <t>キ</t>
    </rPh>
    <rPh sb="1" eb="3">
      <t>コテ</t>
    </rPh>
    <rPh sb="3" eb="4">
      <t>ケイ</t>
    </rPh>
    <phoneticPr fontId="2"/>
  </si>
  <si>
    <t>切小手</t>
    <rPh sb="0" eb="1">
      <t>キ</t>
    </rPh>
    <rPh sb="1" eb="3">
      <t>コテ</t>
    </rPh>
    <phoneticPr fontId="2"/>
  </si>
  <si>
    <t>矢筈投</t>
    <rPh sb="0" eb="3">
      <t>ヤハズナ</t>
    </rPh>
    <phoneticPr fontId="2"/>
  </si>
  <si>
    <t>送固</t>
    <rPh sb="0" eb="1">
      <t>オク</t>
    </rPh>
    <rPh sb="1" eb="2">
      <t>カタ</t>
    </rPh>
    <phoneticPr fontId="2"/>
  </si>
  <si>
    <t>裏固</t>
    <rPh sb="0" eb="2">
      <t>ウラガタ</t>
    </rPh>
    <phoneticPr fontId="2"/>
  </si>
  <si>
    <t>切返巻天秤</t>
    <rPh sb="0" eb="1">
      <t>キ</t>
    </rPh>
    <rPh sb="1" eb="2">
      <t>カエ</t>
    </rPh>
    <rPh sb="2" eb="3">
      <t>マキ</t>
    </rPh>
    <rPh sb="3" eb="5">
      <t>テンビン</t>
    </rPh>
    <phoneticPr fontId="2"/>
  </si>
  <si>
    <t>一本背投げ</t>
    <rPh sb="0" eb="2">
      <t>イッポン</t>
    </rPh>
    <rPh sb="2" eb="4">
      <t>セナ</t>
    </rPh>
    <phoneticPr fontId="2"/>
  </si>
  <si>
    <t>切返抜（片・諸）</t>
    <rPh sb="0" eb="1">
      <t>キ</t>
    </rPh>
    <rPh sb="1" eb="2">
      <t>カエ</t>
    </rPh>
    <rPh sb="2" eb="3">
      <t>ヌ</t>
    </rPh>
    <rPh sb="4" eb="5">
      <t>カタ</t>
    </rPh>
    <rPh sb="6" eb="7">
      <t>モロ</t>
    </rPh>
    <phoneticPr fontId="2"/>
  </si>
  <si>
    <t>三角抜</t>
    <rPh sb="0" eb="3">
      <t>サンカ</t>
    </rPh>
    <phoneticPr fontId="2"/>
  </si>
  <si>
    <t>十字小手系</t>
    <rPh sb="0" eb="4">
      <t>ジュウジコテ</t>
    </rPh>
    <rPh sb="4" eb="5">
      <t>ケイ</t>
    </rPh>
    <phoneticPr fontId="2"/>
  </si>
  <si>
    <t>十字小手（片・両・諸）</t>
    <rPh sb="0" eb="4">
      <t>ジュウジコテ</t>
    </rPh>
    <rPh sb="5" eb="6">
      <t>カタ</t>
    </rPh>
    <rPh sb="7" eb="8">
      <t>リョウ</t>
    </rPh>
    <rPh sb="9" eb="10">
      <t>モロ</t>
    </rPh>
    <phoneticPr fontId="2"/>
  </si>
  <si>
    <t>3・2・1</t>
    <phoneticPr fontId="2"/>
  </si>
  <si>
    <t>振捨表投</t>
    <rPh sb="0" eb="1">
      <t>フ</t>
    </rPh>
    <rPh sb="1" eb="2">
      <t>ス</t>
    </rPh>
    <rPh sb="2" eb="3">
      <t>オモテ</t>
    </rPh>
    <rPh sb="3" eb="4">
      <t>ナ</t>
    </rPh>
    <phoneticPr fontId="2"/>
  </si>
  <si>
    <t>巻十字小手</t>
    <rPh sb="0" eb="1">
      <t>マキ</t>
    </rPh>
    <rPh sb="1" eb="5">
      <t>ジュウジコテ</t>
    </rPh>
    <phoneticPr fontId="2"/>
  </si>
  <si>
    <t>十字抜（片・両・諸）</t>
    <rPh sb="0" eb="3">
      <t>ジュウジヌ</t>
    </rPh>
    <rPh sb="4" eb="5">
      <t>カタ</t>
    </rPh>
    <rPh sb="6" eb="7">
      <t>リョウ</t>
    </rPh>
    <rPh sb="8" eb="9">
      <t>モロ</t>
    </rPh>
    <phoneticPr fontId="2"/>
  </si>
  <si>
    <t>逆小手系</t>
    <rPh sb="0" eb="1">
      <t>ギャク</t>
    </rPh>
    <rPh sb="1" eb="3">
      <t>コテ</t>
    </rPh>
    <rPh sb="3" eb="4">
      <t>ケイ</t>
    </rPh>
    <phoneticPr fontId="2"/>
  </si>
  <si>
    <t>逆小手前指固</t>
    <rPh sb="0" eb="3">
      <t>ギャクコテ</t>
    </rPh>
    <rPh sb="3" eb="5">
      <t>マエユビ</t>
    </rPh>
    <rPh sb="5" eb="6">
      <t>カタ</t>
    </rPh>
    <phoneticPr fontId="2"/>
  </si>
  <si>
    <t>腰挫</t>
    <rPh sb="0" eb="2">
      <t>コシクジ</t>
    </rPh>
    <phoneticPr fontId="2"/>
  </si>
  <si>
    <t>吊上裏固</t>
    <rPh sb="0" eb="2">
      <t>ツリア</t>
    </rPh>
    <rPh sb="2" eb="3">
      <t>ウラ</t>
    </rPh>
    <rPh sb="3" eb="4">
      <t>カタ</t>
    </rPh>
    <phoneticPr fontId="2"/>
  </si>
  <si>
    <t>逆小手裏固</t>
    <rPh sb="0" eb="3">
      <t>ギャクコテ</t>
    </rPh>
    <rPh sb="3" eb="4">
      <t>ウラ</t>
    </rPh>
    <rPh sb="4" eb="5">
      <t>カタ</t>
    </rPh>
    <phoneticPr fontId="2"/>
  </si>
  <si>
    <t>蜘蛛絡</t>
    <rPh sb="0" eb="2">
      <t>クモ</t>
    </rPh>
    <rPh sb="2" eb="3">
      <t>カラ</t>
    </rPh>
    <phoneticPr fontId="2"/>
  </si>
  <si>
    <t>龍投龍固</t>
    <rPh sb="0" eb="2">
      <t>リュウナ</t>
    </rPh>
    <rPh sb="2" eb="3">
      <t>リュウ</t>
    </rPh>
    <rPh sb="3" eb="4">
      <t>カタ</t>
    </rPh>
    <phoneticPr fontId="2"/>
  </si>
  <si>
    <t>龍固</t>
    <rPh sb="0" eb="1">
      <t>リュウ</t>
    </rPh>
    <rPh sb="1" eb="2">
      <t>カタ</t>
    </rPh>
    <phoneticPr fontId="2"/>
  </si>
  <si>
    <t>巻落</t>
    <rPh sb="0" eb="1">
      <t>マ</t>
    </rPh>
    <rPh sb="1" eb="2">
      <t>オ</t>
    </rPh>
    <phoneticPr fontId="2"/>
  </si>
  <si>
    <t>羅漢拳</t>
    <phoneticPr fontId="2"/>
  </si>
  <si>
    <t>押受巻投</t>
    <rPh sb="0" eb="1">
      <t>オ</t>
    </rPh>
    <rPh sb="1" eb="2">
      <t>ウ</t>
    </rPh>
    <rPh sb="2" eb="3">
      <t>マキ</t>
    </rPh>
    <rPh sb="3" eb="4">
      <t>ナ</t>
    </rPh>
    <phoneticPr fontId="2"/>
  </si>
  <si>
    <t>攻撃技</t>
    <rPh sb="0" eb="2">
      <t>コウゲキ</t>
    </rPh>
    <rPh sb="2" eb="3">
      <t>ワザ</t>
    </rPh>
    <phoneticPr fontId="2"/>
  </si>
  <si>
    <t>腕逆捕</t>
    <rPh sb="0" eb="1">
      <t>ウデ</t>
    </rPh>
    <rPh sb="1" eb="3">
      <t>ギャクト</t>
    </rPh>
    <phoneticPr fontId="2"/>
  </si>
  <si>
    <t>外巻落</t>
    <rPh sb="0" eb="1">
      <t>ソト</t>
    </rPh>
    <rPh sb="1" eb="2">
      <t>マキ</t>
    </rPh>
    <rPh sb="2" eb="3">
      <t>オ</t>
    </rPh>
    <phoneticPr fontId="2"/>
  </si>
  <si>
    <t>片手投</t>
    <rPh sb="0" eb="3">
      <t>カタテナ</t>
    </rPh>
    <phoneticPr fontId="2"/>
  </si>
  <si>
    <t>下受蹴小手投</t>
    <rPh sb="0" eb="1">
      <t>シモ</t>
    </rPh>
    <rPh sb="1" eb="2">
      <t>ウケ</t>
    </rPh>
    <rPh sb="2" eb="3">
      <t>シュウ</t>
    </rPh>
    <rPh sb="3" eb="5">
      <t>コテ</t>
    </rPh>
    <rPh sb="5" eb="6">
      <t>トウ</t>
    </rPh>
    <phoneticPr fontId="2"/>
  </si>
  <si>
    <t>逆片手投</t>
    <rPh sb="0" eb="1">
      <t>ギャク</t>
    </rPh>
    <rPh sb="1" eb="3">
      <t>カタテ</t>
    </rPh>
    <rPh sb="3" eb="4">
      <t>ナ</t>
    </rPh>
    <phoneticPr fontId="2"/>
  </si>
  <si>
    <t>腕捻じ上げ</t>
    <rPh sb="0" eb="1">
      <t>ウデ</t>
    </rPh>
    <rPh sb="1" eb="2">
      <t>ネジ</t>
    </rPh>
    <rPh sb="3" eb="4">
      <t>ア</t>
    </rPh>
    <phoneticPr fontId="2"/>
  </si>
  <si>
    <t>合掌片手投</t>
    <rPh sb="0" eb="2">
      <t>ガッショウ</t>
    </rPh>
    <rPh sb="2" eb="5">
      <t>カタテナ</t>
    </rPh>
    <phoneticPr fontId="2"/>
  </si>
  <si>
    <t>片手投切返</t>
    <rPh sb="0" eb="3">
      <t>カタテナ</t>
    </rPh>
    <rPh sb="3" eb="4">
      <t>キ</t>
    </rPh>
    <rPh sb="4" eb="5">
      <t>カエ</t>
    </rPh>
    <phoneticPr fontId="2"/>
  </si>
  <si>
    <t>柔法系統別一覧</t>
    <rPh sb="0" eb="2">
      <t>ジュウホウ</t>
    </rPh>
    <rPh sb="2" eb="4">
      <t>ケイトウ</t>
    </rPh>
    <rPh sb="4" eb="5">
      <t>ベツ</t>
    </rPh>
    <rPh sb="5" eb="7">
      <t>イチラン</t>
    </rPh>
    <phoneticPr fontId="2"/>
  </si>
  <si>
    <t>逆袖捕</t>
  </si>
  <si>
    <t>逆袖巻</t>
  </si>
  <si>
    <t>送襟捕</t>
  </si>
  <si>
    <t>後襟捕（表・裏）</t>
  </si>
  <si>
    <t>後袖巻（捕）</t>
  </si>
  <si>
    <t>押受投</t>
  </si>
  <si>
    <t>合掌片手投</t>
  </si>
  <si>
    <t>閂外天秤</t>
  </si>
  <si>
    <t>天秤投</t>
  </si>
  <si>
    <t>逆合掌投（二種）</t>
  </si>
  <si>
    <t>送合掌（二種）</t>
  </si>
  <si>
    <t>合掌逆小手</t>
  </si>
  <si>
    <t>袖口捕</t>
  </si>
  <si>
    <t>袖口巻</t>
  </si>
  <si>
    <t>袖巻返</t>
  </si>
  <si>
    <t>①</t>
  </si>
  <si>
    <t>⑤</t>
  </si>
  <si>
    <t>②</t>
  </si>
  <si>
    <t>③</t>
  </si>
  <si>
    <t>➀</t>
  </si>
  <si>
    <t>右一字・</t>
    <rPh sb="0" eb="1">
      <t>ミギ</t>
    </rPh>
    <rPh sb="1" eb="3">
      <t>イチジ</t>
    </rPh>
    <phoneticPr fontId="2"/>
  </si>
  <si>
    <t>左差込廻蹴</t>
    <rPh sb="0" eb="1">
      <t>ヒダリ</t>
    </rPh>
    <rPh sb="1" eb="3">
      <t>サシコミ</t>
    </rPh>
    <rPh sb="3" eb="4">
      <t>マワ</t>
    </rPh>
    <rPh sb="4" eb="5">
      <t>ケ</t>
    </rPh>
    <phoneticPr fontId="2"/>
  </si>
  <si>
    <t>・左一字</t>
    <rPh sb="1" eb="2">
      <t>ヒダリ</t>
    </rPh>
    <rPh sb="2" eb="4">
      <t>イチジ</t>
    </rPh>
    <phoneticPr fontId="2"/>
  </si>
  <si>
    <t>払受蹴</t>
    <rPh sb="0" eb="1">
      <t>ハラ</t>
    </rPh>
    <rPh sb="1" eb="2">
      <t>ウ</t>
    </rPh>
    <rPh sb="2" eb="3">
      <t>ケ</t>
    </rPh>
    <phoneticPr fontId="2"/>
  </si>
  <si>
    <t>右八双・</t>
    <rPh sb="0" eb="1">
      <t>ミギ</t>
    </rPh>
    <rPh sb="1" eb="3">
      <t>ハッソウ</t>
    </rPh>
    <phoneticPr fontId="2"/>
  </si>
  <si>
    <t>差替中段順突</t>
    <rPh sb="0" eb="2">
      <t>サシカ</t>
    </rPh>
    <rPh sb="2" eb="4">
      <t>チュウダン</t>
    </rPh>
    <rPh sb="4" eb="6">
      <t>ジュンツ</t>
    </rPh>
    <phoneticPr fontId="2"/>
  </si>
  <si>
    <t>差込右足中段回蹴</t>
    <rPh sb="0" eb="2">
      <t>サシコミ</t>
    </rPh>
    <rPh sb="2" eb="4">
      <t>ミギアシ</t>
    </rPh>
    <rPh sb="4" eb="6">
      <t>チュウダン</t>
    </rPh>
    <rPh sb="6" eb="7">
      <t>マワ</t>
    </rPh>
    <rPh sb="7" eb="8">
      <t>ケ</t>
    </rPh>
    <phoneticPr fontId="2"/>
  </si>
  <si>
    <t>十字受蹴</t>
    <rPh sb="0" eb="2">
      <t>ジュウジ</t>
    </rPh>
    <rPh sb="2" eb="3">
      <t>ウ</t>
    </rPh>
    <rPh sb="3" eb="4">
      <t>ケ</t>
    </rPh>
    <phoneticPr fontId="2"/>
  </si>
  <si>
    <t>・左中段</t>
    <rPh sb="1" eb="2">
      <t>ヒダリ</t>
    </rPh>
    <rPh sb="2" eb="4">
      <t>チュウダン</t>
    </rPh>
    <phoneticPr fontId="2"/>
  </si>
  <si>
    <t>右足差込、左足中段逆蹴</t>
    <rPh sb="0" eb="1">
      <t>ミギ</t>
    </rPh>
    <rPh sb="1" eb="2">
      <t>アシ</t>
    </rPh>
    <rPh sb="2" eb="4">
      <t>サシコミ</t>
    </rPh>
    <rPh sb="5" eb="7">
      <t>ヒダリアシ</t>
    </rPh>
    <rPh sb="7" eb="9">
      <t>チュウダン</t>
    </rPh>
    <rPh sb="9" eb="10">
      <t>ギャク</t>
    </rPh>
    <rPh sb="10" eb="11">
      <t>ケ</t>
    </rPh>
    <phoneticPr fontId="2"/>
  </si>
  <si>
    <t>左足差込、右足中段逆蹴</t>
    <rPh sb="0" eb="1">
      <t>ヒダリ</t>
    </rPh>
    <rPh sb="1" eb="2">
      <t>アシ</t>
    </rPh>
    <rPh sb="2" eb="4">
      <t>サシコミ</t>
    </rPh>
    <rPh sb="5" eb="7">
      <t>ミギアシ</t>
    </rPh>
    <rPh sb="7" eb="9">
      <t>チュウダン</t>
    </rPh>
    <rPh sb="9" eb="10">
      <t>ギャク</t>
    </rPh>
    <rPh sb="10" eb="11">
      <t>ケ</t>
    </rPh>
    <phoneticPr fontId="2"/>
  </si>
  <si>
    <t>攻者：開き構えから差し替え順突の場合もあり</t>
    <rPh sb="0" eb="2">
      <t>コウシャ</t>
    </rPh>
    <rPh sb="3" eb="4">
      <t>ヒラ</t>
    </rPh>
    <rPh sb="5" eb="6">
      <t>カマ</t>
    </rPh>
    <rPh sb="9" eb="10">
      <t>サ</t>
    </rPh>
    <rPh sb="11" eb="12">
      <t>カ</t>
    </rPh>
    <rPh sb="13" eb="14">
      <t>ジュン</t>
    </rPh>
    <rPh sb="14" eb="15">
      <t>トツ</t>
    </rPh>
    <rPh sb="16" eb="18">
      <t>バアイ</t>
    </rPh>
    <phoneticPr fontId="2"/>
  </si>
  <si>
    <t>やや前屈、開気味に構える　右に転身・右下受・左足順蹴</t>
    <rPh sb="2" eb="4">
      <t>ゼンクツ</t>
    </rPh>
    <rPh sb="5" eb="6">
      <t>ヒラ</t>
    </rPh>
    <rPh sb="6" eb="8">
      <t>キミ</t>
    </rPh>
    <rPh sb="9" eb="10">
      <t>カマ</t>
    </rPh>
    <rPh sb="13" eb="14">
      <t>ミギ</t>
    </rPh>
    <rPh sb="15" eb="17">
      <t>テンシン</t>
    </rPh>
    <rPh sb="18" eb="19">
      <t>ミギ</t>
    </rPh>
    <rPh sb="19" eb="20">
      <t>シタ</t>
    </rPh>
    <rPh sb="20" eb="21">
      <t>ウ</t>
    </rPh>
    <rPh sb="22" eb="23">
      <t>ヒダリ</t>
    </rPh>
    <rPh sb="23" eb="24">
      <t>アシ</t>
    </rPh>
    <rPh sb="24" eb="26">
      <t>ジュンゲ</t>
    </rPh>
    <phoneticPr fontId="2"/>
  </si>
  <si>
    <t>・左八双</t>
    <rPh sb="1" eb="2">
      <t>ヒダリ</t>
    </rPh>
    <rPh sb="2" eb="4">
      <t>ハッソウ</t>
    </rPh>
    <phoneticPr fontId="2"/>
  </si>
  <si>
    <t>左手中段順突</t>
    <rPh sb="0" eb="1">
      <t>ヒダリ</t>
    </rPh>
    <rPh sb="1" eb="2">
      <t>テ</t>
    </rPh>
    <rPh sb="2" eb="4">
      <t>チュウダン</t>
    </rPh>
    <rPh sb="4" eb="5">
      <t>ジュン</t>
    </rPh>
    <rPh sb="5" eb="6">
      <t>ツ</t>
    </rPh>
    <phoneticPr fontId="2"/>
  </si>
  <si>
    <t>下受順蹴</t>
    <rPh sb="0" eb="1">
      <t>シタ</t>
    </rPh>
    <rPh sb="1" eb="2">
      <t>ウ</t>
    </rPh>
    <rPh sb="2" eb="4">
      <t>ジュンケ</t>
    </rPh>
    <phoneticPr fontId="2"/>
  </si>
  <si>
    <t>攻者：一字構え　守者：開気味に転身</t>
    <rPh sb="0" eb="1">
      <t>コウ</t>
    </rPh>
    <rPh sb="1" eb="2">
      <t>シャ</t>
    </rPh>
    <rPh sb="3" eb="5">
      <t>イチジ</t>
    </rPh>
    <rPh sb="5" eb="6">
      <t>カマ</t>
    </rPh>
    <rPh sb="8" eb="10">
      <t>シュシャ</t>
    </rPh>
    <rPh sb="11" eb="12">
      <t>ヒラ</t>
    </rPh>
    <rPh sb="12" eb="14">
      <t>キミ</t>
    </rPh>
    <rPh sb="15" eb="17">
      <t>テンシン</t>
    </rPh>
    <phoneticPr fontId="2"/>
  </si>
  <si>
    <t>左に転身・左手下受・右足逆蹴中段</t>
    <rPh sb="0" eb="1">
      <t>ヒダリ</t>
    </rPh>
    <rPh sb="2" eb="4">
      <t>テンシン</t>
    </rPh>
    <rPh sb="5" eb="7">
      <t>ヒダリテ</t>
    </rPh>
    <rPh sb="7" eb="8">
      <t>シモ</t>
    </rPh>
    <rPh sb="8" eb="9">
      <t>ジュ</t>
    </rPh>
    <rPh sb="10" eb="12">
      <t>ミギアシ</t>
    </rPh>
    <rPh sb="12" eb="13">
      <t>ギャク</t>
    </rPh>
    <rPh sb="13" eb="14">
      <t>ケ</t>
    </rPh>
    <rPh sb="14" eb="16">
      <t>チュウダン</t>
    </rPh>
    <phoneticPr fontId="2"/>
  </si>
  <si>
    <t>右手中段逆突</t>
    <rPh sb="0" eb="2">
      <t>ミギテ</t>
    </rPh>
    <rPh sb="2" eb="4">
      <t>チュウダン</t>
    </rPh>
    <rPh sb="4" eb="5">
      <t>ギャク</t>
    </rPh>
    <rPh sb="5" eb="6">
      <t>トツ</t>
    </rPh>
    <phoneticPr fontId="2"/>
  </si>
  <si>
    <t>下受蹴</t>
    <rPh sb="0" eb="1">
      <t>シタ</t>
    </rPh>
    <rPh sb="1" eb="2">
      <t>ウ</t>
    </rPh>
    <rPh sb="2" eb="3">
      <t>ケ</t>
    </rPh>
    <phoneticPr fontId="2"/>
  </si>
  <si>
    <t>中段攻防を主体とし、手で受け足で反撃する法形</t>
    <rPh sb="0" eb="2">
      <t>チュウダン</t>
    </rPh>
    <rPh sb="2" eb="4">
      <t>コウボウ</t>
    </rPh>
    <rPh sb="5" eb="7">
      <t>シュタイ</t>
    </rPh>
    <rPh sb="10" eb="11">
      <t>テ</t>
    </rPh>
    <rPh sb="12" eb="13">
      <t>ウ</t>
    </rPh>
    <rPh sb="14" eb="15">
      <t>アシ</t>
    </rPh>
    <rPh sb="16" eb="18">
      <t>ハンゲキ</t>
    </rPh>
    <rPh sb="20" eb="22">
      <t>ホウケイ</t>
    </rPh>
    <phoneticPr fontId="2"/>
  </si>
  <si>
    <t>守者：体捌きがなければ危険</t>
    <rPh sb="0" eb="2">
      <t>シュシャ</t>
    </rPh>
    <rPh sb="3" eb="5">
      <t>タイサバ</t>
    </rPh>
    <rPh sb="11" eb="13">
      <t>キケン</t>
    </rPh>
    <phoneticPr fontId="2"/>
  </si>
  <si>
    <t>後流水蹴の要領で、流水受け・順蹴・十字足退</t>
    <rPh sb="0" eb="1">
      <t>ウシ</t>
    </rPh>
    <rPh sb="1" eb="3">
      <t>リュウスイ</t>
    </rPh>
    <rPh sb="3" eb="4">
      <t>ケ</t>
    </rPh>
    <rPh sb="5" eb="7">
      <t>ヨウリョウ</t>
    </rPh>
    <rPh sb="9" eb="11">
      <t>リュウスイ</t>
    </rPh>
    <rPh sb="11" eb="12">
      <t>ウ</t>
    </rPh>
    <rPh sb="14" eb="16">
      <t>ジュンケ</t>
    </rPh>
    <rPh sb="17" eb="20">
      <t>ジュウジアシ</t>
    </rPh>
    <rPh sb="20" eb="21">
      <t>シリゾ</t>
    </rPh>
    <phoneticPr fontId="2"/>
  </si>
  <si>
    <t>右手で短刀振り下ろし</t>
    <rPh sb="0" eb="2">
      <t>ミギテ</t>
    </rPh>
    <rPh sb="3" eb="5">
      <t>タントウ</t>
    </rPh>
    <rPh sb="5" eb="6">
      <t>フ</t>
    </rPh>
    <rPh sb="7" eb="8">
      <t>オ</t>
    </rPh>
    <phoneticPr fontId="2"/>
  </si>
  <si>
    <t>短刀振上流水蹴</t>
    <rPh sb="0" eb="2">
      <t>タントウ</t>
    </rPh>
    <rPh sb="2" eb="4">
      <t>フリア</t>
    </rPh>
    <rPh sb="4" eb="6">
      <t>リュウスイ</t>
    </rPh>
    <rPh sb="6" eb="7">
      <t>ケ</t>
    </rPh>
    <phoneticPr fontId="2"/>
  </si>
  <si>
    <t>下受蹴の要領で、左下受・もう一方の手で短刀打落・右足逆蹴</t>
    <rPh sb="0" eb="2">
      <t>シタウ</t>
    </rPh>
    <rPh sb="2" eb="3">
      <t>ケ</t>
    </rPh>
    <rPh sb="4" eb="6">
      <t>ヨウリョウ</t>
    </rPh>
    <rPh sb="8" eb="9">
      <t>ヒダリ</t>
    </rPh>
    <rPh sb="9" eb="11">
      <t>シタウ</t>
    </rPh>
    <rPh sb="14" eb="16">
      <t>イッポウ</t>
    </rPh>
    <rPh sb="17" eb="18">
      <t>テ</t>
    </rPh>
    <rPh sb="19" eb="21">
      <t>タントウ</t>
    </rPh>
    <rPh sb="21" eb="23">
      <t>ウチオト</t>
    </rPh>
    <rPh sb="24" eb="26">
      <t>ミギアシ</t>
    </rPh>
    <rPh sb="26" eb="27">
      <t>ギャク</t>
    </rPh>
    <rPh sb="27" eb="28">
      <t>ケ</t>
    </rPh>
    <phoneticPr fontId="2"/>
  </si>
  <si>
    <t>短刀で中段逆突</t>
    <rPh sb="0" eb="2">
      <t>タントウ</t>
    </rPh>
    <rPh sb="3" eb="5">
      <t>チュウダン</t>
    </rPh>
    <rPh sb="5" eb="6">
      <t>ギャク</t>
    </rPh>
    <rPh sb="6" eb="7">
      <t>ツ</t>
    </rPh>
    <phoneticPr fontId="2"/>
  </si>
  <si>
    <t>短刀突込下受打落蹴</t>
    <rPh sb="0" eb="2">
      <t>タントウ</t>
    </rPh>
    <rPh sb="2" eb="3">
      <t>ツ</t>
    </rPh>
    <rPh sb="3" eb="4">
      <t>コ</t>
    </rPh>
    <rPh sb="4" eb="5">
      <t>シタ</t>
    </rPh>
    <rPh sb="5" eb="6">
      <t>ウ</t>
    </rPh>
    <rPh sb="6" eb="8">
      <t>ウチオト</t>
    </rPh>
    <rPh sb="8" eb="9">
      <t>ケ</t>
    </rPh>
    <phoneticPr fontId="2"/>
  </si>
  <si>
    <t>守者：掛手でなく横押受の場合もある</t>
    <rPh sb="0" eb="2">
      <t>シュシャ</t>
    </rPh>
    <rPh sb="3" eb="5">
      <t>カケテ</t>
    </rPh>
    <rPh sb="8" eb="9">
      <t>ヨコ</t>
    </rPh>
    <rPh sb="9" eb="11">
      <t>オシウ</t>
    </rPh>
    <rPh sb="12" eb="14">
      <t>バアイ</t>
    </rPh>
    <phoneticPr fontId="2"/>
  </si>
  <si>
    <t>開身・右手半月受・左拳上段突（・右拳中段突・右足逆蹴）</t>
    <rPh sb="0" eb="2">
      <t>カイシン</t>
    </rPh>
    <rPh sb="3" eb="4">
      <t>ミギ</t>
    </rPh>
    <rPh sb="4" eb="5">
      <t>テ</t>
    </rPh>
    <rPh sb="5" eb="7">
      <t>ハンゲツ</t>
    </rPh>
    <rPh sb="7" eb="8">
      <t>ウ</t>
    </rPh>
    <rPh sb="9" eb="10">
      <t>ヒダリ</t>
    </rPh>
    <rPh sb="10" eb="11">
      <t>ケン</t>
    </rPh>
    <rPh sb="11" eb="13">
      <t>ジョウダン</t>
    </rPh>
    <rPh sb="13" eb="14">
      <t>ツ</t>
    </rPh>
    <rPh sb="16" eb="17">
      <t>ミギ</t>
    </rPh>
    <rPh sb="17" eb="18">
      <t>ケン</t>
    </rPh>
    <rPh sb="18" eb="20">
      <t>チュウダン</t>
    </rPh>
    <rPh sb="20" eb="21">
      <t>ツ</t>
    </rPh>
    <rPh sb="22" eb="23">
      <t>ミギ</t>
    </rPh>
    <rPh sb="23" eb="24">
      <t>アシ</t>
    </rPh>
    <rPh sb="24" eb="25">
      <t>ギャク</t>
    </rPh>
    <rPh sb="25" eb="26">
      <t>シュウ</t>
    </rPh>
    <phoneticPr fontId="2"/>
  </si>
  <si>
    <t>・左乱</t>
    <rPh sb="1" eb="2">
      <t>ヒダリ</t>
    </rPh>
    <rPh sb="2" eb="3">
      <t>ラン</t>
    </rPh>
    <phoneticPr fontId="2"/>
  </si>
  <si>
    <t>上段逆突</t>
    <rPh sb="0" eb="2">
      <t>ジョウダン</t>
    </rPh>
    <rPh sb="2" eb="3">
      <t>ギャク</t>
    </rPh>
    <rPh sb="3" eb="4">
      <t>ツ</t>
    </rPh>
    <phoneticPr fontId="2"/>
  </si>
  <si>
    <t>開身突（裏）</t>
    <rPh sb="0" eb="2">
      <t>カイシン</t>
    </rPh>
    <rPh sb="2" eb="3">
      <t>ツ</t>
    </rPh>
    <rPh sb="4" eb="5">
      <t>ウラ</t>
    </rPh>
    <phoneticPr fontId="2"/>
  </si>
  <si>
    <t>開身・左手半月受・右拳上段突（・左拳中段突・右拳上段突・右足順蹴）</t>
    <rPh sb="0" eb="2">
      <t>カイシン</t>
    </rPh>
    <rPh sb="3" eb="5">
      <t>ヒダリテ</t>
    </rPh>
    <rPh sb="5" eb="7">
      <t>ハンゲツ</t>
    </rPh>
    <rPh sb="7" eb="8">
      <t>ウ</t>
    </rPh>
    <rPh sb="9" eb="11">
      <t>ミギケン</t>
    </rPh>
    <rPh sb="11" eb="13">
      <t>ジョウダン</t>
    </rPh>
    <rPh sb="13" eb="14">
      <t>ツ</t>
    </rPh>
    <rPh sb="16" eb="17">
      <t>ヒダリ</t>
    </rPh>
    <rPh sb="17" eb="18">
      <t>ケン</t>
    </rPh>
    <rPh sb="18" eb="20">
      <t>チュウダン</t>
    </rPh>
    <rPh sb="20" eb="21">
      <t>ツ</t>
    </rPh>
    <rPh sb="22" eb="24">
      <t>ミギケン</t>
    </rPh>
    <rPh sb="24" eb="26">
      <t>ジョウダン</t>
    </rPh>
    <rPh sb="26" eb="27">
      <t>ツ</t>
    </rPh>
    <rPh sb="28" eb="29">
      <t>ミギ</t>
    </rPh>
    <rPh sb="29" eb="30">
      <t>アシ</t>
    </rPh>
    <rPh sb="30" eb="32">
      <t>ジュンゲ</t>
    </rPh>
    <phoneticPr fontId="2"/>
  </si>
  <si>
    <t>右乱・</t>
    <rPh sb="0" eb="1">
      <t>ミギ</t>
    </rPh>
    <rPh sb="1" eb="2">
      <t>ミダ</t>
    </rPh>
    <phoneticPr fontId="2"/>
  </si>
  <si>
    <t>開身突（表）</t>
    <rPh sb="0" eb="2">
      <t>カイシン</t>
    </rPh>
    <rPh sb="2" eb="3">
      <t>ツ</t>
    </rPh>
    <rPh sb="4" eb="5">
      <t>オモテ</t>
    </rPh>
    <phoneticPr fontId="2"/>
  </si>
  <si>
    <t>守者：外押受突の要領</t>
    <rPh sb="0" eb="2">
      <t>シュシャ</t>
    </rPh>
    <rPh sb="3" eb="5">
      <t>ソトオ</t>
    </rPh>
    <rPh sb="5" eb="6">
      <t>ウ</t>
    </rPh>
    <rPh sb="6" eb="7">
      <t>ツ</t>
    </rPh>
    <rPh sb="8" eb="10">
      <t>ヨウリョウ</t>
    </rPh>
    <phoneticPr fontId="2"/>
  </si>
  <si>
    <t>右足右前に出し、左押受・左足中段蹴</t>
    <rPh sb="0" eb="2">
      <t>ミギアシ</t>
    </rPh>
    <rPh sb="2" eb="3">
      <t>ミギ</t>
    </rPh>
    <rPh sb="3" eb="4">
      <t>マエ</t>
    </rPh>
    <rPh sb="5" eb="6">
      <t>ダ</t>
    </rPh>
    <rPh sb="12" eb="13">
      <t>ヒダリ</t>
    </rPh>
    <rPh sb="13" eb="14">
      <t>アシ</t>
    </rPh>
    <rPh sb="14" eb="16">
      <t>チュウダン</t>
    </rPh>
    <rPh sb="16" eb="17">
      <t>ケ</t>
    </rPh>
    <phoneticPr fontId="2"/>
  </si>
  <si>
    <t>上段逆振突</t>
    <rPh sb="0" eb="2">
      <t>ジョウダン</t>
    </rPh>
    <rPh sb="2" eb="3">
      <t>ギャク</t>
    </rPh>
    <rPh sb="3" eb="4">
      <t>フ</t>
    </rPh>
    <rPh sb="4" eb="5">
      <t>ツ</t>
    </rPh>
    <phoneticPr fontId="2"/>
  </si>
  <si>
    <t>外押受蹴</t>
    <rPh sb="0" eb="1">
      <t>ソト</t>
    </rPh>
    <rPh sb="1" eb="2">
      <t>オ</t>
    </rPh>
    <rPh sb="2" eb="3">
      <t>ウ</t>
    </rPh>
    <rPh sb="3" eb="4">
      <t>ケ</t>
    </rPh>
    <phoneticPr fontId="2"/>
  </si>
  <si>
    <t>守者：振突に負けないように</t>
    <rPh sb="0" eb="2">
      <t>シュシャ</t>
    </rPh>
    <rPh sb="3" eb="4">
      <t>フ</t>
    </rPh>
    <rPh sb="4" eb="5">
      <t>ツ</t>
    </rPh>
    <rPh sb="6" eb="7">
      <t>マ</t>
    </rPh>
    <phoneticPr fontId="2"/>
  </si>
  <si>
    <t>内押受（肩を回しながら前足を後足に寄せる）・順蹴足刀・踏込、右手刀</t>
    <rPh sb="0" eb="3">
      <t>ウチオシウ</t>
    </rPh>
    <rPh sb="4" eb="5">
      <t>カタ</t>
    </rPh>
    <rPh sb="6" eb="7">
      <t>マワ</t>
    </rPh>
    <rPh sb="11" eb="13">
      <t>マエアシ</t>
    </rPh>
    <rPh sb="14" eb="15">
      <t>ウシ</t>
    </rPh>
    <rPh sb="15" eb="16">
      <t>アシ</t>
    </rPh>
    <rPh sb="17" eb="18">
      <t>ヨ</t>
    </rPh>
    <rPh sb="22" eb="24">
      <t>ジュンケ</t>
    </rPh>
    <rPh sb="24" eb="26">
      <t>ソクトウ</t>
    </rPh>
    <rPh sb="27" eb="29">
      <t>フミコミ</t>
    </rPh>
    <rPh sb="30" eb="31">
      <t>ミギ</t>
    </rPh>
    <rPh sb="31" eb="33">
      <t>シュトウ</t>
    </rPh>
    <phoneticPr fontId="2"/>
  </si>
  <si>
    <t>内押受蹴</t>
    <rPh sb="0" eb="1">
      <t>ウチ</t>
    </rPh>
    <rPh sb="1" eb="2">
      <t>オ</t>
    </rPh>
    <rPh sb="2" eb="3">
      <t>ウ</t>
    </rPh>
    <rPh sb="3" eb="4">
      <t>ケ</t>
    </rPh>
    <phoneticPr fontId="2"/>
  </si>
  <si>
    <t>守者：打上受は強く打上</t>
    <rPh sb="0" eb="2">
      <t>シュシャ</t>
    </rPh>
    <rPh sb="3" eb="6">
      <t>ウチアゲウ</t>
    </rPh>
    <rPh sb="7" eb="8">
      <t>ツヨ</t>
    </rPh>
    <rPh sb="9" eb="11">
      <t>ウチアゲ</t>
    </rPh>
    <phoneticPr fontId="2"/>
  </si>
  <si>
    <t>後振身し、右拳握拳打上受、中段順蹴</t>
    <rPh sb="0" eb="1">
      <t>ウシ</t>
    </rPh>
    <rPh sb="1" eb="2">
      <t>フ</t>
    </rPh>
    <rPh sb="2" eb="3">
      <t>ミ</t>
    </rPh>
    <rPh sb="5" eb="7">
      <t>ミギケン</t>
    </rPh>
    <rPh sb="7" eb="8">
      <t>アク</t>
    </rPh>
    <rPh sb="8" eb="9">
      <t>ケン</t>
    </rPh>
    <rPh sb="9" eb="11">
      <t>ウチアゲ</t>
    </rPh>
    <rPh sb="11" eb="12">
      <t>ウ</t>
    </rPh>
    <rPh sb="13" eb="15">
      <t>チュウダン</t>
    </rPh>
    <rPh sb="15" eb="17">
      <t>ジュンケ</t>
    </rPh>
    <phoneticPr fontId="2"/>
  </si>
  <si>
    <t>打上蹴</t>
    <rPh sb="0" eb="2">
      <t>ウチアゲ</t>
    </rPh>
    <rPh sb="2" eb="3">
      <t>ケ</t>
    </rPh>
    <phoneticPr fontId="2"/>
  </si>
  <si>
    <t>右拳握拳打上受、左拳中段順突</t>
    <rPh sb="0" eb="1">
      <t>ミギ</t>
    </rPh>
    <rPh sb="1" eb="2">
      <t>ケン</t>
    </rPh>
    <rPh sb="2" eb="3">
      <t>アク</t>
    </rPh>
    <rPh sb="3" eb="4">
      <t>ケン</t>
    </rPh>
    <rPh sb="4" eb="6">
      <t>ウチアゲ</t>
    </rPh>
    <rPh sb="6" eb="7">
      <t>ウ</t>
    </rPh>
    <rPh sb="8" eb="10">
      <t>ヒダリケン</t>
    </rPh>
    <rPh sb="10" eb="12">
      <t>チュウダン</t>
    </rPh>
    <rPh sb="12" eb="13">
      <t>ジュン</t>
    </rPh>
    <rPh sb="13" eb="14">
      <t>トツ</t>
    </rPh>
    <phoneticPr fontId="2"/>
  </si>
  <si>
    <t>打上突</t>
    <rPh sb="0" eb="2">
      <t>ウチアゲ</t>
    </rPh>
    <rPh sb="2" eb="3">
      <t>ツ</t>
    </rPh>
    <phoneticPr fontId="2"/>
  </si>
  <si>
    <t>守者：前かがみで屈伸、流水を併用することも</t>
    <rPh sb="0" eb="2">
      <t>シュシャ</t>
    </rPh>
    <rPh sb="3" eb="4">
      <t>マエ</t>
    </rPh>
    <rPh sb="8" eb="10">
      <t>クッシン</t>
    </rPh>
    <rPh sb="11" eb="13">
      <t>リュウスイ</t>
    </rPh>
    <rPh sb="14" eb="16">
      <t>ヘイヨウ</t>
    </rPh>
    <phoneticPr fontId="2"/>
  </si>
  <si>
    <t>前足を左外に開き・屈伸・左打上受・右手下受・右足で回蹴</t>
    <rPh sb="0" eb="2">
      <t>マエアシ</t>
    </rPh>
    <rPh sb="3" eb="4">
      <t>ヒダリ</t>
    </rPh>
    <rPh sb="4" eb="5">
      <t>ソト</t>
    </rPh>
    <rPh sb="6" eb="7">
      <t>ヒラ</t>
    </rPh>
    <rPh sb="9" eb="11">
      <t>クッシン</t>
    </rPh>
    <rPh sb="12" eb="13">
      <t>ヒダリ</t>
    </rPh>
    <rPh sb="13" eb="15">
      <t>ウチアゲ</t>
    </rPh>
    <rPh sb="15" eb="16">
      <t>ウ</t>
    </rPh>
    <rPh sb="17" eb="19">
      <t>ミギテ</t>
    </rPh>
    <rPh sb="19" eb="21">
      <t>シタウ</t>
    </rPh>
    <rPh sb="22" eb="24">
      <t>ミギアシ</t>
    </rPh>
    <rPh sb="25" eb="26">
      <t>マワ</t>
    </rPh>
    <rPh sb="26" eb="27">
      <t>ケ</t>
    </rPh>
    <phoneticPr fontId="2"/>
  </si>
  <si>
    <t>屈伸・左打上受・攻者懐に入る・屈伸のまま右手中段突</t>
    <rPh sb="0" eb="2">
      <t>クッシン</t>
    </rPh>
    <rPh sb="3" eb="4">
      <t>ヒダリ</t>
    </rPh>
    <rPh sb="4" eb="6">
      <t>ウチアゲ</t>
    </rPh>
    <rPh sb="6" eb="7">
      <t>ウ</t>
    </rPh>
    <rPh sb="8" eb="9">
      <t>コウ</t>
    </rPh>
    <rPh sb="9" eb="10">
      <t>シャ</t>
    </rPh>
    <rPh sb="10" eb="11">
      <t>フトコロ</t>
    </rPh>
    <rPh sb="12" eb="13">
      <t>ハイ</t>
    </rPh>
    <rPh sb="15" eb="17">
      <t>クッシン</t>
    </rPh>
    <rPh sb="20" eb="22">
      <t>ミギテ</t>
    </rPh>
    <rPh sb="22" eb="24">
      <t>チュウダン</t>
    </rPh>
    <rPh sb="24" eb="25">
      <t>ツ</t>
    </rPh>
    <phoneticPr fontId="2"/>
  </si>
  <si>
    <t>守者：腕刀で寸脈を押し切る（力に負けない）</t>
    <rPh sb="0" eb="2">
      <t>シュシャ</t>
    </rPh>
    <rPh sb="3" eb="5">
      <t>ワントウ</t>
    </rPh>
    <rPh sb="6" eb="8">
      <t>スンミャク</t>
    </rPh>
    <rPh sb="9" eb="10">
      <t>オ</t>
    </rPh>
    <rPh sb="11" eb="12">
      <t>キ</t>
    </rPh>
    <rPh sb="14" eb="15">
      <t>チカラ</t>
    </rPh>
    <rPh sb="16" eb="17">
      <t>マ</t>
    </rPh>
    <phoneticPr fontId="2"/>
  </si>
  <si>
    <t>右足右前に出し、左押受・右手中段・左手熊手・右手で手払</t>
    <rPh sb="0" eb="2">
      <t>ミギアシ</t>
    </rPh>
    <rPh sb="2" eb="4">
      <t>ミギマエ</t>
    </rPh>
    <rPh sb="5" eb="6">
      <t>ダ</t>
    </rPh>
    <rPh sb="8" eb="9">
      <t>ヒダリ</t>
    </rPh>
    <rPh sb="9" eb="10">
      <t>オ</t>
    </rPh>
    <rPh sb="10" eb="11">
      <t>ウ</t>
    </rPh>
    <rPh sb="12" eb="14">
      <t>ミギテ</t>
    </rPh>
    <rPh sb="14" eb="16">
      <t>チュウダン</t>
    </rPh>
    <rPh sb="17" eb="19">
      <t>ヒダリテ</t>
    </rPh>
    <rPh sb="19" eb="21">
      <t>クマデ</t>
    </rPh>
    <rPh sb="22" eb="24">
      <t>ミギテ</t>
    </rPh>
    <rPh sb="25" eb="27">
      <t>テハラ</t>
    </rPh>
    <phoneticPr fontId="2"/>
  </si>
  <si>
    <t>外押受突</t>
    <rPh sb="0" eb="1">
      <t>ソト</t>
    </rPh>
    <rPh sb="1" eb="2">
      <t>オ</t>
    </rPh>
    <rPh sb="2" eb="3">
      <t>ウ</t>
    </rPh>
    <rPh sb="3" eb="4">
      <t>ツ</t>
    </rPh>
    <phoneticPr fontId="2"/>
  </si>
  <si>
    <t>守者：外受突きより左に大きく</t>
    <rPh sb="0" eb="2">
      <t>シュシャ</t>
    </rPh>
    <rPh sb="3" eb="5">
      <t>ソトウ</t>
    </rPh>
    <rPh sb="5" eb="6">
      <t>ツ</t>
    </rPh>
    <rPh sb="9" eb="10">
      <t>ヒダリ</t>
    </rPh>
    <rPh sb="11" eb="12">
      <t>オオ</t>
    </rPh>
    <phoneticPr fontId="2"/>
  </si>
  <si>
    <t>左転身・逆足で蹴上（もしくは回し蹴）</t>
    <rPh sb="0" eb="1">
      <t>ヒダリ</t>
    </rPh>
    <rPh sb="1" eb="3">
      <t>テンシン</t>
    </rPh>
    <rPh sb="4" eb="6">
      <t>ギャクアシ</t>
    </rPh>
    <rPh sb="7" eb="8">
      <t>ケ</t>
    </rPh>
    <rPh sb="8" eb="9">
      <t>ア</t>
    </rPh>
    <rPh sb="14" eb="15">
      <t>マワ</t>
    </rPh>
    <rPh sb="16" eb="17">
      <t>ケ</t>
    </rPh>
    <phoneticPr fontId="2"/>
  </si>
  <si>
    <t>外受蹴</t>
    <rPh sb="0" eb="2">
      <t>ソトウ</t>
    </rPh>
    <rPh sb="2" eb="3">
      <t>ケ</t>
    </rPh>
    <phoneticPr fontId="2"/>
  </si>
  <si>
    <t>守者：外受コンパクトに、引き払うイメージ</t>
    <rPh sb="0" eb="2">
      <t>シュシャ</t>
    </rPh>
    <rPh sb="3" eb="5">
      <t>ソトウ</t>
    </rPh>
    <rPh sb="12" eb="13">
      <t>ヒ</t>
    </rPh>
    <rPh sb="14" eb="15">
      <t>ハラ</t>
    </rPh>
    <phoneticPr fontId="2"/>
  </si>
  <si>
    <t>左前千鳥・右外受・左手中段突・右拳上段突・右足蹴上</t>
    <rPh sb="0" eb="1">
      <t>ヒダリ</t>
    </rPh>
    <rPh sb="1" eb="2">
      <t>マエ</t>
    </rPh>
    <rPh sb="2" eb="4">
      <t>チドリ</t>
    </rPh>
    <rPh sb="5" eb="6">
      <t>ミギ</t>
    </rPh>
    <rPh sb="6" eb="8">
      <t>ソトウ</t>
    </rPh>
    <rPh sb="9" eb="11">
      <t>ヒダリテ</t>
    </rPh>
    <rPh sb="11" eb="13">
      <t>チュウダン</t>
    </rPh>
    <rPh sb="13" eb="14">
      <t>ツ</t>
    </rPh>
    <rPh sb="15" eb="17">
      <t>ミギケン</t>
    </rPh>
    <rPh sb="17" eb="19">
      <t>ジョウダン</t>
    </rPh>
    <rPh sb="19" eb="20">
      <t>ツ</t>
    </rPh>
    <rPh sb="21" eb="22">
      <t>ミギ</t>
    </rPh>
    <rPh sb="22" eb="23">
      <t>アシ</t>
    </rPh>
    <rPh sb="23" eb="24">
      <t>ケ</t>
    </rPh>
    <rPh sb="24" eb="25">
      <t>ア</t>
    </rPh>
    <phoneticPr fontId="2"/>
  </si>
  <si>
    <t>外受突（裏）</t>
    <rPh sb="0" eb="2">
      <t>ソトウ</t>
    </rPh>
    <rPh sb="2" eb="3">
      <t>ツ</t>
    </rPh>
    <rPh sb="4" eb="5">
      <t>ウラ</t>
    </rPh>
    <phoneticPr fontId="2"/>
  </si>
  <si>
    <t>やや右前千鳥・左手外受・右拳中段突・左拳熊手・左足蹴上</t>
    <rPh sb="2" eb="3">
      <t>ミギ</t>
    </rPh>
    <rPh sb="3" eb="6">
      <t>マエチドリ</t>
    </rPh>
    <rPh sb="7" eb="8">
      <t>ヒダリ</t>
    </rPh>
    <rPh sb="8" eb="9">
      <t>テ</t>
    </rPh>
    <rPh sb="9" eb="11">
      <t>ソトウ</t>
    </rPh>
    <rPh sb="12" eb="14">
      <t>ミギケン</t>
    </rPh>
    <rPh sb="14" eb="16">
      <t>チュウダン</t>
    </rPh>
    <rPh sb="16" eb="17">
      <t>ツ</t>
    </rPh>
    <rPh sb="18" eb="20">
      <t>ヒダリケン</t>
    </rPh>
    <rPh sb="20" eb="22">
      <t>クマデ</t>
    </rPh>
    <rPh sb="23" eb="24">
      <t>ヒダリ</t>
    </rPh>
    <rPh sb="24" eb="25">
      <t>アシ</t>
    </rPh>
    <rPh sb="25" eb="26">
      <t>ケ</t>
    </rPh>
    <rPh sb="26" eb="27">
      <t>ア</t>
    </rPh>
    <phoneticPr fontId="2"/>
  </si>
  <si>
    <t>外受突（表）</t>
    <rPh sb="0" eb="2">
      <t>ソトウ</t>
    </rPh>
    <rPh sb="2" eb="3">
      <t>ツ</t>
    </rPh>
    <rPh sb="4" eb="5">
      <t>オモテ</t>
    </rPh>
    <phoneticPr fontId="2"/>
  </si>
  <si>
    <t>守者：肩を十分回し足刀体勢へ</t>
    <rPh sb="0" eb="2">
      <t>シュシャ</t>
    </rPh>
    <rPh sb="3" eb="4">
      <t>カタ</t>
    </rPh>
    <rPh sb="5" eb="7">
      <t>ジュウブン</t>
    </rPh>
    <rPh sb="7" eb="8">
      <t>マワ</t>
    </rPh>
    <rPh sb="9" eb="11">
      <t>ソクトウ</t>
    </rPh>
    <rPh sb="11" eb="13">
      <t>タイセイ</t>
    </rPh>
    <phoneticPr fontId="2"/>
  </si>
  <si>
    <t>内受（肩を回しながら前足を後足に寄せる）・順蹴足刀・踏込、右手刀</t>
    <rPh sb="0" eb="2">
      <t>ウチウ</t>
    </rPh>
    <rPh sb="3" eb="4">
      <t>カタ</t>
    </rPh>
    <rPh sb="5" eb="6">
      <t>マワ</t>
    </rPh>
    <rPh sb="10" eb="12">
      <t>マエアシ</t>
    </rPh>
    <rPh sb="13" eb="14">
      <t>ウシ</t>
    </rPh>
    <rPh sb="14" eb="15">
      <t>アシ</t>
    </rPh>
    <rPh sb="16" eb="17">
      <t>ヨ</t>
    </rPh>
    <rPh sb="21" eb="23">
      <t>ジュンゲ</t>
    </rPh>
    <rPh sb="23" eb="25">
      <t>ソクトウ</t>
    </rPh>
    <rPh sb="26" eb="28">
      <t>フミコミ</t>
    </rPh>
    <rPh sb="29" eb="30">
      <t>ミギ</t>
    </rPh>
    <rPh sb="30" eb="32">
      <t>シュトウ</t>
    </rPh>
    <phoneticPr fontId="2"/>
  </si>
  <si>
    <t>内受蹴（裏）</t>
    <rPh sb="0" eb="2">
      <t>ウチウ</t>
    </rPh>
    <rPh sb="2" eb="3">
      <t>ケ</t>
    </rPh>
    <rPh sb="4" eb="5">
      <t>ウラ</t>
    </rPh>
    <phoneticPr fontId="2"/>
  </si>
  <si>
    <t>内受蹴（表）</t>
    <rPh sb="0" eb="2">
      <t>ウチウ</t>
    </rPh>
    <rPh sb="2" eb="3">
      <t>ケ</t>
    </rPh>
    <rPh sb="4" eb="5">
      <t>オモテ</t>
    </rPh>
    <phoneticPr fontId="2"/>
  </si>
  <si>
    <t>守者：肩をまわさない・流水受けなし</t>
    <rPh sb="0" eb="2">
      <t>シュシャ</t>
    </rPh>
    <rPh sb="3" eb="4">
      <t>カタ</t>
    </rPh>
    <rPh sb="11" eb="13">
      <t>リュウスイ</t>
    </rPh>
    <rPh sb="13" eb="14">
      <t>ウ</t>
    </rPh>
    <phoneticPr fontId="2"/>
  </si>
  <si>
    <t>やや後屈、左転身・右足逆蹴・順下りか蜘蛛足下り</t>
    <rPh sb="2" eb="4">
      <t>コウクツ</t>
    </rPh>
    <rPh sb="5" eb="6">
      <t>ヒダリ</t>
    </rPh>
    <rPh sb="6" eb="8">
      <t>テンシン</t>
    </rPh>
    <rPh sb="9" eb="11">
      <t>ミギアシ</t>
    </rPh>
    <rPh sb="11" eb="13">
      <t>ギャクゲ</t>
    </rPh>
    <rPh sb="14" eb="16">
      <t>ジュンサ</t>
    </rPh>
    <rPh sb="18" eb="20">
      <t>クモ</t>
    </rPh>
    <rPh sb="20" eb="21">
      <t>アシ</t>
    </rPh>
    <rPh sb="21" eb="22">
      <t>サガ</t>
    </rPh>
    <phoneticPr fontId="2"/>
  </si>
  <si>
    <t>守者：左に回り込む感じ</t>
    <rPh sb="0" eb="2">
      <t>シュシャ</t>
    </rPh>
    <rPh sb="3" eb="4">
      <t>ヒダリ</t>
    </rPh>
    <rPh sb="5" eb="6">
      <t>マワ</t>
    </rPh>
    <rPh sb="7" eb="8">
      <t>コ</t>
    </rPh>
    <rPh sb="9" eb="10">
      <t>カン</t>
    </rPh>
    <phoneticPr fontId="2"/>
  </si>
  <si>
    <t>やや前屈、左転身・右手上受・左拳中段・左手で手払</t>
    <rPh sb="2" eb="4">
      <t>ゼンクツ</t>
    </rPh>
    <rPh sb="5" eb="6">
      <t>ヒダリ</t>
    </rPh>
    <rPh sb="6" eb="8">
      <t>テンシン</t>
    </rPh>
    <rPh sb="9" eb="10">
      <t>ミギ</t>
    </rPh>
    <rPh sb="10" eb="11">
      <t>テ</t>
    </rPh>
    <rPh sb="11" eb="13">
      <t>ウワウ</t>
    </rPh>
    <rPh sb="14" eb="15">
      <t>ヒダリ</t>
    </rPh>
    <rPh sb="15" eb="16">
      <t>ケン</t>
    </rPh>
    <rPh sb="16" eb="18">
      <t>チュウダン</t>
    </rPh>
    <rPh sb="19" eb="21">
      <t>ヒダリテ</t>
    </rPh>
    <rPh sb="22" eb="24">
      <t>テハラ</t>
    </rPh>
    <phoneticPr fontId="2"/>
  </si>
  <si>
    <t>逆手刀</t>
    <rPh sb="0" eb="1">
      <t>ギャク</t>
    </rPh>
    <rPh sb="1" eb="3">
      <t>シュトウ</t>
    </rPh>
    <phoneticPr fontId="2"/>
  </si>
  <si>
    <t>上受突（裏）</t>
    <rPh sb="0" eb="2">
      <t>ウワウ</t>
    </rPh>
    <rPh sb="2" eb="3">
      <t>ツ</t>
    </rPh>
    <rPh sb="4" eb="5">
      <t>ウラ</t>
    </rPh>
    <phoneticPr fontId="2"/>
  </si>
  <si>
    <t>守者：転身時、右足先は相手の方向に</t>
    <rPh sb="0" eb="2">
      <t>シュシャ</t>
    </rPh>
    <rPh sb="3" eb="5">
      <t>テンシン</t>
    </rPh>
    <rPh sb="5" eb="6">
      <t>ジ</t>
    </rPh>
    <rPh sb="7" eb="10">
      <t>ミギアシサキ</t>
    </rPh>
    <rPh sb="11" eb="13">
      <t>アイテ</t>
    </rPh>
    <rPh sb="14" eb="16">
      <t>ホウコウ</t>
    </rPh>
    <phoneticPr fontId="2"/>
  </si>
  <si>
    <t>やや前屈、右転身・左手上受・右拳中段・左手熊手・右手で手払</t>
    <rPh sb="2" eb="4">
      <t>ゼンクツ</t>
    </rPh>
    <rPh sb="5" eb="8">
      <t>ミギテンシン</t>
    </rPh>
    <rPh sb="9" eb="11">
      <t>ヒダリテ</t>
    </rPh>
    <rPh sb="11" eb="13">
      <t>ウワウ</t>
    </rPh>
    <rPh sb="14" eb="16">
      <t>ミギケン</t>
    </rPh>
    <rPh sb="16" eb="18">
      <t>チュウダン</t>
    </rPh>
    <rPh sb="19" eb="21">
      <t>ヒダリテ</t>
    </rPh>
    <rPh sb="21" eb="23">
      <t>クマデ</t>
    </rPh>
    <rPh sb="24" eb="26">
      <t>ミギテ</t>
    </rPh>
    <rPh sb="27" eb="29">
      <t>テハラ</t>
    </rPh>
    <phoneticPr fontId="2"/>
  </si>
  <si>
    <t>上受突（表）</t>
    <rPh sb="0" eb="2">
      <t>ウワウ</t>
    </rPh>
    <rPh sb="2" eb="3">
      <t>ツ</t>
    </rPh>
    <rPh sb="4" eb="5">
      <t>オモテ</t>
    </rPh>
    <phoneticPr fontId="2"/>
  </si>
  <si>
    <t>守者：攻者手首を切り上げるつもり</t>
    <rPh sb="0" eb="2">
      <t>シュシャ</t>
    </rPh>
    <rPh sb="3" eb="4">
      <t>コウ</t>
    </rPh>
    <rPh sb="4" eb="5">
      <t>シャ</t>
    </rPh>
    <rPh sb="5" eb="7">
      <t>テクビ</t>
    </rPh>
    <rPh sb="8" eb="9">
      <t>キ</t>
    </rPh>
    <rPh sb="10" eb="11">
      <t>ア</t>
    </rPh>
    <phoneticPr fontId="2"/>
  </si>
  <si>
    <t>左転身・右手上受・右足逆蹴</t>
    <rPh sb="0" eb="1">
      <t>ヒダリ</t>
    </rPh>
    <rPh sb="1" eb="3">
      <t>テンシン</t>
    </rPh>
    <rPh sb="4" eb="6">
      <t>ミギテ</t>
    </rPh>
    <rPh sb="6" eb="8">
      <t>ウワウ</t>
    </rPh>
    <rPh sb="9" eb="11">
      <t>ミギアシ</t>
    </rPh>
    <rPh sb="11" eb="13">
      <t>ギャクゲ</t>
    </rPh>
    <phoneticPr fontId="2"/>
  </si>
  <si>
    <t>上受蹴（裏）</t>
    <rPh sb="0" eb="2">
      <t>ウワウ</t>
    </rPh>
    <rPh sb="2" eb="3">
      <t>ケ</t>
    </rPh>
    <rPh sb="4" eb="5">
      <t>ウラ</t>
    </rPh>
    <phoneticPr fontId="2"/>
  </si>
  <si>
    <t>やや右足下がり左手上受・順蹴</t>
    <rPh sb="2" eb="4">
      <t>ミギアシ</t>
    </rPh>
    <rPh sb="4" eb="5">
      <t>サ</t>
    </rPh>
    <rPh sb="7" eb="9">
      <t>ヒダリテ</t>
    </rPh>
    <rPh sb="9" eb="11">
      <t>ウワウ</t>
    </rPh>
    <rPh sb="12" eb="14">
      <t>ジュンケ</t>
    </rPh>
    <phoneticPr fontId="2"/>
  </si>
  <si>
    <t>上受蹴（表）</t>
    <rPh sb="0" eb="2">
      <t>ウワウ</t>
    </rPh>
    <rPh sb="2" eb="3">
      <t>ケ</t>
    </rPh>
    <rPh sb="4" eb="5">
      <t>オモテ</t>
    </rPh>
    <phoneticPr fontId="2"/>
  </si>
  <si>
    <t>守者：手首を高く払う、攻撃深く</t>
    <rPh sb="0" eb="2">
      <t>シュシャ</t>
    </rPh>
    <rPh sb="3" eb="5">
      <t>テクビ</t>
    </rPh>
    <rPh sb="6" eb="7">
      <t>タカ</t>
    </rPh>
    <rPh sb="8" eb="9">
      <t>ハラ</t>
    </rPh>
    <rPh sb="11" eb="13">
      <t>コウゲキ</t>
    </rPh>
    <rPh sb="13" eb="14">
      <t>フカ</t>
    </rPh>
    <phoneticPr fontId="2"/>
  </si>
  <si>
    <t>左前千鳥・左手内受（そのまま頭を守る）・中段逆突・右足蹴込</t>
    <rPh sb="0" eb="1">
      <t>ヒダリ</t>
    </rPh>
    <rPh sb="1" eb="2">
      <t>マエ</t>
    </rPh>
    <rPh sb="2" eb="4">
      <t>チドリ</t>
    </rPh>
    <rPh sb="5" eb="7">
      <t>ヒダリテ</t>
    </rPh>
    <rPh sb="7" eb="9">
      <t>ウチウ</t>
    </rPh>
    <rPh sb="14" eb="15">
      <t>アタマ</t>
    </rPh>
    <rPh sb="16" eb="17">
      <t>マモ</t>
    </rPh>
    <rPh sb="20" eb="22">
      <t>チュウダン</t>
    </rPh>
    <rPh sb="22" eb="23">
      <t>ギャク</t>
    </rPh>
    <rPh sb="23" eb="24">
      <t>トツ</t>
    </rPh>
    <rPh sb="25" eb="27">
      <t>ミギアシ</t>
    </rPh>
    <rPh sb="27" eb="29">
      <t>ケコミ</t>
    </rPh>
    <phoneticPr fontId="2"/>
  </si>
  <si>
    <t>上段逆突</t>
    <rPh sb="0" eb="2">
      <t>ジョウダン</t>
    </rPh>
    <rPh sb="2" eb="4">
      <t>ギャクツ</t>
    </rPh>
    <phoneticPr fontId="2"/>
  </si>
  <si>
    <t>守者：肩を顎の前まで</t>
    <rPh sb="0" eb="2">
      <t>シュシャ</t>
    </rPh>
    <rPh sb="3" eb="4">
      <t>カタ</t>
    </rPh>
    <rPh sb="5" eb="6">
      <t>アゴ</t>
    </rPh>
    <rPh sb="7" eb="8">
      <t>マエ</t>
    </rPh>
    <phoneticPr fontId="2"/>
  </si>
  <si>
    <t>後流水・右手で高めの流水受け・順蹴</t>
    <rPh sb="0" eb="1">
      <t>ウシ</t>
    </rPh>
    <rPh sb="1" eb="3">
      <t>リュウスイ</t>
    </rPh>
    <rPh sb="4" eb="6">
      <t>ミギテ</t>
    </rPh>
    <rPh sb="7" eb="8">
      <t>タカ</t>
    </rPh>
    <rPh sb="10" eb="12">
      <t>リュウスイ</t>
    </rPh>
    <rPh sb="12" eb="13">
      <t>ウ</t>
    </rPh>
    <rPh sb="15" eb="17">
      <t>ジュンゲ</t>
    </rPh>
    <phoneticPr fontId="2"/>
  </si>
  <si>
    <t>守者：肩をまわす</t>
    <rPh sb="0" eb="2">
      <t>シュシャ</t>
    </rPh>
    <rPh sb="3" eb="4">
      <t>カタ</t>
    </rPh>
    <phoneticPr fontId="2"/>
  </si>
  <si>
    <t>前流水・右手で高めの流水受け・逆蹴</t>
    <rPh sb="0" eb="1">
      <t>マエ</t>
    </rPh>
    <rPh sb="1" eb="3">
      <t>リュウスイ</t>
    </rPh>
    <rPh sb="4" eb="5">
      <t>ミギ</t>
    </rPh>
    <rPh sb="5" eb="6">
      <t>テ</t>
    </rPh>
    <rPh sb="7" eb="8">
      <t>タカ</t>
    </rPh>
    <rPh sb="10" eb="12">
      <t>リュウスイ</t>
    </rPh>
    <rPh sb="12" eb="13">
      <t>ウ</t>
    </rPh>
    <rPh sb="15" eb="17">
      <t>ギャクゲ</t>
    </rPh>
    <phoneticPr fontId="2"/>
  </si>
  <si>
    <t>上段攻防を主体とする法形（左右表裏、四法ある場合が殆どです。）</t>
    <rPh sb="0" eb="4">
      <t>ジョウダンコウボウ</t>
    </rPh>
    <rPh sb="5" eb="7">
      <t>シュタイ</t>
    </rPh>
    <rPh sb="10" eb="11">
      <t>ホウ</t>
    </rPh>
    <rPh sb="11" eb="12">
      <t>ケイ</t>
    </rPh>
    <rPh sb="13" eb="15">
      <t>サユウ</t>
    </rPh>
    <rPh sb="15" eb="17">
      <t>ヒョウリ</t>
    </rPh>
    <rPh sb="18" eb="19">
      <t>シ</t>
    </rPh>
    <rPh sb="19" eb="20">
      <t>ホウ</t>
    </rPh>
    <rPh sb="22" eb="24">
      <t>バアイ</t>
    </rPh>
    <rPh sb="25" eb="26">
      <t>ホトン</t>
    </rPh>
    <phoneticPr fontId="2"/>
  </si>
  <si>
    <t>付記</t>
    <rPh sb="0" eb="2">
      <t>フキ</t>
    </rPh>
    <phoneticPr fontId="2"/>
  </si>
  <si>
    <t>守者</t>
    <rPh sb="0" eb="2">
      <t>シュシャ</t>
    </rPh>
    <phoneticPr fontId="2"/>
  </si>
  <si>
    <t>攻者</t>
    <rPh sb="0" eb="1">
      <t>セ</t>
    </rPh>
    <rPh sb="1" eb="2">
      <t>シャ</t>
    </rPh>
    <phoneticPr fontId="2"/>
  </si>
  <si>
    <t>構え</t>
    <rPh sb="0" eb="1">
      <t>カマ</t>
    </rPh>
    <phoneticPr fontId="2"/>
  </si>
  <si>
    <t>法形</t>
    <rPh sb="0" eb="1">
      <t>ホウ</t>
    </rPh>
    <rPh sb="1" eb="2">
      <t>ケイ</t>
    </rPh>
    <phoneticPr fontId="2"/>
  </si>
  <si>
    <t>やや前屈、右に開気味に転身・左圧拳打払受・右外受・中段順蹴</t>
    <rPh sb="2" eb="4">
      <t>ゼンクツ</t>
    </rPh>
    <rPh sb="5" eb="6">
      <t>ミギ</t>
    </rPh>
    <rPh sb="7" eb="8">
      <t>ヒラ</t>
    </rPh>
    <rPh sb="8" eb="10">
      <t>キミ</t>
    </rPh>
    <rPh sb="11" eb="13">
      <t>テンシン</t>
    </rPh>
    <rPh sb="14" eb="15">
      <t>ヒダリ</t>
    </rPh>
    <rPh sb="15" eb="17">
      <t>アッケン</t>
    </rPh>
    <rPh sb="17" eb="19">
      <t>ウチハラ</t>
    </rPh>
    <rPh sb="19" eb="20">
      <t>ウ</t>
    </rPh>
    <rPh sb="21" eb="22">
      <t>ミギ</t>
    </rPh>
    <rPh sb="22" eb="24">
      <t>ソトウケ</t>
    </rPh>
    <rPh sb="25" eb="27">
      <t>チュウダン</t>
    </rPh>
    <rPh sb="27" eb="29">
      <t>ジュンケ</t>
    </rPh>
    <phoneticPr fontId="2"/>
  </si>
  <si>
    <t>攻者：差込逆蹴</t>
    <rPh sb="0" eb="1">
      <t>コウ</t>
    </rPh>
    <rPh sb="1" eb="2">
      <t>シャ</t>
    </rPh>
    <rPh sb="3" eb="5">
      <t>サシコミ</t>
    </rPh>
    <rPh sb="5" eb="7">
      <t>ギャクケ</t>
    </rPh>
    <phoneticPr fontId="2"/>
  </si>
  <si>
    <t>右半転身・左拳圧拳打落（引込むごとく）・右拳外受・左順蹴</t>
    <rPh sb="0" eb="1">
      <t>ミギ</t>
    </rPh>
    <rPh sb="1" eb="4">
      <t>ハンテンシン</t>
    </rPh>
    <rPh sb="5" eb="6">
      <t>ヒダリ</t>
    </rPh>
    <rPh sb="6" eb="7">
      <t>ケン</t>
    </rPh>
    <rPh sb="7" eb="9">
      <t>アッケン</t>
    </rPh>
    <rPh sb="9" eb="11">
      <t>ウチオト</t>
    </rPh>
    <rPh sb="12" eb="14">
      <t>ヒキコ</t>
    </rPh>
    <rPh sb="20" eb="21">
      <t>ミギ</t>
    </rPh>
    <rPh sb="21" eb="22">
      <t>ケン</t>
    </rPh>
    <rPh sb="22" eb="24">
      <t>ソトウケ</t>
    </rPh>
    <rPh sb="25" eb="26">
      <t>ヒダリ</t>
    </rPh>
    <rPh sb="26" eb="28">
      <t>ジュンケ</t>
    </rPh>
    <phoneticPr fontId="2"/>
  </si>
  <si>
    <t>攻者：差込逆蹴　守者：半転身を十分に（足捌き）</t>
    <rPh sb="0" eb="1">
      <t>コウ</t>
    </rPh>
    <rPh sb="1" eb="2">
      <t>シャ</t>
    </rPh>
    <rPh sb="3" eb="5">
      <t>サシコミ</t>
    </rPh>
    <rPh sb="5" eb="7">
      <t>ギャクケ</t>
    </rPh>
    <rPh sb="8" eb="10">
      <t>シュシャ</t>
    </rPh>
    <rPh sb="11" eb="14">
      <t>ハンテンシン</t>
    </rPh>
    <rPh sb="15" eb="17">
      <t>ジュウブン</t>
    </rPh>
    <rPh sb="19" eb="20">
      <t>アシ</t>
    </rPh>
    <rPh sb="20" eb="21">
      <t>サバ</t>
    </rPh>
    <phoneticPr fontId="2"/>
  </si>
  <si>
    <t>やや前屈・横十字受・前足引き足、そのまま蹴り返し</t>
    <rPh sb="2" eb="4">
      <t>ゼンクツ</t>
    </rPh>
    <rPh sb="5" eb="6">
      <t>ヨコ</t>
    </rPh>
    <rPh sb="6" eb="9">
      <t>ジュウジウケ</t>
    </rPh>
    <rPh sb="10" eb="12">
      <t>マエアシ</t>
    </rPh>
    <rPh sb="12" eb="13">
      <t>ヒ</t>
    </rPh>
    <rPh sb="14" eb="15">
      <t>アシ</t>
    </rPh>
    <rPh sb="20" eb="21">
      <t>ケ</t>
    </rPh>
    <rPh sb="22" eb="23">
      <t>カエ</t>
    </rPh>
    <phoneticPr fontId="2"/>
  </si>
  <si>
    <t>攻者：差込回蹴　守者：金的を守るように引き足</t>
    <rPh sb="0" eb="2">
      <t>コウシャ</t>
    </rPh>
    <rPh sb="3" eb="5">
      <t>サシコミ</t>
    </rPh>
    <rPh sb="5" eb="6">
      <t>マワ</t>
    </rPh>
    <rPh sb="6" eb="7">
      <t>ケ</t>
    </rPh>
    <rPh sb="8" eb="10">
      <t>シュシャ</t>
    </rPh>
    <rPh sb="11" eb="13">
      <t>キンテキ</t>
    </rPh>
    <rPh sb="14" eb="15">
      <t>マモ</t>
    </rPh>
    <rPh sb="19" eb="20">
      <t>ヒ</t>
    </rPh>
    <rPh sb="21" eb="22">
      <t>アシ</t>
    </rPh>
    <phoneticPr fontId="2"/>
  </si>
  <si>
    <t>右足逆転身・左下受・左足廻蹴</t>
    <rPh sb="0" eb="2">
      <t>ミギアシ</t>
    </rPh>
    <rPh sb="2" eb="5">
      <t>ギャクテンシン</t>
    </rPh>
    <rPh sb="6" eb="7">
      <t>ヒダリ</t>
    </rPh>
    <rPh sb="7" eb="9">
      <t>シタウケ</t>
    </rPh>
    <rPh sb="10" eb="11">
      <t>ヒダリ</t>
    </rPh>
    <rPh sb="11" eb="12">
      <t>アシ</t>
    </rPh>
    <rPh sb="12" eb="13">
      <t>マワ</t>
    </rPh>
    <rPh sb="13" eb="14">
      <t>ケ</t>
    </rPh>
    <phoneticPr fontId="2"/>
  </si>
  <si>
    <t>守者：蹴りは上部に受け流す</t>
    <rPh sb="0" eb="2">
      <t>シュシャ</t>
    </rPh>
    <rPh sb="3" eb="4">
      <t>ケ</t>
    </rPh>
    <rPh sb="6" eb="8">
      <t>ジョウブ</t>
    </rPh>
    <rPh sb="9" eb="10">
      <t>ウ</t>
    </rPh>
    <rPh sb="11" eb="12">
      <t>ナガ</t>
    </rPh>
    <phoneticPr fontId="2"/>
  </si>
  <si>
    <t>右三枚誘い・右足を左足の前に右丁字に踏み入れ・右手払受・左直蹴</t>
    <rPh sb="0" eb="1">
      <t>ミギ</t>
    </rPh>
    <rPh sb="1" eb="3">
      <t>サンマイ</t>
    </rPh>
    <rPh sb="3" eb="4">
      <t>サソ</t>
    </rPh>
    <rPh sb="6" eb="8">
      <t>ミギアシ</t>
    </rPh>
    <rPh sb="9" eb="10">
      <t>ヒダリ</t>
    </rPh>
    <rPh sb="10" eb="11">
      <t>アシ</t>
    </rPh>
    <rPh sb="12" eb="13">
      <t>マエ</t>
    </rPh>
    <rPh sb="14" eb="15">
      <t>ミギ</t>
    </rPh>
    <rPh sb="15" eb="17">
      <t>チョウジ</t>
    </rPh>
    <rPh sb="18" eb="19">
      <t>フ</t>
    </rPh>
    <rPh sb="20" eb="21">
      <t>イ</t>
    </rPh>
    <rPh sb="23" eb="25">
      <t>ミギテ</t>
    </rPh>
    <rPh sb="25" eb="26">
      <t>ハラ</t>
    </rPh>
    <rPh sb="26" eb="27">
      <t>ウケ</t>
    </rPh>
    <rPh sb="28" eb="29">
      <t>ヒダリ</t>
    </rPh>
    <rPh sb="29" eb="31">
      <t>チョクゲ</t>
    </rPh>
    <phoneticPr fontId="2"/>
  </si>
  <si>
    <t>守者：蹴りと受けは同時に</t>
    <rPh sb="0" eb="2">
      <t>シュシャ</t>
    </rPh>
    <rPh sb="3" eb="4">
      <t>ケ</t>
    </rPh>
    <rPh sb="6" eb="7">
      <t>ウ</t>
    </rPh>
    <rPh sb="9" eb="11">
      <t>ドウジ</t>
    </rPh>
    <phoneticPr fontId="2"/>
  </si>
  <si>
    <t>上段より始まる連攻防の基本形（左右表裏、四法）</t>
    <rPh sb="0" eb="2">
      <t>ジョウダン</t>
    </rPh>
    <rPh sb="4" eb="5">
      <t>ハジ</t>
    </rPh>
    <rPh sb="7" eb="10">
      <t>レンコウボウ</t>
    </rPh>
    <rPh sb="11" eb="13">
      <t>キホン</t>
    </rPh>
    <rPh sb="13" eb="14">
      <t>ケイ</t>
    </rPh>
    <rPh sb="15" eb="17">
      <t>サユウ</t>
    </rPh>
    <rPh sb="17" eb="19">
      <t>ヒョウリ</t>
    </rPh>
    <rPh sb="20" eb="22">
      <t>シホウ</t>
    </rPh>
    <phoneticPr fontId="2"/>
  </si>
  <si>
    <t>突天一</t>
    <rPh sb="0" eb="1">
      <t>ツ</t>
    </rPh>
    <rPh sb="1" eb="3">
      <t>テンイチ</t>
    </rPh>
    <phoneticPr fontId="2"/>
  </si>
  <si>
    <t>突天二</t>
    <rPh sb="0" eb="1">
      <t>ツ</t>
    </rPh>
    <rPh sb="1" eb="3">
      <t>テンニ</t>
    </rPh>
    <phoneticPr fontId="2"/>
  </si>
  <si>
    <t>混天一</t>
    <rPh sb="0" eb="1">
      <t>コン</t>
    </rPh>
    <rPh sb="1" eb="3">
      <t>テンイチ</t>
    </rPh>
    <phoneticPr fontId="2"/>
  </si>
  <si>
    <t>左拳上段・右拳中段</t>
    <rPh sb="0" eb="1">
      <t>ヒダリ</t>
    </rPh>
    <rPh sb="1" eb="2">
      <t>ケン</t>
    </rPh>
    <rPh sb="2" eb="4">
      <t>ジョウダン</t>
    </rPh>
    <rPh sb="5" eb="7">
      <t>ミギケン</t>
    </rPh>
    <rPh sb="7" eb="9">
      <t>チュウダン</t>
    </rPh>
    <phoneticPr fontId="2"/>
  </si>
  <si>
    <t>左拳上段・右拳上段</t>
    <rPh sb="0" eb="1">
      <t>ヒダリ</t>
    </rPh>
    <rPh sb="1" eb="2">
      <t>ケン</t>
    </rPh>
    <rPh sb="2" eb="4">
      <t>ジョウダン</t>
    </rPh>
    <rPh sb="5" eb="7">
      <t>ミギケン</t>
    </rPh>
    <rPh sb="7" eb="9">
      <t>ジョウダン</t>
    </rPh>
    <phoneticPr fontId="2"/>
  </si>
  <si>
    <t>左拳上段・右拳中段・左拳上段</t>
    <rPh sb="0" eb="1">
      <t>ヒダリ</t>
    </rPh>
    <rPh sb="1" eb="2">
      <t>ケン</t>
    </rPh>
    <rPh sb="2" eb="4">
      <t>ジョウダン</t>
    </rPh>
    <rPh sb="5" eb="7">
      <t>ミギケン</t>
    </rPh>
    <rPh sb="7" eb="9">
      <t>チュウダン</t>
    </rPh>
    <rPh sb="10" eb="12">
      <t>ヒダリケン</t>
    </rPh>
    <rPh sb="12" eb="14">
      <t>ジョウダン</t>
    </rPh>
    <phoneticPr fontId="2"/>
  </si>
  <si>
    <t>左拳上段振突・右拳上振</t>
    <rPh sb="0" eb="2">
      <t>ヒダリケン</t>
    </rPh>
    <rPh sb="2" eb="4">
      <t>ジョウダン</t>
    </rPh>
    <rPh sb="4" eb="5">
      <t>フ</t>
    </rPh>
    <rPh sb="5" eb="6">
      <t>ヅ</t>
    </rPh>
    <rPh sb="7" eb="9">
      <t>ミギケン</t>
    </rPh>
    <rPh sb="9" eb="11">
      <t>ウワフ</t>
    </rPh>
    <phoneticPr fontId="2"/>
  </si>
  <si>
    <t>右拳上段・右足廻蹴</t>
    <rPh sb="0" eb="2">
      <t>ミギケン</t>
    </rPh>
    <rPh sb="2" eb="4">
      <t>ジョウダン</t>
    </rPh>
    <rPh sb="5" eb="7">
      <t>ミギアシ</t>
    </rPh>
    <rPh sb="7" eb="8">
      <t>マワ</t>
    </rPh>
    <rPh sb="8" eb="9">
      <t>ケ</t>
    </rPh>
    <phoneticPr fontId="2"/>
  </si>
  <si>
    <t>左拳上段・右拳中段・右足蹴上</t>
    <rPh sb="0" eb="1">
      <t>ヒダリ</t>
    </rPh>
    <rPh sb="1" eb="2">
      <t>ケン</t>
    </rPh>
    <rPh sb="2" eb="4">
      <t>ジョウダン</t>
    </rPh>
    <rPh sb="5" eb="7">
      <t>ミギケン</t>
    </rPh>
    <rPh sb="7" eb="9">
      <t>チュウダン</t>
    </rPh>
    <rPh sb="10" eb="12">
      <t>ミギアシ</t>
    </rPh>
    <rPh sb="12" eb="13">
      <t>ケ</t>
    </rPh>
    <rPh sb="13" eb="14">
      <t>ア</t>
    </rPh>
    <phoneticPr fontId="2"/>
  </si>
  <si>
    <t>左拳上段振突・右拳中段逆突</t>
    <rPh sb="0" eb="2">
      <t>ヒダリケン</t>
    </rPh>
    <rPh sb="2" eb="4">
      <t>ジョウダン</t>
    </rPh>
    <rPh sb="4" eb="5">
      <t>フ</t>
    </rPh>
    <rPh sb="5" eb="6">
      <t>ヅ</t>
    </rPh>
    <rPh sb="9" eb="11">
      <t>チュウダン</t>
    </rPh>
    <rPh sb="11" eb="13">
      <t>ギャクヅ</t>
    </rPh>
    <phoneticPr fontId="2"/>
  </si>
  <si>
    <t>右拳上段逆突・左拳中段順突</t>
    <rPh sb="0" eb="2">
      <t>ミギケン</t>
    </rPh>
    <rPh sb="2" eb="4">
      <t>ジョウダン</t>
    </rPh>
    <rPh sb="4" eb="6">
      <t>ギャクヅ</t>
    </rPh>
    <rPh sb="7" eb="9">
      <t>ヒダリケン</t>
    </rPh>
    <rPh sb="9" eb="11">
      <t>チュウダン</t>
    </rPh>
    <rPh sb="11" eb="13">
      <t>ジュンヅ</t>
    </rPh>
    <phoneticPr fontId="2"/>
  </si>
  <si>
    <t>左足後千鳥・右手上受、左手下受の連受・右足順蹴、蜘蛛足退</t>
    <rPh sb="0" eb="2">
      <t>ヒダリアシ</t>
    </rPh>
    <rPh sb="2" eb="3">
      <t>ウシ</t>
    </rPh>
    <rPh sb="3" eb="5">
      <t>チドリ</t>
    </rPh>
    <rPh sb="6" eb="8">
      <t>ミギテ</t>
    </rPh>
    <rPh sb="8" eb="10">
      <t>ウワウケ</t>
    </rPh>
    <rPh sb="11" eb="13">
      <t>ヒダリテ</t>
    </rPh>
    <rPh sb="13" eb="15">
      <t>シタウケ</t>
    </rPh>
    <rPh sb="16" eb="18">
      <t>レンウケ</t>
    </rPh>
    <rPh sb="19" eb="21">
      <t>ミギアシ</t>
    </rPh>
    <rPh sb="21" eb="23">
      <t>ジュンケ</t>
    </rPh>
    <rPh sb="24" eb="27">
      <t>クモアシ</t>
    </rPh>
    <rPh sb="27" eb="28">
      <t>シリゾ</t>
    </rPh>
    <phoneticPr fontId="2"/>
  </si>
  <si>
    <t>守者：やや開き気味・対の先を取る</t>
    <rPh sb="0" eb="2">
      <t>シュシャ</t>
    </rPh>
    <rPh sb="5" eb="6">
      <t>ヒラキ</t>
    </rPh>
    <rPh sb="7" eb="9">
      <t>キミ</t>
    </rPh>
    <rPh sb="10" eb="11">
      <t>タイ</t>
    </rPh>
    <rPh sb="12" eb="13">
      <t>セン</t>
    </rPh>
    <rPh sb="14" eb="15">
      <t>ト</t>
    </rPh>
    <phoneticPr fontId="2"/>
  </si>
  <si>
    <t>左足後千鳥・右手打上受し、打落受の段受・右足順蹴、蜘蛛足退</t>
    <rPh sb="0" eb="2">
      <t>ヒダリアシ</t>
    </rPh>
    <rPh sb="2" eb="3">
      <t>ウシ</t>
    </rPh>
    <rPh sb="3" eb="5">
      <t>チドリ</t>
    </rPh>
    <rPh sb="6" eb="8">
      <t>ミギテ</t>
    </rPh>
    <rPh sb="8" eb="10">
      <t>ウチアゲ</t>
    </rPh>
    <rPh sb="10" eb="11">
      <t>ウケ</t>
    </rPh>
    <rPh sb="13" eb="14">
      <t>ダ</t>
    </rPh>
    <rPh sb="14" eb="15">
      <t>ラク</t>
    </rPh>
    <rPh sb="15" eb="16">
      <t>ウケ</t>
    </rPh>
    <rPh sb="17" eb="18">
      <t>ダン</t>
    </rPh>
    <rPh sb="18" eb="19">
      <t>ウケ</t>
    </rPh>
    <rPh sb="20" eb="22">
      <t>ミギアシ</t>
    </rPh>
    <rPh sb="22" eb="23">
      <t>ジュン</t>
    </rPh>
    <rPh sb="23" eb="24">
      <t>シュウ</t>
    </rPh>
    <rPh sb="25" eb="27">
      <t>クモ</t>
    </rPh>
    <rPh sb="27" eb="28">
      <t>アシ</t>
    </rPh>
    <rPh sb="28" eb="29">
      <t>タイ</t>
    </rPh>
    <phoneticPr fontId="2"/>
  </si>
  <si>
    <t>守者：打上握拳、打落開手</t>
    <rPh sb="0" eb="2">
      <t>シュシャ</t>
    </rPh>
    <rPh sb="3" eb="5">
      <t>ウチアゲ</t>
    </rPh>
    <rPh sb="5" eb="6">
      <t>アク</t>
    </rPh>
    <rPh sb="6" eb="7">
      <t>ケン</t>
    </rPh>
    <rPh sb="8" eb="9">
      <t>ダ</t>
    </rPh>
    <rPh sb="9" eb="10">
      <t>ラク</t>
    </rPh>
    <rPh sb="10" eb="11">
      <t>カイ</t>
    </rPh>
    <rPh sb="11" eb="12">
      <t>テ</t>
    </rPh>
    <phoneticPr fontId="2"/>
  </si>
  <si>
    <t>左足後千鳥・右手上受・（左手下受+右手内受）・右手上受・右足蹴上</t>
    <rPh sb="0" eb="1">
      <t>ヒダリ</t>
    </rPh>
    <rPh sb="1" eb="2">
      <t>アシ</t>
    </rPh>
    <rPh sb="2" eb="3">
      <t>ウシ</t>
    </rPh>
    <rPh sb="3" eb="5">
      <t>チドリ</t>
    </rPh>
    <rPh sb="6" eb="8">
      <t>ミギテ</t>
    </rPh>
    <rPh sb="8" eb="10">
      <t>ウワウケ</t>
    </rPh>
    <rPh sb="12" eb="14">
      <t>ヒダリテ</t>
    </rPh>
    <rPh sb="14" eb="16">
      <t>シタウケ</t>
    </rPh>
    <rPh sb="17" eb="19">
      <t>ミギテ</t>
    </rPh>
    <rPh sb="19" eb="21">
      <t>ウチウ</t>
    </rPh>
    <rPh sb="23" eb="25">
      <t>ミギテ</t>
    </rPh>
    <rPh sb="25" eb="27">
      <t>ウワウケ</t>
    </rPh>
    <rPh sb="28" eb="30">
      <t>ミギアシ</t>
    </rPh>
    <rPh sb="30" eb="31">
      <t>ケ</t>
    </rPh>
    <rPh sb="31" eb="32">
      <t>ア</t>
    </rPh>
    <phoneticPr fontId="2"/>
  </si>
  <si>
    <t>右足後千鳥・右手上受・左手下受・左足廻蹴・蜘蛛足退</t>
    <rPh sb="0" eb="2">
      <t>ミギアシ</t>
    </rPh>
    <rPh sb="2" eb="3">
      <t>ウシ</t>
    </rPh>
    <rPh sb="3" eb="5">
      <t>チドリ</t>
    </rPh>
    <rPh sb="6" eb="8">
      <t>ミギテ</t>
    </rPh>
    <rPh sb="8" eb="10">
      <t>ウワウケ</t>
    </rPh>
    <rPh sb="11" eb="13">
      <t>ヒダリテ</t>
    </rPh>
    <rPh sb="13" eb="15">
      <t>シタウケ</t>
    </rPh>
    <rPh sb="16" eb="18">
      <t>ヒダリアシ</t>
    </rPh>
    <rPh sb="18" eb="19">
      <t>マワ</t>
    </rPh>
    <rPh sb="19" eb="20">
      <t>ケ</t>
    </rPh>
    <rPh sb="21" eb="24">
      <t>クモアシ</t>
    </rPh>
    <rPh sb="24" eb="25">
      <t>シリゾ</t>
    </rPh>
    <phoneticPr fontId="2"/>
  </si>
  <si>
    <t>突天一の対構えバージョン</t>
    <rPh sb="0" eb="1">
      <t>ツ</t>
    </rPh>
    <rPh sb="1" eb="3">
      <t>テンイチ</t>
    </rPh>
    <rPh sb="4" eb="6">
      <t>タイガマ</t>
    </rPh>
    <phoneticPr fontId="2"/>
  </si>
  <si>
    <t>順手で外押受+打落受しながら体を十分閉じ、順足刀</t>
    <rPh sb="0" eb="2">
      <t>ジュンテ</t>
    </rPh>
    <rPh sb="3" eb="5">
      <t>ソトオシ</t>
    </rPh>
    <rPh sb="5" eb="6">
      <t>ウケ</t>
    </rPh>
    <rPh sb="7" eb="8">
      <t>ウ</t>
    </rPh>
    <rPh sb="8" eb="9">
      <t>オ</t>
    </rPh>
    <rPh sb="9" eb="10">
      <t>ウ</t>
    </rPh>
    <rPh sb="14" eb="15">
      <t>カラダ</t>
    </rPh>
    <rPh sb="16" eb="18">
      <t>ジュウブン</t>
    </rPh>
    <rPh sb="18" eb="19">
      <t>ト</t>
    </rPh>
    <rPh sb="21" eb="22">
      <t>ジュン</t>
    </rPh>
    <rPh sb="22" eb="24">
      <t>ソクトウ</t>
    </rPh>
    <phoneticPr fontId="2"/>
  </si>
  <si>
    <t>攻者：アッパーは体に腕を固定し、腰の回転で打つ</t>
    <rPh sb="0" eb="2">
      <t>コウシャ</t>
    </rPh>
    <rPh sb="8" eb="9">
      <t>カラダ</t>
    </rPh>
    <rPh sb="10" eb="11">
      <t>ウデ</t>
    </rPh>
    <rPh sb="12" eb="14">
      <t>コテイ</t>
    </rPh>
    <rPh sb="16" eb="17">
      <t>コシ</t>
    </rPh>
    <rPh sb="18" eb="20">
      <t>カイテン</t>
    </rPh>
    <rPh sb="21" eb="22">
      <t>ウ</t>
    </rPh>
    <phoneticPr fontId="2"/>
  </si>
  <si>
    <t>右手外受・左手打払受け乍ら掬止め変化・右足で金的蹴・掬投</t>
    <rPh sb="0" eb="2">
      <t>ミギテ</t>
    </rPh>
    <rPh sb="2" eb="4">
      <t>ソトウケ</t>
    </rPh>
    <rPh sb="5" eb="7">
      <t>ヒダリテ</t>
    </rPh>
    <rPh sb="7" eb="9">
      <t>ウチハラ</t>
    </rPh>
    <rPh sb="9" eb="10">
      <t>ウ</t>
    </rPh>
    <rPh sb="11" eb="12">
      <t>ナガ</t>
    </rPh>
    <rPh sb="13" eb="14">
      <t>スク</t>
    </rPh>
    <rPh sb="14" eb="15">
      <t>ド</t>
    </rPh>
    <rPh sb="16" eb="18">
      <t>ヘンカ</t>
    </rPh>
    <rPh sb="19" eb="21">
      <t>ミギアシ</t>
    </rPh>
    <rPh sb="22" eb="24">
      <t>キンテキ</t>
    </rPh>
    <rPh sb="24" eb="25">
      <t>ケ</t>
    </rPh>
    <rPh sb="26" eb="27">
      <t>スク</t>
    </rPh>
    <rPh sb="27" eb="28">
      <t>ナ</t>
    </rPh>
    <phoneticPr fontId="2"/>
  </si>
  <si>
    <t>守者：左足を外に出しながら外受</t>
    <rPh sb="0" eb="2">
      <t>シュシャ</t>
    </rPh>
    <rPh sb="3" eb="4">
      <t>ヒダリ</t>
    </rPh>
    <rPh sb="4" eb="5">
      <t>アシ</t>
    </rPh>
    <rPh sb="6" eb="7">
      <t>ソト</t>
    </rPh>
    <rPh sb="8" eb="9">
      <t>ダ</t>
    </rPh>
    <rPh sb="13" eb="15">
      <t>ソトウケ</t>
    </rPh>
    <phoneticPr fontId="2"/>
  </si>
  <si>
    <t>左足後千鳥・右手上受・（左手下受+右手内受）・両手下十字受・右足蹴上</t>
    <rPh sb="0" eb="1">
      <t>ヒダリ</t>
    </rPh>
    <rPh sb="1" eb="2">
      <t>アシ</t>
    </rPh>
    <rPh sb="2" eb="3">
      <t>ウシ</t>
    </rPh>
    <rPh sb="3" eb="5">
      <t>チドリ</t>
    </rPh>
    <rPh sb="6" eb="8">
      <t>ミギテ</t>
    </rPh>
    <rPh sb="8" eb="10">
      <t>ウワウケ</t>
    </rPh>
    <rPh sb="23" eb="25">
      <t>リョウテ</t>
    </rPh>
    <rPh sb="25" eb="26">
      <t>シタ</t>
    </rPh>
    <rPh sb="26" eb="28">
      <t>ジュウジ</t>
    </rPh>
    <phoneticPr fontId="2"/>
  </si>
  <si>
    <t>攻者：直蹴りも可　守者：やや左に転身</t>
    <rPh sb="0" eb="2">
      <t>コウシャ</t>
    </rPh>
    <rPh sb="3" eb="5">
      <t>チョクケ</t>
    </rPh>
    <rPh sb="7" eb="8">
      <t>カ</t>
    </rPh>
    <rPh sb="9" eb="11">
      <t>シュシャ</t>
    </rPh>
    <rPh sb="14" eb="15">
      <t>ヒダリ</t>
    </rPh>
    <rPh sb="16" eb="18">
      <t>テンシン</t>
    </rPh>
    <phoneticPr fontId="2"/>
  </si>
  <si>
    <t>左足後千鳥・右手外押受・左下受の連受・右足順蹴・蜘蛛足退</t>
    <rPh sb="0" eb="1">
      <t>ヒダリ</t>
    </rPh>
    <rPh sb="1" eb="2">
      <t>アシ</t>
    </rPh>
    <rPh sb="2" eb="3">
      <t>ウシ</t>
    </rPh>
    <rPh sb="3" eb="5">
      <t>チドリ</t>
    </rPh>
    <rPh sb="6" eb="8">
      <t>ミギテ</t>
    </rPh>
    <rPh sb="8" eb="10">
      <t>ソトオシ</t>
    </rPh>
    <rPh sb="10" eb="11">
      <t>ウケ</t>
    </rPh>
    <rPh sb="12" eb="13">
      <t>ヒダリ</t>
    </rPh>
    <rPh sb="13" eb="15">
      <t>シタウケ</t>
    </rPh>
    <rPh sb="16" eb="18">
      <t>レンウケ</t>
    </rPh>
    <rPh sb="19" eb="21">
      <t>ミギアシ</t>
    </rPh>
    <rPh sb="21" eb="23">
      <t>ジュンケ</t>
    </rPh>
    <rPh sb="24" eb="27">
      <t>クモアシ</t>
    </rPh>
    <rPh sb="27" eb="28">
      <t>シリゾ</t>
    </rPh>
    <phoneticPr fontId="2"/>
  </si>
  <si>
    <t>左足後千鳥・左手内受・右手払受・右足順蹴・蜘蛛足退</t>
    <rPh sb="0" eb="1">
      <t>ヒダリ</t>
    </rPh>
    <rPh sb="1" eb="2">
      <t>アシ</t>
    </rPh>
    <rPh sb="2" eb="3">
      <t>ウシ</t>
    </rPh>
    <rPh sb="3" eb="5">
      <t>チドリ</t>
    </rPh>
    <rPh sb="6" eb="8">
      <t>ヒダリテ</t>
    </rPh>
    <rPh sb="8" eb="10">
      <t>ウチウ</t>
    </rPh>
    <rPh sb="11" eb="13">
      <t>ミギテ</t>
    </rPh>
    <rPh sb="13" eb="14">
      <t>ハラ</t>
    </rPh>
    <rPh sb="14" eb="15">
      <t>ウケ</t>
    </rPh>
    <rPh sb="16" eb="18">
      <t>ミギアシ</t>
    </rPh>
    <rPh sb="18" eb="20">
      <t>ジュンケ</t>
    </rPh>
    <rPh sb="21" eb="24">
      <t>クモアシ</t>
    </rPh>
    <rPh sb="24" eb="25">
      <t>シリゾ</t>
    </rPh>
    <phoneticPr fontId="2"/>
  </si>
  <si>
    <t>守者：千鳥退の時、遠間になりすぎぬよう</t>
    <rPh sb="0" eb="2">
      <t>シュシャ</t>
    </rPh>
    <rPh sb="3" eb="5">
      <t>チドリ</t>
    </rPh>
    <rPh sb="5" eb="6">
      <t>シリゾ</t>
    </rPh>
    <rPh sb="7" eb="8">
      <t>トキ</t>
    </rPh>
    <rPh sb="9" eb="11">
      <t>トオマ</t>
    </rPh>
    <phoneticPr fontId="2"/>
  </si>
  <si>
    <t>受け手が直ちに攻撃に用いられる二段用法を主体とする段攻防の基本形</t>
    <rPh sb="0" eb="1">
      <t>ウ</t>
    </rPh>
    <rPh sb="2" eb="3">
      <t>テ</t>
    </rPh>
    <rPh sb="4" eb="5">
      <t>タダ</t>
    </rPh>
    <rPh sb="7" eb="9">
      <t>コウゲキ</t>
    </rPh>
    <rPh sb="10" eb="11">
      <t>モチ</t>
    </rPh>
    <rPh sb="15" eb="17">
      <t>ニダン</t>
    </rPh>
    <rPh sb="17" eb="19">
      <t>ヨウホウ</t>
    </rPh>
    <rPh sb="20" eb="22">
      <t>シュタイ</t>
    </rPh>
    <rPh sb="25" eb="26">
      <t>ダン</t>
    </rPh>
    <rPh sb="26" eb="28">
      <t>コウボウ</t>
    </rPh>
    <rPh sb="29" eb="31">
      <t>キホン</t>
    </rPh>
    <rPh sb="31" eb="32">
      <t>ケイ</t>
    </rPh>
    <phoneticPr fontId="2"/>
  </si>
  <si>
    <t>燕返連反攻</t>
    <rPh sb="0" eb="2">
      <t>ツバメガエ</t>
    </rPh>
    <rPh sb="2" eb="5">
      <t>レンハンコウ</t>
    </rPh>
    <phoneticPr fontId="2"/>
  </si>
  <si>
    <t>千鳥返刈足</t>
    <rPh sb="0" eb="2">
      <t>チドリ</t>
    </rPh>
    <rPh sb="2" eb="3">
      <t>カエ</t>
    </rPh>
    <rPh sb="3" eb="5">
      <t>カリアシ</t>
    </rPh>
    <phoneticPr fontId="2"/>
  </si>
  <si>
    <t>左足差込・右拳上段逆突・蹴返</t>
    <rPh sb="0" eb="1">
      <t>ヒダリ</t>
    </rPh>
    <rPh sb="1" eb="2">
      <t>アシ</t>
    </rPh>
    <rPh sb="2" eb="4">
      <t>サシコミ</t>
    </rPh>
    <rPh sb="5" eb="6">
      <t>ミギ</t>
    </rPh>
    <rPh sb="6" eb="7">
      <t>ケン</t>
    </rPh>
    <rPh sb="7" eb="9">
      <t>ジョウダン</t>
    </rPh>
    <rPh sb="9" eb="10">
      <t>ギャク</t>
    </rPh>
    <rPh sb="10" eb="11">
      <t>トツ</t>
    </rPh>
    <rPh sb="12" eb="13">
      <t>ケ</t>
    </rPh>
    <rPh sb="13" eb="14">
      <t>ヘン</t>
    </rPh>
    <phoneticPr fontId="2"/>
  </si>
  <si>
    <t>差替右上段突</t>
    <rPh sb="0" eb="2">
      <t>サシカ</t>
    </rPh>
    <rPh sb="2" eb="3">
      <t>ミギ</t>
    </rPh>
    <rPh sb="3" eb="5">
      <t>ジョウダン</t>
    </rPh>
    <rPh sb="5" eb="6">
      <t>ツ</t>
    </rPh>
    <phoneticPr fontId="2"/>
  </si>
  <si>
    <t>右待機・</t>
    <rPh sb="0" eb="1">
      <t>ミギ</t>
    </rPh>
    <rPh sb="1" eb="3">
      <t>タイキ</t>
    </rPh>
    <phoneticPr fontId="2"/>
  </si>
  <si>
    <t>・左待機</t>
    <rPh sb="1" eb="2">
      <t>ヒダリ</t>
    </rPh>
    <rPh sb="2" eb="4">
      <t>タイキ</t>
    </rPh>
    <phoneticPr fontId="2"/>
  </si>
  <si>
    <t>後ろ加重より右足右前に踏込、右手で内受した手で手刀・左拳中段（右手外受しながら腰に）・差替右上段・右足廻蹴</t>
    <rPh sb="0" eb="1">
      <t>ウシ</t>
    </rPh>
    <rPh sb="2" eb="4">
      <t>カジュウ</t>
    </rPh>
    <rPh sb="6" eb="8">
      <t>ミギアシ</t>
    </rPh>
    <rPh sb="8" eb="10">
      <t>ミギマエ</t>
    </rPh>
    <rPh sb="11" eb="13">
      <t>フミコ</t>
    </rPh>
    <rPh sb="14" eb="16">
      <t>ミギテ</t>
    </rPh>
    <rPh sb="17" eb="19">
      <t>ウチウ</t>
    </rPh>
    <rPh sb="21" eb="22">
      <t>テ</t>
    </rPh>
    <rPh sb="23" eb="25">
      <t>シュトウ</t>
    </rPh>
    <rPh sb="26" eb="28">
      <t>ヒダリケン</t>
    </rPh>
    <rPh sb="28" eb="30">
      <t>チュウダン</t>
    </rPh>
    <rPh sb="31" eb="33">
      <t>ミギテ</t>
    </rPh>
    <rPh sb="33" eb="35">
      <t>ソトウケ</t>
    </rPh>
    <rPh sb="39" eb="40">
      <t>コシ</t>
    </rPh>
    <rPh sb="43" eb="45">
      <t>サシカ</t>
    </rPh>
    <rPh sb="45" eb="46">
      <t>ミギ</t>
    </rPh>
    <rPh sb="46" eb="48">
      <t>ジョウダン</t>
    </rPh>
    <rPh sb="49" eb="51">
      <t>ミギアシ</t>
    </rPh>
    <rPh sb="51" eb="52">
      <t>マワ</t>
    </rPh>
    <rPh sb="52" eb="53">
      <t>ケ</t>
    </rPh>
    <phoneticPr fontId="2"/>
  </si>
  <si>
    <t>守者：内受の返しを早く・手刀は体重を乗せる</t>
    <rPh sb="0" eb="2">
      <t>シュシャ</t>
    </rPh>
    <rPh sb="3" eb="5">
      <t>ウチウ</t>
    </rPh>
    <rPh sb="6" eb="7">
      <t>カエ</t>
    </rPh>
    <rPh sb="9" eb="10">
      <t>ハヤ</t>
    </rPh>
    <rPh sb="12" eb="14">
      <t>シュトウ</t>
    </rPh>
    <rPh sb="15" eb="17">
      <t>タイジュウ</t>
    </rPh>
    <rPh sb="18" eb="19">
      <t>ノ</t>
    </rPh>
    <phoneticPr fontId="2"/>
  </si>
  <si>
    <t>左足前千鳥・左拳内受した手で目打・右足を寄せ右拳中段・右足で刈足</t>
    <rPh sb="0" eb="2">
      <t>ヒダリアシ</t>
    </rPh>
    <rPh sb="2" eb="3">
      <t>マエ</t>
    </rPh>
    <rPh sb="3" eb="5">
      <t>チドリ</t>
    </rPh>
    <rPh sb="6" eb="7">
      <t>ヒダリ</t>
    </rPh>
    <rPh sb="7" eb="8">
      <t>ケン</t>
    </rPh>
    <rPh sb="8" eb="10">
      <t>ウチウ</t>
    </rPh>
    <rPh sb="12" eb="13">
      <t>テ</t>
    </rPh>
    <rPh sb="14" eb="16">
      <t>メウ</t>
    </rPh>
    <rPh sb="17" eb="19">
      <t>ミギアシ</t>
    </rPh>
    <rPh sb="20" eb="21">
      <t>ヨ</t>
    </rPh>
    <rPh sb="22" eb="24">
      <t>ミギケン</t>
    </rPh>
    <rPh sb="24" eb="26">
      <t>チュウダン</t>
    </rPh>
    <rPh sb="27" eb="29">
      <t>ミギアシ</t>
    </rPh>
    <rPh sb="30" eb="32">
      <t>カリアシ</t>
    </rPh>
    <phoneticPr fontId="2"/>
  </si>
  <si>
    <t>守者：刈足は上方から滑らせるように押し込む</t>
    <rPh sb="0" eb="2">
      <t>シュシャ</t>
    </rPh>
    <rPh sb="3" eb="5">
      <t>カリアシ</t>
    </rPh>
    <rPh sb="6" eb="8">
      <t>ジョウホウ</t>
    </rPh>
    <rPh sb="10" eb="11">
      <t>スベ</t>
    </rPh>
    <rPh sb="17" eb="18">
      <t>オ</t>
    </rPh>
    <rPh sb="19" eb="20">
      <t>コ</t>
    </rPh>
    <phoneticPr fontId="2"/>
  </si>
  <si>
    <t>脚の攻防を主体とし、片足立ちで膝受から蹴返す波返しの技法</t>
    <rPh sb="0" eb="1">
      <t>アシ</t>
    </rPh>
    <rPh sb="2" eb="4">
      <t>コウボウ</t>
    </rPh>
    <rPh sb="5" eb="7">
      <t>シュタイ</t>
    </rPh>
    <rPh sb="10" eb="12">
      <t>カタアシ</t>
    </rPh>
    <rPh sb="12" eb="13">
      <t>タ</t>
    </rPh>
    <rPh sb="15" eb="17">
      <t>ヒザウケ</t>
    </rPh>
    <rPh sb="19" eb="20">
      <t>ケ</t>
    </rPh>
    <rPh sb="20" eb="21">
      <t>カエ</t>
    </rPh>
    <rPh sb="22" eb="24">
      <t>ナミカエ</t>
    </rPh>
    <rPh sb="26" eb="28">
      <t>ギホウ</t>
    </rPh>
    <phoneticPr fontId="2"/>
  </si>
  <si>
    <t>金的膝蹴受波返</t>
    <rPh sb="0" eb="2">
      <t>キンテキ</t>
    </rPh>
    <rPh sb="2" eb="3">
      <t>ヒザ</t>
    </rPh>
    <rPh sb="3" eb="4">
      <t>ケ</t>
    </rPh>
    <rPh sb="4" eb="5">
      <t>ウ</t>
    </rPh>
    <rPh sb="5" eb="7">
      <t>ナミカエ</t>
    </rPh>
    <phoneticPr fontId="2"/>
  </si>
  <si>
    <t>逆蹴膝受波返</t>
    <rPh sb="0" eb="2">
      <t>ギャクケ</t>
    </rPh>
    <rPh sb="2" eb="3">
      <t>ヒザ</t>
    </rPh>
    <rPh sb="3" eb="4">
      <t>ウケ</t>
    </rPh>
    <rPh sb="4" eb="6">
      <t>ナミカエ</t>
    </rPh>
    <phoneticPr fontId="2"/>
  </si>
  <si>
    <t>廻蹴三防受波返</t>
    <rPh sb="0" eb="1">
      <t>マワ</t>
    </rPh>
    <rPh sb="1" eb="2">
      <t>ケ</t>
    </rPh>
    <rPh sb="2" eb="3">
      <t>サン</t>
    </rPh>
    <rPh sb="3" eb="4">
      <t>ボウ</t>
    </rPh>
    <rPh sb="4" eb="5">
      <t>ウケ</t>
    </rPh>
    <rPh sb="5" eb="6">
      <t>ナミ</t>
    </rPh>
    <rPh sb="6" eb="7">
      <t>ヘン</t>
    </rPh>
    <phoneticPr fontId="2"/>
  </si>
  <si>
    <t>順金的蹴</t>
    <rPh sb="0" eb="1">
      <t>ジュン</t>
    </rPh>
    <rPh sb="1" eb="3">
      <t>キンテキ</t>
    </rPh>
    <rPh sb="3" eb="4">
      <t>ケ</t>
    </rPh>
    <phoneticPr fontId="2"/>
  </si>
  <si>
    <t>中段逆蹴</t>
    <rPh sb="0" eb="2">
      <t>チュウダン</t>
    </rPh>
    <rPh sb="2" eb="4">
      <t>ギャクケ</t>
    </rPh>
    <phoneticPr fontId="2"/>
  </si>
  <si>
    <t>順上段廻蹴</t>
    <rPh sb="0" eb="1">
      <t>ジュン</t>
    </rPh>
    <rPh sb="1" eb="3">
      <t>ジョウダン</t>
    </rPh>
    <rPh sb="3" eb="4">
      <t>マワ</t>
    </rPh>
    <rPh sb="4" eb="5">
      <t>ケ</t>
    </rPh>
    <phoneticPr fontId="2"/>
  </si>
  <si>
    <t>膝受・金的返</t>
    <rPh sb="0" eb="2">
      <t>ヒザウケ</t>
    </rPh>
    <rPh sb="3" eb="5">
      <t>キンテキ</t>
    </rPh>
    <rPh sb="5" eb="6">
      <t>カエ</t>
    </rPh>
    <phoneticPr fontId="2"/>
  </si>
  <si>
    <t>膝受・下十字受（握拳）・金的返</t>
    <rPh sb="0" eb="2">
      <t>ヒザウケ</t>
    </rPh>
    <rPh sb="3" eb="4">
      <t>シタ</t>
    </rPh>
    <rPh sb="4" eb="6">
      <t>ジュウジ</t>
    </rPh>
    <rPh sb="6" eb="7">
      <t>ウ</t>
    </rPh>
    <rPh sb="8" eb="9">
      <t>アク</t>
    </rPh>
    <rPh sb="9" eb="10">
      <t>ケン</t>
    </rPh>
    <rPh sb="12" eb="14">
      <t>キンテキ</t>
    </rPh>
    <rPh sb="14" eb="15">
      <t>カエ</t>
    </rPh>
    <phoneticPr fontId="2"/>
  </si>
  <si>
    <t>三防受・中段順蹴</t>
    <rPh sb="0" eb="3">
      <t>サンボウウケ</t>
    </rPh>
    <rPh sb="4" eb="6">
      <t>チュウダン</t>
    </rPh>
    <rPh sb="6" eb="8">
      <t>ジュンケ</t>
    </rPh>
    <phoneticPr fontId="2"/>
  </si>
  <si>
    <t>守者：膝受時、彼の脹脛を蹴り上げる</t>
    <rPh sb="0" eb="2">
      <t>シュシャ</t>
    </rPh>
    <rPh sb="3" eb="5">
      <t>ヒザウケ</t>
    </rPh>
    <rPh sb="5" eb="6">
      <t>ジ</t>
    </rPh>
    <rPh sb="7" eb="8">
      <t>カレ</t>
    </rPh>
    <rPh sb="9" eb="10">
      <t>チョウ</t>
    </rPh>
    <rPh sb="10" eb="11">
      <t>ケイ</t>
    </rPh>
    <rPh sb="12" eb="13">
      <t>ケ</t>
    </rPh>
    <rPh sb="14" eb="15">
      <t>ア</t>
    </rPh>
    <phoneticPr fontId="2"/>
  </si>
  <si>
    <t>守者：通常握拳で十字受</t>
    <rPh sb="0" eb="2">
      <t>シュシャ</t>
    </rPh>
    <rPh sb="3" eb="5">
      <t>ツウジョウ</t>
    </rPh>
    <rPh sb="5" eb="6">
      <t>アク</t>
    </rPh>
    <rPh sb="6" eb="7">
      <t>ケン</t>
    </rPh>
    <rPh sb="8" eb="10">
      <t>ジュウジ</t>
    </rPh>
    <rPh sb="10" eb="11">
      <t>ウ</t>
    </rPh>
    <phoneticPr fontId="2"/>
  </si>
  <si>
    <t>天王拳の手より始まる連攻に対し、地王拳は足より始まる連攻防である（左右二法）</t>
    <rPh sb="0" eb="3">
      <t>テンオウケン</t>
    </rPh>
    <rPh sb="4" eb="5">
      <t>テ</t>
    </rPh>
    <rPh sb="7" eb="8">
      <t>ハジ</t>
    </rPh>
    <rPh sb="10" eb="12">
      <t>レンコウ</t>
    </rPh>
    <rPh sb="13" eb="14">
      <t>タイ</t>
    </rPh>
    <rPh sb="16" eb="19">
      <t>チオウケン</t>
    </rPh>
    <rPh sb="20" eb="21">
      <t>アシ</t>
    </rPh>
    <rPh sb="23" eb="24">
      <t>ハジ</t>
    </rPh>
    <rPh sb="26" eb="29">
      <t>レンコウボウ</t>
    </rPh>
    <rPh sb="33" eb="35">
      <t>サユウ</t>
    </rPh>
    <rPh sb="35" eb="36">
      <t>ニ</t>
    </rPh>
    <rPh sb="36" eb="37">
      <t>ホウ</t>
    </rPh>
    <phoneticPr fontId="2"/>
  </si>
  <si>
    <t>順蹴地一</t>
    <rPh sb="0" eb="2">
      <t>ジュンケ</t>
    </rPh>
    <rPh sb="2" eb="3">
      <t>チ</t>
    </rPh>
    <rPh sb="3" eb="4">
      <t>イチ</t>
    </rPh>
    <phoneticPr fontId="2"/>
  </si>
  <si>
    <t>逆蹴地一</t>
    <rPh sb="0" eb="2">
      <t>ギャクケ</t>
    </rPh>
    <rPh sb="2" eb="3">
      <t>チ</t>
    </rPh>
    <rPh sb="3" eb="4">
      <t>イチ</t>
    </rPh>
    <phoneticPr fontId="2"/>
  </si>
  <si>
    <t>差込・右手蛇突・右足金的蹴</t>
    <rPh sb="0" eb="2">
      <t>サシコミ</t>
    </rPh>
    <rPh sb="3" eb="5">
      <t>ミギテ</t>
    </rPh>
    <rPh sb="5" eb="6">
      <t>ジャ</t>
    </rPh>
    <rPh sb="6" eb="7">
      <t>ツ</t>
    </rPh>
    <rPh sb="8" eb="10">
      <t>ミギアシ</t>
    </rPh>
    <rPh sb="10" eb="12">
      <t>キンテキ</t>
    </rPh>
    <rPh sb="12" eb="13">
      <t>ケ</t>
    </rPh>
    <phoneticPr fontId="2"/>
  </si>
  <si>
    <t>差込・左手蛇突・右足金的蹴</t>
    <rPh sb="0" eb="2">
      <t>サシコミ</t>
    </rPh>
    <rPh sb="3" eb="5">
      <t>ヒダリテ</t>
    </rPh>
    <rPh sb="5" eb="6">
      <t>ジャ</t>
    </rPh>
    <rPh sb="6" eb="7">
      <t>ツ</t>
    </rPh>
    <rPh sb="8" eb="10">
      <t>ミギアシ</t>
    </rPh>
    <rPh sb="10" eb="12">
      <t>キンテキ</t>
    </rPh>
    <rPh sb="12" eb="13">
      <t>ケ</t>
    </rPh>
    <phoneticPr fontId="2"/>
  </si>
  <si>
    <t>右足少し引き足、後屈立・右手で蛇突を受け・上体を後ろにそらし・左裏拳受（金的守る）・右足金的蹴返・右拳上段・左拳中段</t>
    <rPh sb="0" eb="2">
      <t>ミギアシ</t>
    </rPh>
    <rPh sb="2" eb="3">
      <t>スコ</t>
    </rPh>
    <rPh sb="4" eb="5">
      <t>ヒ</t>
    </rPh>
    <rPh sb="6" eb="7">
      <t>アシ</t>
    </rPh>
    <rPh sb="8" eb="10">
      <t>コウクツ</t>
    </rPh>
    <rPh sb="10" eb="11">
      <t>タ</t>
    </rPh>
    <rPh sb="12" eb="14">
      <t>ミギテ</t>
    </rPh>
    <rPh sb="15" eb="16">
      <t>ジャ</t>
    </rPh>
    <rPh sb="16" eb="17">
      <t>ツ</t>
    </rPh>
    <rPh sb="18" eb="19">
      <t>ウ</t>
    </rPh>
    <rPh sb="21" eb="23">
      <t>ジョウタイ</t>
    </rPh>
    <rPh sb="24" eb="25">
      <t>ウシ</t>
    </rPh>
    <rPh sb="31" eb="32">
      <t>ヒダリ</t>
    </rPh>
    <rPh sb="32" eb="33">
      <t>ウラ</t>
    </rPh>
    <rPh sb="33" eb="34">
      <t>ケン</t>
    </rPh>
    <rPh sb="34" eb="35">
      <t>ウ</t>
    </rPh>
    <rPh sb="36" eb="38">
      <t>キンテキ</t>
    </rPh>
    <rPh sb="38" eb="39">
      <t>マモ</t>
    </rPh>
    <rPh sb="42" eb="44">
      <t>ミギアシ</t>
    </rPh>
    <rPh sb="44" eb="46">
      <t>キンテキ</t>
    </rPh>
    <rPh sb="46" eb="47">
      <t>ケ</t>
    </rPh>
    <rPh sb="47" eb="48">
      <t>カエ</t>
    </rPh>
    <rPh sb="49" eb="51">
      <t>ミギケン</t>
    </rPh>
    <rPh sb="51" eb="53">
      <t>ジョウダン</t>
    </rPh>
    <rPh sb="54" eb="55">
      <t>ヒダリ</t>
    </rPh>
    <rPh sb="55" eb="56">
      <t>ケン</t>
    </rPh>
    <rPh sb="56" eb="58">
      <t>チュウダン</t>
    </rPh>
    <phoneticPr fontId="2"/>
  </si>
  <si>
    <t>攻者：蛇突は相手の目をけん制、目的は金的蹴</t>
    <rPh sb="0" eb="2">
      <t>コウシャ</t>
    </rPh>
    <rPh sb="3" eb="4">
      <t>ジャ</t>
    </rPh>
    <rPh sb="4" eb="5">
      <t>ツ</t>
    </rPh>
    <rPh sb="6" eb="8">
      <t>アイテ</t>
    </rPh>
    <rPh sb="9" eb="10">
      <t>メ</t>
    </rPh>
    <rPh sb="13" eb="14">
      <t>セイ</t>
    </rPh>
    <rPh sb="15" eb="17">
      <t>モクテキ</t>
    </rPh>
    <rPh sb="18" eb="20">
      <t>キンテキ</t>
    </rPh>
    <rPh sb="20" eb="21">
      <t>ケ</t>
    </rPh>
    <phoneticPr fontId="2"/>
  </si>
  <si>
    <t>内押受突</t>
    <rPh sb="0" eb="1">
      <t>ウチ</t>
    </rPh>
    <rPh sb="1" eb="2">
      <t>オ</t>
    </rPh>
    <rPh sb="2" eb="3">
      <t>ウ</t>
    </rPh>
    <rPh sb="3" eb="4">
      <t>ツ</t>
    </rPh>
    <phoneticPr fontId="2"/>
  </si>
  <si>
    <t>内受突（裏）</t>
    <rPh sb="0" eb="2">
      <t>ウチウ</t>
    </rPh>
    <rPh sb="2" eb="3">
      <t>ツ</t>
    </rPh>
    <rPh sb="4" eb="5">
      <t>ウラ</t>
    </rPh>
    <phoneticPr fontId="2"/>
  </si>
  <si>
    <t>外受段突</t>
    <rPh sb="0" eb="1">
      <t>ソト</t>
    </rPh>
    <rPh sb="1" eb="2">
      <t>ウケ</t>
    </rPh>
    <rPh sb="2" eb="3">
      <t>ダン</t>
    </rPh>
    <rPh sb="3" eb="4">
      <t>ツ</t>
    </rPh>
    <phoneticPr fontId="2"/>
  </si>
  <si>
    <t>払受段突</t>
    <rPh sb="0" eb="1">
      <t>ハラ</t>
    </rPh>
    <rPh sb="1" eb="2">
      <t>ウケ</t>
    </rPh>
    <rPh sb="2" eb="3">
      <t>ダン</t>
    </rPh>
    <rPh sb="3" eb="4">
      <t>ツ</t>
    </rPh>
    <phoneticPr fontId="2"/>
  </si>
  <si>
    <t>順蹴地三</t>
    <rPh sb="0" eb="2">
      <t>ジュンケ</t>
    </rPh>
    <rPh sb="2" eb="3">
      <t>チ</t>
    </rPh>
    <rPh sb="3" eb="4">
      <t>サン</t>
    </rPh>
    <phoneticPr fontId="2"/>
  </si>
  <si>
    <t>払受地二</t>
    <rPh sb="0" eb="1">
      <t>ハラ</t>
    </rPh>
    <rPh sb="1" eb="2">
      <t>ウ</t>
    </rPh>
    <rPh sb="2" eb="4">
      <t>チニ</t>
    </rPh>
    <phoneticPr fontId="2"/>
  </si>
  <si>
    <t>右前千鳥・右手内受（そのまま頭を守る）・中段逆突</t>
    <rPh sb="0" eb="1">
      <t>ミギ</t>
    </rPh>
    <rPh sb="1" eb="2">
      <t>マエ</t>
    </rPh>
    <rPh sb="2" eb="4">
      <t>チドリ</t>
    </rPh>
    <rPh sb="5" eb="7">
      <t>ミギテ</t>
    </rPh>
    <rPh sb="7" eb="9">
      <t>ウチウ</t>
    </rPh>
    <rPh sb="14" eb="15">
      <t>アタマ</t>
    </rPh>
    <rPh sb="16" eb="17">
      <t>マモ</t>
    </rPh>
    <rPh sb="20" eb="22">
      <t>チュウダン</t>
    </rPh>
    <rPh sb="22" eb="23">
      <t>ギャク</t>
    </rPh>
    <rPh sb="23" eb="24">
      <t>トツ</t>
    </rPh>
    <phoneticPr fontId="2"/>
  </si>
  <si>
    <t>守者：前の手の外腕刀で内受け</t>
    <rPh sb="0" eb="2">
      <t>シュシャ</t>
    </rPh>
    <rPh sb="3" eb="4">
      <t>マエ</t>
    </rPh>
    <rPh sb="5" eb="6">
      <t>テ</t>
    </rPh>
    <rPh sb="7" eb="10">
      <t>ガイワントウ</t>
    </rPh>
    <rPh sb="11" eb="13">
      <t>ウチウ</t>
    </rPh>
    <phoneticPr fontId="2"/>
  </si>
  <si>
    <t>内押受（肩を回しながら）・左手中段・右手熊手・左手で手払</t>
    <rPh sb="0" eb="3">
      <t>ウチオシウ</t>
    </rPh>
    <rPh sb="4" eb="6">
      <t>ジュンケ</t>
    </rPh>
    <rPh sb="6" eb="8">
      <t>ソクトウ</t>
    </rPh>
    <rPh sb="13" eb="15">
      <t>ヒダリテ</t>
    </rPh>
    <rPh sb="15" eb="17">
      <t>チュウダンフミコミ</t>
    </rPh>
    <rPh sb="18" eb="19">
      <t>ミギ</t>
    </rPh>
    <rPh sb="23" eb="24">
      <t>ヒダリ</t>
    </rPh>
    <phoneticPr fontId="2"/>
  </si>
  <si>
    <t>開身・右手半月受・右足逆蹴</t>
    <rPh sb="0" eb="2">
      <t>カイシン</t>
    </rPh>
    <rPh sb="3" eb="4">
      <t>ミギ</t>
    </rPh>
    <rPh sb="4" eb="5">
      <t>テ</t>
    </rPh>
    <rPh sb="5" eb="7">
      <t>ハンゲツ</t>
    </rPh>
    <rPh sb="7" eb="8">
      <t>ウ</t>
    </rPh>
    <rPh sb="9" eb="10">
      <t>ミギ</t>
    </rPh>
    <rPh sb="10" eb="11">
      <t>アシ</t>
    </rPh>
    <rPh sb="11" eb="12">
      <t>ギャク</t>
    </rPh>
    <rPh sb="12" eb="13">
      <t>シュウ</t>
    </rPh>
    <phoneticPr fontId="2"/>
  </si>
  <si>
    <t>守者：体を開いて半月受</t>
    <rPh sb="0" eb="2">
      <t>シュシャ</t>
    </rPh>
    <rPh sb="3" eb="4">
      <t>カラダ</t>
    </rPh>
    <rPh sb="5" eb="6">
      <t>ヒラ</t>
    </rPh>
    <rPh sb="8" eb="11">
      <t>ハンゲツウケ</t>
    </rPh>
    <phoneticPr fontId="2"/>
  </si>
  <si>
    <t>左前千鳥・右外受し、直ちに右拳中段突</t>
    <rPh sb="0" eb="1">
      <t>ヒダリ</t>
    </rPh>
    <rPh sb="1" eb="2">
      <t>マエ</t>
    </rPh>
    <rPh sb="2" eb="4">
      <t>チドリ</t>
    </rPh>
    <rPh sb="5" eb="6">
      <t>ミギ</t>
    </rPh>
    <rPh sb="6" eb="8">
      <t>ソトウ</t>
    </rPh>
    <rPh sb="10" eb="11">
      <t>タダ</t>
    </rPh>
    <rPh sb="13" eb="15">
      <t>ミギケン</t>
    </rPh>
    <rPh sb="15" eb="17">
      <t>チュウダン</t>
    </rPh>
    <rPh sb="17" eb="18">
      <t>ツ</t>
    </rPh>
    <phoneticPr fontId="2"/>
  </si>
  <si>
    <t>守者：外受コンパクトに、受けた後直ちに引き付ける</t>
    <rPh sb="0" eb="2">
      <t>シュシャ</t>
    </rPh>
    <rPh sb="3" eb="5">
      <t>ソトウ</t>
    </rPh>
    <rPh sb="12" eb="13">
      <t>ウ</t>
    </rPh>
    <rPh sb="15" eb="16">
      <t>ノチ</t>
    </rPh>
    <rPh sb="16" eb="17">
      <t>タダ</t>
    </rPh>
    <rPh sb="19" eb="20">
      <t>ヒ</t>
    </rPh>
    <rPh sb="21" eb="22">
      <t>ツ</t>
    </rPh>
    <phoneticPr fontId="2"/>
  </si>
  <si>
    <t>右拳握拳打上受し、直ちに右拳中段突</t>
    <rPh sb="0" eb="1">
      <t>ミギ</t>
    </rPh>
    <rPh sb="1" eb="2">
      <t>ケン</t>
    </rPh>
    <rPh sb="2" eb="3">
      <t>アク</t>
    </rPh>
    <rPh sb="3" eb="4">
      <t>ケン</t>
    </rPh>
    <rPh sb="4" eb="6">
      <t>ウチアゲ</t>
    </rPh>
    <rPh sb="6" eb="7">
      <t>ウ</t>
    </rPh>
    <rPh sb="9" eb="10">
      <t>タダ</t>
    </rPh>
    <rPh sb="12" eb="13">
      <t>ミギ</t>
    </rPh>
    <rPh sb="13" eb="14">
      <t>ケン</t>
    </rPh>
    <rPh sb="14" eb="16">
      <t>チュウダン</t>
    </rPh>
    <rPh sb="16" eb="17">
      <t>トツ</t>
    </rPh>
    <phoneticPr fontId="2"/>
  </si>
  <si>
    <t>守者：打上受は強く打上、受けた後直ちに中段突き</t>
    <rPh sb="0" eb="2">
      <t>シュシャ</t>
    </rPh>
    <rPh sb="3" eb="6">
      <t>ウチアゲウ</t>
    </rPh>
    <rPh sb="7" eb="8">
      <t>ツヨ</t>
    </rPh>
    <rPh sb="9" eb="11">
      <t>ウチアゲ</t>
    </rPh>
    <rPh sb="12" eb="13">
      <t>ウ</t>
    </rPh>
    <rPh sb="15" eb="16">
      <t>ノチ</t>
    </rPh>
    <rPh sb="16" eb="17">
      <t>タダ</t>
    </rPh>
    <rPh sb="19" eb="21">
      <t>チュウダン</t>
    </rPh>
    <rPh sb="21" eb="22">
      <t>ツ</t>
    </rPh>
    <phoneticPr fontId="2"/>
  </si>
  <si>
    <t>中段逆突</t>
    <rPh sb="0" eb="2">
      <t>チュウダン</t>
    </rPh>
    <rPh sb="2" eb="3">
      <t>ギャク</t>
    </rPh>
    <rPh sb="3" eb="4">
      <t>ツ</t>
    </rPh>
    <phoneticPr fontId="2"/>
  </si>
  <si>
    <t>左足左横に出し、左下受・右拳上段突</t>
    <rPh sb="0" eb="1">
      <t>ヒダリ</t>
    </rPh>
    <rPh sb="1" eb="2">
      <t>アシ</t>
    </rPh>
    <rPh sb="2" eb="3">
      <t>ヒダリ</t>
    </rPh>
    <rPh sb="3" eb="4">
      <t>ヨコ</t>
    </rPh>
    <rPh sb="5" eb="6">
      <t>ダ</t>
    </rPh>
    <rPh sb="8" eb="9">
      <t>ヒダリ</t>
    </rPh>
    <rPh sb="9" eb="11">
      <t>シタウケ</t>
    </rPh>
    <rPh sb="12" eb="14">
      <t>ミギケン</t>
    </rPh>
    <rPh sb="14" eb="16">
      <t>ジョウダン</t>
    </rPh>
    <rPh sb="16" eb="17">
      <t>ツ</t>
    </rPh>
    <phoneticPr fontId="2"/>
  </si>
  <si>
    <t>左足左横に出し、左下受し、直ちに左拳上段裏拳突</t>
    <rPh sb="0" eb="1">
      <t>ヒダリ</t>
    </rPh>
    <rPh sb="1" eb="2">
      <t>アシ</t>
    </rPh>
    <rPh sb="2" eb="3">
      <t>ヒダリ</t>
    </rPh>
    <rPh sb="3" eb="4">
      <t>ヨコ</t>
    </rPh>
    <rPh sb="5" eb="6">
      <t>ダ</t>
    </rPh>
    <rPh sb="8" eb="9">
      <t>ヒダリ</t>
    </rPh>
    <rPh sb="9" eb="11">
      <t>シタウケ</t>
    </rPh>
    <rPh sb="13" eb="14">
      <t>タダ</t>
    </rPh>
    <rPh sb="16" eb="17">
      <t>ヒダリ</t>
    </rPh>
    <rPh sb="17" eb="18">
      <t>ケン</t>
    </rPh>
    <rPh sb="18" eb="20">
      <t>ジョウダン</t>
    </rPh>
    <rPh sb="20" eb="22">
      <t>ウラケン</t>
    </rPh>
    <rPh sb="22" eb="23">
      <t>ツ</t>
    </rPh>
    <phoneticPr fontId="2"/>
  </si>
  <si>
    <t>守者：受けた後、上体の重心を前移動させながら裏拳打込</t>
    <rPh sb="0" eb="2">
      <t>シュシャ</t>
    </rPh>
    <rPh sb="3" eb="4">
      <t>ウ</t>
    </rPh>
    <rPh sb="6" eb="7">
      <t>ノチ</t>
    </rPh>
    <rPh sb="8" eb="10">
      <t>ジョウタイ</t>
    </rPh>
    <rPh sb="11" eb="13">
      <t>ジュウシン</t>
    </rPh>
    <rPh sb="14" eb="17">
      <t>マエイドウ</t>
    </rPh>
    <rPh sb="22" eb="24">
      <t>ウラケン</t>
    </rPh>
    <rPh sb="24" eb="26">
      <t>ウチコ</t>
    </rPh>
    <phoneticPr fontId="2"/>
  </si>
  <si>
    <t>左足を右足前に引きつつ体捻しながら右手下受・右足直蹴</t>
    <rPh sb="0" eb="1">
      <t>ヒダリ</t>
    </rPh>
    <rPh sb="1" eb="2">
      <t>アシ</t>
    </rPh>
    <rPh sb="3" eb="4">
      <t>ミギ</t>
    </rPh>
    <rPh sb="4" eb="5">
      <t>アシ</t>
    </rPh>
    <rPh sb="5" eb="6">
      <t>マエ</t>
    </rPh>
    <rPh sb="7" eb="8">
      <t>ヒ</t>
    </rPh>
    <rPh sb="11" eb="13">
      <t>タイネン</t>
    </rPh>
    <rPh sb="17" eb="19">
      <t>ミギテ</t>
    </rPh>
    <rPh sb="19" eb="21">
      <t>シタウケ</t>
    </rPh>
    <rPh sb="22" eb="24">
      <t>ミギアシ</t>
    </rPh>
    <rPh sb="24" eb="26">
      <t>チョクケ</t>
    </rPh>
    <phoneticPr fontId="2"/>
  </si>
  <si>
    <t>守者：やや半身（中段攻撃を誘う）　下受と同時に、上段を警戒し左拳外受</t>
    <rPh sb="0" eb="2">
      <t>シュシャ</t>
    </rPh>
    <rPh sb="5" eb="7">
      <t>ハンミ</t>
    </rPh>
    <rPh sb="8" eb="10">
      <t>チュウダン</t>
    </rPh>
    <rPh sb="10" eb="12">
      <t>コウゲキ</t>
    </rPh>
    <rPh sb="13" eb="14">
      <t>サソ</t>
    </rPh>
    <rPh sb="17" eb="19">
      <t>シタウケ</t>
    </rPh>
    <rPh sb="20" eb="22">
      <t>ドウジ</t>
    </rPh>
    <rPh sb="24" eb="26">
      <t>ジョウダン</t>
    </rPh>
    <rPh sb="27" eb="29">
      <t>ケイカイ</t>
    </rPh>
    <rPh sb="30" eb="31">
      <t>ヒダリ</t>
    </rPh>
    <rPh sb="31" eb="32">
      <t>ケン</t>
    </rPh>
    <rPh sb="32" eb="34">
      <t>ソトウケ</t>
    </rPh>
    <phoneticPr fontId="2"/>
  </si>
  <si>
    <t>左足左横に出し、右拳打払受し、直ちに右足踏み込みながら右拳上段裏拳突・左中段逆突</t>
    <rPh sb="0" eb="1">
      <t>ヒダリ</t>
    </rPh>
    <rPh sb="1" eb="2">
      <t>アシ</t>
    </rPh>
    <rPh sb="2" eb="3">
      <t>ヒダリ</t>
    </rPh>
    <rPh sb="3" eb="4">
      <t>ヨコ</t>
    </rPh>
    <rPh sb="5" eb="6">
      <t>ダ</t>
    </rPh>
    <rPh sb="8" eb="9">
      <t>ミギ</t>
    </rPh>
    <rPh sb="9" eb="10">
      <t>ケン</t>
    </rPh>
    <rPh sb="10" eb="12">
      <t>ウチハラ</t>
    </rPh>
    <rPh sb="15" eb="16">
      <t>タダ</t>
    </rPh>
    <rPh sb="28" eb="29">
      <t>ケン</t>
    </rPh>
    <rPh sb="29" eb="31">
      <t>ジョウダン</t>
    </rPh>
    <rPh sb="31" eb="33">
      <t>ウラケン</t>
    </rPh>
    <rPh sb="33" eb="34">
      <t>ツ</t>
    </rPh>
    <rPh sb="35" eb="36">
      <t>ヒダリ</t>
    </rPh>
    <rPh sb="36" eb="38">
      <t>チュウダン</t>
    </rPh>
    <rPh sb="38" eb="39">
      <t>ギャク</t>
    </rPh>
    <rPh sb="39" eb="40">
      <t>ツ</t>
    </rPh>
    <phoneticPr fontId="2"/>
  </si>
  <si>
    <t>右中段・</t>
    <rPh sb="0" eb="1">
      <t>ミギ</t>
    </rPh>
    <rPh sb="1" eb="3">
      <t>チュウダン</t>
    </rPh>
    <phoneticPr fontId="2"/>
  </si>
  <si>
    <t>左拳上段・右拳中段逆突</t>
    <rPh sb="0" eb="1">
      <t>ヒダリ</t>
    </rPh>
    <rPh sb="1" eb="2">
      <t>ケン</t>
    </rPh>
    <rPh sb="2" eb="4">
      <t>ジョウダン</t>
    </rPh>
    <rPh sb="5" eb="7">
      <t>ミギケン</t>
    </rPh>
    <rPh sb="7" eb="9">
      <t>チュウダン</t>
    </rPh>
    <rPh sb="9" eb="10">
      <t>ギャク</t>
    </rPh>
    <rPh sb="10" eb="11">
      <t>ツ</t>
    </rPh>
    <phoneticPr fontId="2"/>
  </si>
  <si>
    <t>左へ体を躱し乍ら、右手半月受と同時に左手押止め・右手熊手・右足中段逆蹴・脛中を右手手刀で打ち掬投</t>
    <rPh sb="0" eb="1">
      <t>ヒダリ</t>
    </rPh>
    <rPh sb="2" eb="3">
      <t>タイ</t>
    </rPh>
    <rPh sb="4" eb="5">
      <t>カワ</t>
    </rPh>
    <rPh sb="6" eb="7">
      <t>ナガ</t>
    </rPh>
    <rPh sb="9" eb="11">
      <t>ミギテ</t>
    </rPh>
    <rPh sb="11" eb="14">
      <t>ハンゲツウケ</t>
    </rPh>
    <rPh sb="15" eb="17">
      <t>ドウジ</t>
    </rPh>
    <rPh sb="18" eb="20">
      <t>ヒダリテ</t>
    </rPh>
    <rPh sb="20" eb="22">
      <t>オシド</t>
    </rPh>
    <rPh sb="24" eb="26">
      <t>ミギテ</t>
    </rPh>
    <rPh sb="26" eb="28">
      <t>クマデ</t>
    </rPh>
    <rPh sb="29" eb="31">
      <t>ミギアシ</t>
    </rPh>
    <rPh sb="31" eb="33">
      <t>チュウダン</t>
    </rPh>
    <rPh sb="33" eb="34">
      <t>ギャク</t>
    </rPh>
    <rPh sb="34" eb="35">
      <t>ケ</t>
    </rPh>
    <rPh sb="36" eb="37">
      <t>ケイ</t>
    </rPh>
    <rPh sb="37" eb="38">
      <t>チュウ</t>
    </rPh>
    <rPh sb="39" eb="41">
      <t>ミギテ</t>
    </rPh>
    <rPh sb="41" eb="43">
      <t>シュトウ</t>
    </rPh>
    <rPh sb="44" eb="45">
      <t>ウ</t>
    </rPh>
    <rPh sb="46" eb="47">
      <t>スク</t>
    </rPh>
    <rPh sb="47" eb="48">
      <t>ナ</t>
    </rPh>
    <phoneticPr fontId="2"/>
  </si>
  <si>
    <t>攻者：上中二連攻　守者：中段逆突きが入る前に押止め</t>
    <rPh sb="0" eb="2">
      <t>コウシャ</t>
    </rPh>
    <rPh sb="3" eb="4">
      <t>ジョウ</t>
    </rPh>
    <rPh sb="4" eb="5">
      <t>チュウ</t>
    </rPh>
    <rPh sb="5" eb="8">
      <t>ニレンコウ</t>
    </rPh>
    <rPh sb="9" eb="11">
      <t>シュシャ</t>
    </rPh>
    <rPh sb="12" eb="14">
      <t>チュウダン</t>
    </rPh>
    <rPh sb="14" eb="15">
      <t>ギャク</t>
    </rPh>
    <rPh sb="15" eb="16">
      <t>ツ</t>
    </rPh>
    <rPh sb="18" eb="19">
      <t>ハイ</t>
    </rPh>
    <rPh sb="20" eb="21">
      <t>マエ</t>
    </rPh>
    <rPh sb="22" eb="24">
      <t>オシド</t>
    </rPh>
    <phoneticPr fontId="2"/>
  </si>
  <si>
    <t>右拳上段逆突</t>
    <rPh sb="0" eb="2">
      <t>ミギケン</t>
    </rPh>
    <rPh sb="2" eb="4">
      <t>ジョウダン</t>
    </rPh>
    <rPh sb="4" eb="6">
      <t>ギャクヅ</t>
    </rPh>
    <phoneticPr fontId="2"/>
  </si>
  <si>
    <t>左足前千鳥・左拳内受・右平拳横振突・肘から垂直に右拳を抜き右握拳で脛骨へ下振・両手で押倒</t>
    <rPh sb="0" eb="1">
      <t>ヒダリ</t>
    </rPh>
    <rPh sb="1" eb="2">
      <t>アシ</t>
    </rPh>
    <rPh sb="2" eb="3">
      <t>マエ</t>
    </rPh>
    <rPh sb="3" eb="5">
      <t>チドリ</t>
    </rPh>
    <rPh sb="11" eb="12">
      <t>ミギ</t>
    </rPh>
    <rPh sb="12" eb="13">
      <t>ヒラ</t>
    </rPh>
    <rPh sb="13" eb="14">
      <t>ケン</t>
    </rPh>
    <rPh sb="14" eb="15">
      <t>ヨコ</t>
    </rPh>
    <rPh sb="15" eb="16">
      <t>シン</t>
    </rPh>
    <rPh sb="16" eb="17">
      <t>トツ</t>
    </rPh>
    <rPh sb="18" eb="19">
      <t>ヒジ</t>
    </rPh>
    <rPh sb="21" eb="23">
      <t>スイチョク</t>
    </rPh>
    <rPh sb="24" eb="25">
      <t>ミギ</t>
    </rPh>
    <rPh sb="25" eb="26">
      <t>ケン</t>
    </rPh>
    <rPh sb="27" eb="28">
      <t>ヌ</t>
    </rPh>
    <rPh sb="29" eb="30">
      <t>ミギ</t>
    </rPh>
    <rPh sb="30" eb="31">
      <t>アク</t>
    </rPh>
    <rPh sb="31" eb="32">
      <t>ケン</t>
    </rPh>
    <rPh sb="33" eb="35">
      <t>ケイコツ</t>
    </rPh>
    <rPh sb="36" eb="37">
      <t>シタ</t>
    </rPh>
    <rPh sb="37" eb="38">
      <t>シン</t>
    </rPh>
    <rPh sb="39" eb="41">
      <t>リョウテ</t>
    </rPh>
    <rPh sb="42" eb="43">
      <t>オシ</t>
    </rPh>
    <rPh sb="43" eb="44">
      <t>トウ</t>
    </rPh>
    <phoneticPr fontId="2"/>
  </si>
  <si>
    <t>守者：水月に平拳打ち込み後、肘を上げて肘から抜く</t>
    <rPh sb="0" eb="2">
      <t>シュシャ</t>
    </rPh>
    <rPh sb="3" eb="5">
      <t>スイゲツ</t>
    </rPh>
    <rPh sb="6" eb="8">
      <t>ヒラケン</t>
    </rPh>
    <rPh sb="8" eb="9">
      <t>ウ</t>
    </rPh>
    <rPh sb="10" eb="11">
      <t>コ</t>
    </rPh>
    <rPh sb="12" eb="13">
      <t>ゴ</t>
    </rPh>
    <rPh sb="14" eb="15">
      <t>ヒジ</t>
    </rPh>
    <rPh sb="16" eb="17">
      <t>ア</t>
    </rPh>
    <rPh sb="19" eb="20">
      <t>ヒジ</t>
    </rPh>
    <rPh sb="22" eb="23">
      <t>ヌ</t>
    </rPh>
    <phoneticPr fontId="2"/>
  </si>
  <si>
    <t>三日月返刈足</t>
    <rPh sb="0" eb="3">
      <t>ミカヅキ</t>
    </rPh>
    <rPh sb="3" eb="4">
      <t>カエ</t>
    </rPh>
    <rPh sb="4" eb="6">
      <t>カリアシ</t>
    </rPh>
    <phoneticPr fontId="2"/>
  </si>
  <si>
    <t>水月返押倒</t>
    <rPh sb="0" eb="2">
      <t>スイゲツ</t>
    </rPh>
    <rPh sb="2" eb="3">
      <t>カエ</t>
    </rPh>
    <rPh sb="3" eb="5">
      <t>オシタオ</t>
    </rPh>
    <phoneticPr fontId="2"/>
  </si>
  <si>
    <t>左足前千鳥・左拳内受（掛手受で下に落とす）・右平拳上振突・右手で脛中へ手刀打・右足刈足</t>
    <rPh sb="0" eb="1">
      <t>ヒダリ</t>
    </rPh>
    <rPh sb="1" eb="2">
      <t>アシ</t>
    </rPh>
    <rPh sb="2" eb="3">
      <t>マエ</t>
    </rPh>
    <rPh sb="3" eb="5">
      <t>チドリ</t>
    </rPh>
    <rPh sb="11" eb="12">
      <t>カカリ</t>
    </rPh>
    <rPh sb="12" eb="13">
      <t>テ</t>
    </rPh>
    <rPh sb="13" eb="14">
      <t>ウ</t>
    </rPh>
    <rPh sb="15" eb="16">
      <t>シタ</t>
    </rPh>
    <rPh sb="17" eb="18">
      <t>オ</t>
    </rPh>
    <rPh sb="22" eb="23">
      <t>ミギ</t>
    </rPh>
    <rPh sb="23" eb="24">
      <t>ヒラ</t>
    </rPh>
    <rPh sb="24" eb="25">
      <t>ケン</t>
    </rPh>
    <rPh sb="25" eb="26">
      <t>ウワ</t>
    </rPh>
    <rPh sb="26" eb="27">
      <t>シン</t>
    </rPh>
    <rPh sb="27" eb="28">
      <t>トツ</t>
    </rPh>
    <rPh sb="29" eb="30">
      <t>ミギ</t>
    </rPh>
    <rPh sb="30" eb="31">
      <t>テ</t>
    </rPh>
    <rPh sb="32" eb="33">
      <t>ケイ</t>
    </rPh>
    <rPh sb="33" eb="34">
      <t>ナカ</t>
    </rPh>
    <rPh sb="35" eb="37">
      <t>シュトウ</t>
    </rPh>
    <rPh sb="37" eb="38">
      <t>ダ</t>
    </rPh>
    <rPh sb="39" eb="41">
      <t>ミギアシ</t>
    </rPh>
    <rPh sb="41" eb="42">
      <t>カリ</t>
    </rPh>
    <rPh sb="42" eb="43">
      <t>アシ</t>
    </rPh>
    <phoneticPr fontId="2"/>
  </si>
  <si>
    <t>守者：三日月に平拳打ち込むため、内受けした手は下に掛手して落とす</t>
    <rPh sb="0" eb="2">
      <t>シュシャ</t>
    </rPh>
    <rPh sb="3" eb="6">
      <t>ミカヅキ</t>
    </rPh>
    <rPh sb="7" eb="9">
      <t>ヒラケン</t>
    </rPh>
    <rPh sb="9" eb="10">
      <t>ウ</t>
    </rPh>
    <rPh sb="11" eb="12">
      <t>コ</t>
    </rPh>
    <rPh sb="16" eb="18">
      <t>ウチウ</t>
    </rPh>
    <rPh sb="21" eb="22">
      <t>テ</t>
    </rPh>
    <rPh sb="23" eb="24">
      <t>シタ</t>
    </rPh>
    <rPh sb="25" eb="26">
      <t>カ</t>
    </rPh>
    <rPh sb="26" eb="27">
      <t>テ</t>
    </rPh>
    <rPh sb="29" eb="30">
      <t>オ</t>
    </rPh>
    <phoneticPr fontId="2"/>
  </si>
  <si>
    <t>差込右足刀（膝前）</t>
    <rPh sb="0" eb="2">
      <t>サシコミ</t>
    </rPh>
    <rPh sb="2" eb="4">
      <t>ミギアシ</t>
    </rPh>
    <rPh sb="4" eb="5">
      <t>トウ</t>
    </rPh>
    <rPh sb="6" eb="7">
      <t>ヒザ</t>
    </rPh>
    <rPh sb="7" eb="8">
      <t>マエ</t>
    </rPh>
    <phoneticPr fontId="2"/>
  </si>
  <si>
    <t>攻者：守者が待蹴をしようとするのを察して、それを封じるために膝を攻撃する</t>
    <rPh sb="0" eb="2">
      <t>コウシャ</t>
    </rPh>
    <rPh sb="3" eb="5">
      <t>シュシャ</t>
    </rPh>
    <rPh sb="6" eb="7">
      <t>マ</t>
    </rPh>
    <rPh sb="7" eb="8">
      <t>ゲ</t>
    </rPh>
    <rPh sb="17" eb="18">
      <t>サッ</t>
    </rPh>
    <rPh sb="24" eb="25">
      <t>フウ</t>
    </rPh>
    <rPh sb="30" eb="31">
      <t>ヒザ</t>
    </rPh>
    <rPh sb="32" eb="34">
      <t>コウゲキ</t>
    </rPh>
    <phoneticPr fontId="2"/>
  </si>
  <si>
    <t>右足を引いて躱す・右足刀中段蹴</t>
    <rPh sb="0" eb="2">
      <t>ミギアシ</t>
    </rPh>
    <rPh sb="3" eb="4">
      <t>ヒ</t>
    </rPh>
    <rPh sb="6" eb="7">
      <t>カワ</t>
    </rPh>
    <rPh sb="9" eb="10">
      <t>ミギ</t>
    </rPh>
    <rPh sb="10" eb="12">
      <t>ソクトウ</t>
    </rPh>
    <rPh sb="12" eb="14">
      <t>チュウダン</t>
    </rPh>
    <rPh sb="14" eb="15">
      <t>ケ</t>
    </rPh>
    <phoneticPr fontId="2"/>
  </si>
  <si>
    <t>差込右金的蹴、三日月蹴の段蹴</t>
    <rPh sb="0" eb="2">
      <t>サシコミ</t>
    </rPh>
    <rPh sb="2" eb="3">
      <t>ミギ</t>
    </rPh>
    <rPh sb="3" eb="5">
      <t>キンテキ</t>
    </rPh>
    <rPh sb="5" eb="6">
      <t>ケ</t>
    </rPh>
    <rPh sb="7" eb="10">
      <t>ミカヅキ</t>
    </rPh>
    <rPh sb="10" eb="11">
      <t>ケ</t>
    </rPh>
    <rPh sb="12" eb="14">
      <t>ダンゲ</t>
    </rPh>
    <phoneticPr fontId="2"/>
  </si>
  <si>
    <t>右足膝受、横十字受・右足金的蹴、中段蹴の段蹴</t>
    <rPh sb="0" eb="1">
      <t>ミギ</t>
    </rPh>
    <rPh sb="1" eb="2">
      <t>アシ</t>
    </rPh>
    <rPh sb="2" eb="4">
      <t>ヒザウケ</t>
    </rPh>
    <rPh sb="5" eb="6">
      <t>ヨコ</t>
    </rPh>
    <rPh sb="6" eb="9">
      <t>ジュウジウケ</t>
    </rPh>
    <rPh sb="10" eb="12">
      <t>ミギアシ</t>
    </rPh>
    <rPh sb="12" eb="14">
      <t>キンテキ</t>
    </rPh>
    <rPh sb="14" eb="15">
      <t>ケ</t>
    </rPh>
    <rPh sb="16" eb="18">
      <t>チュウダン</t>
    </rPh>
    <rPh sb="18" eb="19">
      <t>ケ</t>
    </rPh>
    <rPh sb="20" eb="22">
      <t>ダンゲ</t>
    </rPh>
    <phoneticPr fontId="2"/>
  </si>
  <si>
    <t>守者：三防受は広く</t>
    <rPh sb="0" eb="2">
      <t>シュシャ</t>
    </rPh>
    <rPh sb="3" eb="6">
      <t>サンボウウケ</t>
    </rPh>
    <rPh sb="7" eb="8">
      <t>ヒロ</t>
    </rPh>
    <phoneticPr fontId="2"/>
  </si>
  <si>
    <t>守者：三防受と同時に金的蹴、中段蹴り返し</t>
    <rPh sb="0" eb="2">
      <t>シュシャ</t>
    </rPh>
    <rPh sb="3" eb="6">
      <t>サンボウウケ</t>
    </rPh>
    <rPh sb="7" eb="9">
      <t>ドウジ</t>
    </rPh>
    <rPh sb="10" eb="12">
      <t>キンテキ</t>
    </rPh>
    <rPh sb="12" eb="13">
      <t>ケ</t>
    </rPh>
    <rPh sb="14" eb="15">
      <t>チュウ</t>
    </rPh>
    <rPh sb="15" eb="16">
      <t>ダン</t>
    </rPh>
    <rPh sb="16" eb="17">
      <t>ケ</t>
    </rPh>
    <rPh sb="18" eb="19">
      <t>カエ</t>
    </rPh>
    <phoneticPr fontId="2"/>
  </si>
  <si>
    <t>差込・左足刀蹴（廻蹴）・左拳上段・右拳中段逆突</t>
    <rPh sb="0" eb="2">
      <t>サシコミ</t>
    </rPh>
    <rPh sb="3" eb="5">
      <t>ヒダリアシ</t>
    </rPh>
    <rPh sb="5" eb="6">
      <t>トウ</t>
    </rPh>
    <rPh sb="6" eb="7">
      <t>ケ</t>
    </rPh>
    <rPh sb="8" eb="9">
      <t>マワ</t>
    </rPh>
    <rPh sb="9" eb="10">
      <t>ケ</t>
    </rPh>
    <rPh sb="12" eb="13">
      <t>ヒダリ</t>
    </rPh>
    <rPh sb="13" eb="14">
      <t>ケン</t>
    </rPh>
    <rPh sb="14" eb="16">
      <t>ジョウダン</t>
    </rPh>
    <rPh sb="17" eb="19">
      <t>ミギケン</t>
    </rPh>
    <rPh sb="19" eb="21">
      <t>チュウダン</t>
    </rPh>
    <rPh sb="21" eb="22">
      <t>ギャク</t>
    </rPh>
    <rPh sb="22" eb="23">
      <t>ツ</t>
    </rPh>
    <phoneticPr fontId="2"/>
  </si>
  <si>
    <t>右拳打払受・右手上受・左手下受、右手内受の同時受・右足順蹴</t>
    <rPh sb="0" eb="2">
      <t>ミギケン</t>
    </rPh>
    <rPh sb="2" eb="4">
      <t>ウチハラ</t>
    </rPh>
    <rPh sb="4" eb="5">
      <t>ウ</t>
    </rPh>
    <rPh sb="6" eb="8">
      <t>ミギテ</t>
    </rPh>
    <rPh sb="8" eb="10">
      <t>ウワウケ</t>
    </rPh>
    <rPh sb="11" eb="12">
      <t>ヒダリ</t>
    </rPh>
    <rPh sb="12" eb="13">
      <t>テ</t>
    </rPh>
    <rPh sb="13" eb="15">
      <t>シタウケ</t>
    </rPh>
    <rPh sb="16" eb="18">
      <t>ミギテ</t>
    </rPh>
    <rPh sb="18" eb="20">
      <t>ウチウ</t>
    </rPh>
    <rPh sb="21" eb="23">
      <t>ドウジ</t>
    </rPh>
    <rPh sb="23" eb="24">
      <t>ウ</t>
    </rPh>
    <rPh sb="25" eb="27">
      <t>ミギアシ</t>
    </rPh>
    <phoneticPr fontId="2"/>
  </si>
  <si>
    <t>差込・右足金的蹴・右手手刀・左拳中段逆突</t>
    <rPh sb="0" eb="2">
      <t>サシコミ</t>
    </rPh>
    <rPh sb="3" eb="5">
      <t>ミギアシ</t>
    </rPh>
    <rPh sb="5" eb="7">
      <t>キンテキ</t>
    </rPh>
    <rPh sb="7" eb="8">
      <t>シュウ</t>
    </rPh>
    <rPh sb="9" eb="11">
      <t>ミギテ</t>
    </rPh>
    <rPh sb="11" eb="13">
      <t>シュトウ</t>
    </rPh>
    <rPh sb="14" eb="15">
      <t>ヒダリ</t>
    </rPh>
    <rPh sb="15" eb="16">
      <t>ケン</t>
    </rPh>
    <rPh sb="16" eb="18">
      <t>チュウダン</t>
    </rPh>
    <rPh sb="18" eb="19">
      <t>ギャク</t>
    </rPh>
    <rPh sb="19" eb="20">
      <t>ツ</t>
    </rPh>
    <phoneticPr fontId="2"/>
  </si>
  <si>
    <t>右足少し引き足、後屈立・右手で蛇突を受け・上体を後ろにそらし・左裏拳受（金的守る）・右手外押受・左手下受、右手内受の同時受・右足順蹴</t>
    <rPh sb="0" eb="2">
      <t>ミギアシ</t>
    </rPh>
    <rPh sb="2" eb="3">
      <t>スコ</t>
    </rPh>
    <rPh sb="4" eb="5">
      <t>ヒ</t>
    </rPh>
    <rPh sb="6" eb="7">
      <t>アシ</t>
    </rPh>
    <rPh sb="8" eb="10">
      <t>コウクツ</t>
    </rPh>
    <rPh sb="10" eb="11">
      <t>タ</t>
    </rPh>
    <rPh sb="12" eb="14">
      <t>ミギテ</t>
    </rPh>
    <rPh sb="15" eb="16">
      <t>ジャ</t>
    </rPh>
    <rPh sb="16" eb="17">
      <t>ツ</t>
    </rPh>
    <rPh sb="18" eb="19">
      <t>ウ</t>
    </rPh>
    <rPh sb="21" eb="23">
      <t>ジョウタイ</t>
    </rPh>
    <rPh sb="24" eb="25">
      <t>ウシ</t>
    </rPh>
    <rPh sb="31" eb="32">
      <t>ヒダリ</t>
    </rPh>
    <rPh sb="32" eb="33">
      <t>ウラ</t>
    </rPh>
    <rPh sb="33" eb="34">
      <t>ケン</t>
    </rPh>
    <rPh sb="34" eb="35">
      <t>ウ</t>
    </rPh>
    <rPh sb="36" eb="38">
      <t>キンテキ</t>
    </rPh>
    <rPh sb="38" eb="39">
      <t>マモ</t>
    </rPh>
    <rPh sb="42" eb="44">
      <t>ミギテ</t>
    </rPh>
    <rPh sb="44" eb="45">
      <t>ソト</t>
    </rPh>
    <rPh sb="45" eb="46">
      <t>オシ</t>
    </rPh>
    <rPh sb="46" eb="47">
      <t>ウケ</t>
    </rPh>
    <rPh sb="48" eb="50">
      <t>ヒダリテ</t>
    </rPh>
    <rPh sb="50" eb="51">
      <t>シタ</t>
    </rPh>
    <rPh sb="51" eb="52">
      <t>ウケ</t>
    </rPh>
    <rPh sb="53" eb="55">
      <t>ミギテ</t>
    </rPh>
    <rPh sb="55" eb="56">
      <t>ナイ</t>
    </rPh>
    <rPh sb="56" eb="57">
      <t>ウケ</t>
    </rPh>
    <rPh sb="58" eb="60">
      <t>ドウジ</t>
    </rPh>
    <rPh sb="60" eb="61">
      <t>ウケ</t>
    </rPh>
    <rPh sb="62" eb="64">
      <t>ミギアシ</t>
    </rPh>
    <rPh sb="64" eb="65">
      <t>ジュン</t>
    </rPh>
    <rPh sb="65" eb="66">
      <t>シュウ</t>
    </rPh>
    <phoneticPr fontId="2"/>
  </si>
  <si>
    <t>（開）</t>
    <rPh sb="1" eb="2">
      <t>ヒラキ</t>
    </rPh>
    <phoneticPr fontId="2"/>
  </si>
  <si>
    <t>差込・左足廻蹴・右拳上段逆突</t>
    <rPh sb="0" eb="2">
      <t>サシコミ</t>
    </rPh>
    <rPh sb="3" eb="4">
      <t>ヒダリ</t>
    </rPh>
    <rPh sb="4" eb="5">
      <t>アシ</t>
    </rPh>
    <rPh sb="5" eb="6">
      <t>マワ</t>
    </rPh>
    <rPh sb="6" eb="7">
      <t>ケ</t>
    </rPh>
    <rPh sb="8" eb="10">
      <t>ミギケン</t>
    </rPh>
    <rPh sb="10" eb="12">
      <t>ジョウダン</t>
    </rPh>
    <rPh sb="12" eb="13">
      <t>ギャク</t>
    </rPh>
    <rPh sb="13" eb="14">
      <t>ツ</t>
    </rPh>
    <phoneticPr fontId="2"/>
  </si>
  <si>
    <t>結手構
（右一字・）</t>
    <rPh sb="0" eb="2">
      <t>ケッシュ</t>
    </rPh>
    <rPh sb="2" eb="3">
      <t>カマエ</t>
    </rPh>
    <rPh sb="5" eb="6">
      <t>ミギ</t>
    </rPh>
    <rPh sb="6" eb="8">
      <t>イチジ</t>
    </rPh>
    <phoneticPr fontId="2"/>
  </si>
  <si>
    <t>左足を横に開きながら、右手打払受・体を捻り乍ら左手内受、右拳中段</t>
    <rPh sb="0" eb="1">
      <t>ヒダリ</t>
    </rPh>
    <rPh sb="1" eb="2">
      <t>アシ</t>
    </rPh>
    <rPh sb="3" eb="4">
      <t>ヨコ</t>
    </rPh>
    <rPh sb="5" eb="6">
      <t>ヒラ</t>
    </rPh>
    <rPh sb="11" eb="13">
      <t>ミギテ</t>
    </rPh>
    <rPh sb="13" eb="15">
      <t>ウチハラ</t>
    </rPh>
    <rPh sb="15" eb="16">
      <t>ウケ</t>
    </rPh>
    <rPh sb="17" eb="18">
      <t>カラダ</t>
    </rPh>
    <rPh sb="19" eb="20">
      <t>ヒネ</t>
    </rPh>
    <rPh sb="21" eb="22">
      <t>ナガ</t>
    </rPh>
    <rPh sb="23" eb="25">
      <t>ヒダリテ</t>
    </rPh>
    <rPh sb="25" eb="27">
      <t>ウチウ</t>
    </rPh>
    <rPh sb="28" eb="30">
      <t>ミギケン</t>
    </rPh>
    <rPh sb="30" eb="32">
      <t>チュウダン</t>
    </rPh>
    <phoneticPr fontId="2"/>
  </si>
  <si>
    <t>攻者：廻蹴、上段逆突きの連攻撃　守者：上段への攻撃を上半身を引身で躱し乍ら、中段へ前重心しながら打ち込む</t>
    <rPh sb="0" eb="2">
      <t>コウシャ</t>
    </rPh>
    <rPh sb="3" eb="4">
      <t>マワ</t>
    </rPh>
    <rPh sb="4" eb="5">
      <t>ケ</t>
    </rPh>
    <rPh sb="6" eb="8">
      <t>ジョウダン</t>
    </rPh>
    <rPh sb="8" eb="10">
      <t>ギャクツ</t>
    </rPh>
    <rPh sb="12" eb="15">
      <t>レンコウゲキ</t>
    </rPh>
    <rPh sb="16" eb="18">
      <t>シュシャ</t>
    </rPh>
    <rPh sb="19" eb="21">
      <t>ジョウダン</t>
    </rPh>
    <rPh sb="23" eb="25">
      <t>コウゲキ</t>
    </rPh>
    <rPh sb="26" eb="29">
      <t>ジョウハンシン</t>
    </rPh>
    <rPh sb="30" eb="31">
      <t>ヒ</t>
    </rPh>
    <rPh sb="31" eb="32">
      <t>ミ</t>
    </rPh>
    <rPh sb="33" eb="34">
      <t>カワ</t>
    </rPh>
    <rPh sb="35" eb="36">
      <t>ナガ</t>
    </rPh>
    <rPh sb="38" eb="40">
      <t>チュウダン</t>
    </rPh>
    <rPh sb="41" eb="42">
      <t>マエ</t>
    </rPh>
    <rPh sb="42" eb="44">
      <t>ジュウシン</t>
    </rPh>
    <rPh sb="48" eb="49">
      <t>ウ</t>
    </rPh>
    <rPh sb="50" eb="51">
      <t>コ</t>
    </rPh>
    <phoneticPr fontId="2"/>
  </si>
  <si>
    <t>正座</t>
    <rPh sb="0" eb="2">
      <t>セイザ</t>
    </rPh>
    <phoneticPr fontId="2"/>
  </si>
  <si>
    <t>歩み寄って左足廻蹴・右拳上段逆突</t>
    <rPh sb="0" eb="1">
      <t>アユ</t>
    </rPh>
    <rPh sb="2" eb="3">
      <t>ヨ</t>
    </rPh>
    <rPh sb="5" eb="6">
      <t>ヒダリ</t>
    </rPh>
    <rPh sb="6" eb="7">
      <t>アシ</t>
    </rPh>
    <rPh sb="7" eb="8">
      <t>マワ</t>
    </rPh>
    <rPh sb="8" eb="9">
      <t>ケ</t>
    </rPh>
    <rPh sb="10" eb="12">
      <t>ミギケン</t>
    </rPh>
    <rPh sb="12" eb="14">
      <t>ジョウダン</t>
    </rPh>
    <rPh sb="14" eb="15">
      <t>ギャク</t>
    </rPh>
    <rPh sb="15" eb="16">
      <t>ツ</t>
    </rPh>
    <phoneticPr fontId="2"/>
  </si>
  <si>
    <t>右膝を立てて伏虎構、右手受・体を捻り乍ら左手内受、右拳中段、立ちながら掬投</t>
    <rPh sb="0" eb="1">
      <t>ミギ</t>
    </rPh>
    <rPh sb="1" eb="2">
      <t>ヒザ</t>
    </rPh>
    <rPh sb="3" eb="4">
      <t>タ</t>
    </rPh>
    <rPh sb="6" eb="8">
      <t>フッコ</t>
    </rPh>
    <rPh sb="8" eb="9">
      <t>カマエ</t>
    </rPh>
    <rPh sb="10" eb="12">
      <t>ミギテ</t>
    </rPh>
    <rPh sb="12" eb="13">
      <t>ウケ</t>
    </rPh>
    <rPh sb="30" eb="31">
      <t>タ</t>
    </rPh>
    <rPh sb="35" eb="36">
      <t>スク</t>
    </rPh>
    <rPh sb="36" eb="37">
      <t>ナ</t>
    </rPh>
    <phoneticPr fontId="2"/>
  </si>
  <si>
    <t>攻者：廻蹴が受けられた後、蹴った足を直ぐに下ろし、右拳で相手の顔を直突
守者：上段への攻撃を上半身を引身で躱し乍ら、中段へ前重心しながら打ち込む</t>
    <rPh sb="0" eb="2">
      <t>コウシャ</t>
    </rPh>
    <rPh sb="3" eb="4">
      <t>マワ</t>
    </rPh>
    <rPh sb="4" eb="5">
      <t>ケ</t>
    </rPh>
    <rPh sb="6" eb="7">
      <t>ウ</t>
    </rPh>
    <rPh sb="11" eb="12">
      <t>ノチ</t>
    </rPh>
    <rPh sb="13" eb="14">
      <t>ケ</t>
    </rPh>
    <rPh sb="16" eb="17">
      <t>アシ</t>
    </rPh>
    <rPh sb="18" eb="19">
      <t>ス</t>
    </rPh>
    <rPh sb="21" eb="22">
      <t>オロ</t>
    </rPh>
    <rPh sb="25" eb="27">
      <t>ミギケン</t>
    </rPh>
    <rPh sb="28" eb="30">
      <t>アイテ</t>
    </rPh>
    <rPh sb="31" eb="32">
      <t>カオ</t>
    </rPh>
    <rPh sb="33" eb="35">
      <t>チョクヅ</t>
    </rPh>
    <phoneticPr fontId="2"/>
  </si>
  <si>
    <t>右三枚誘い・左足左横に出し、右手払受・右足直蹴</t>
    <rPh sb="0" eb="1">
      <t>ミギ</t>
    </rPh>
    <rPh sb="1" eb="3">
      <t>サンマイ</t>
    </rPh>
    <rPh sb="3" eb="4">
      <t>サソ</t>
    </rPh>
    <rPh sb="6" eb="8">
      <t>ヒダリアシ</t>
    </rPh>
    <rPh sb="8" eb="9">
      <t>ヒダリ</t>
    </rPh>
    <rPh sb="9" eb="10">
      <t>ヨコ</t>
    </rPh>
    <rPh sb="11" eb="12">
      <t>ダ</t>
    </rPh>
    <rPh sb="14" eb="16">
      <t>ミギテ</t>
    </rPh>
    <rPh sb="16" eb="17">
      <t>ハラ</t>
    </rPh>
    <rPh sb="17" eb="18">
      <t>ウケ</t>
    </rPh>
    <rPh sb="19" eb="21">
      <t>ミギアシ</t>
    </rPh>
    <rPh sb="21" eb="23">
      <t>チョクゲ</t>
    </rPh>
    <phoneticPr fontId="2"/>
  </si>
  <si>
    <t>屈伸・左打上受・攻者懐に入る・屈伸のまま右手中段突・復位しながら右足で回蹴</t>
    <rPh sb="0" eb="2">
      <t>クッシン</t>
    </rPh>
    <rPh sb="3" eb="4">
      <t>ヒダリ</t>
    </rPh>
    <rPh sb="4" eb="6">
      <t>ウチアゲ</t>
    </rPh>
    <rPh sb="6" eb="7">
      <t>ウ</t>
    </rPh>
    <rPh sb="8" eb="9">
      <t>コウ</t>
    </rPh>
    <rPh sb="9" eb="10">
      <t>シャ</t>
    </rPh>
    <rPh sb="10" eb="11">
      <t>フトコロ</t>
    </rPh>
    <rPh sb="12" eb="13">
      <t>ハイ</t>
    </rPh>
    <rPh sb="15" eb="17">
      <t>クッシン</t>
    </rPh>
    <rPh sb="20" eb="22">
      <t>ミギテ</t>
    </rPh>
    <rPh sb="22" eb="24">
      <t>チュウダン</t>
    </rPh>
    <rPh sb="24" eb="25">
      <t>ツ</t>
    </rPh>
    <rPh sb="26" eb="28">
      <t>フクイ</t>
    </rPh>
    <phoneticPr fontId="2"/>
  </si>
  <si>
    <t>守者：下受しながら復位しつつ廻し蹴り</t>
    <rPh sb="0" eb="2">
      <t>シュシャ</t>
    </rPh>
    <rPh sb="3" eb="5">
      <t>シタウケ</t>
    </rPh>
    <rPh sb="9" eb="11">
      <t>フクイ</t>
    </rPh>
    <rPh sb="14" eb="15">
      <t>マワ</t>
    </rPh>
    <rPh sb="16" eb="17">
      <t>ケ</t>
    </rPh>
    <phoneticPr fontId="2"/>
  </si>
  <si>
    <t>/対/</t>
    <rPh sb="1" eb="2">
      <t>タイ</t>
    </rPh>
    <phoneticPr fontId="2"/>
  </si>
  <si>
    <t>／開＼</t>
    <rPh sb="1" eb="2">
      <t>ヒラ</t>
    </rPh>
    <phoneticPr fontId="2"/>
  </si>
  <si>
    <t>⑥</t>
  </si>
  <si>
    <t>④</t>
  </si>
  <si>
    <t>技名</t>
  </si>
  <si>
    <t>階級</t>
  </si>
  <si>
    <t>分類</t>
  </si>
  <si>
    <t>構え</t>
  </si>
  <si>
    <t>攻者構え</t>
  </si>
  <si>
    <t>守者構え</t>
  </si>
  <si>
    <t>攻撃方法</t>
  </si>
  <si>
    <t>守法</t>
  </si>
  <si>
    <t>剛法</t>
    <rPh sb="0" eb="2">
      <t>ゴウホウ</t>
    </rPh>
    <phoneticPr fontId="2"/>
  </si>
  <si>
    <t>流水蹴(後)</t>
  </si>
  <si>
    <t>流水蹴(前)</t>
  </si>
  <si>
    <t>転身蹴</t>
  </si>
  <si>
    <t>内受突(裏)</t>
  </si>
  <si>
    <t>内受突(表)</t>
  </si>
  <si>
    <t>内受蹴(表)</t>
  </si>
  <si>
    <t>内受蹴(裏)</t>
  </si>
  <si>
    <t>上受突(表)</t>
  </si>
  <si>
    <t>上受突(裏)</t>
  </si>
  <si>
    <t>上受蹴(表)</t>
  </si>
  <si>
    <t>上受蹴(裏)</t>
  </si>
  <si>
    <t>外受蹴</t>
  </si>
  <si>
    <t>外受突(表)</t>
  </si>
  <si>
    <t>外受突(裏)</t>
  </si>
  <si>
    <t>外受段突</t>
  </si>
  <si>
    <t>外押受突</t>
  </si>
  <si>
    <t>外押受蹴</t>
  </si>
  <si>
    <t>内押受突</t>
  </si>
  <si>
    <t>内押受蹴</t>
  </si>
  <si>
    <t>打上蹴</t>
  </si>
  <si>
    <t>打上突</t>
  </si>
  <si>
    <t>打上段突</t>
  </si>
  <si>
    <t>開身突(表)</t>
  </si>
  <si>
    <t>開身突(裏)</t>
  </si>
  <si>
    <t>半月蹴</t>
  </si>
  <si>
    <t>下受突</t>
  </si>
  <si>
    <t>下受段突</t>
  </si>
  <si>
    <t>短刀突込下受打落蹴</t>
  </si>
  <si>
    <t>短刀振上流水蹴</t>
  </si>
  <si>
    <t>屈身突</t>
    <rPh sb="0" eb="1">
      <t>クツ</t>
    </rPh>
    <rPh sb="1" eb="2">
      <t>シン</t>
    </rPh>
    <rPh sb="2" eb="3">
      <t>ツ</t>
    </rPh>
    <phoneticPr fontId="2"/>
  </si>
  <si>
    <t>屈身蹴</t>
    <rPh sb="0" eb="1">
      <t>クツ</t>
    </rPh>
    <rPh sb="1" eb="2">
      <t>シン</t>
    </rPh>
    <rPh sb="2" eb="3">
      <t>ケ</t>
    </rPh>
    <phoneticPr fontId="2"/>
  </si>
  <si>
    <t>屈身突蹴</t>
    <rPh sb="0" eb="1">
      <t>クツ</t>
    </rPh>
    <rPh sb="1" eb="2">
      <t>シン</t>
    </rPh>
    <rPh sb="2" eb="3">
      <t>ツ</t>
    </rPh>
    <rPh sb="3" eb="4">
      <t>ケ</t>
    </rPh>
    <phoneticPr fontId="2"/>
  </si>
  <si>
    <t>屈身突</t>
    <rPh sb="1" eb="2">
      <t>シン</t>
    </rPh>
    <phoneticPr fontId="2"/>
  </si>
  <si>
    <t>屈身蹴</t>
    <rPh sb="1" eb="2">
      <t>シン</t>
    </rPh>
    <phoneticPr fontId="2"/>
  </si>
  <si>
    <t>屈身突蹴</t>
    <rPh sb="1" eb="2">
      <t>シン</t>
    </rPh>
    <phoneticPr fontId="2"/>
  </si>
  <si>
    <t>開</t>
  </si>
  <si>
    <t>対</t>
  </si>
  <si>
    <t>左中段</t>
  </si>
  <si>
    <t>左一字</t>
  </si>
  <si>
    <t>右一字</t>
  </si>
  <si>
    <t>右乱</t>
  </si>
  <si>
    <t>左乱</t>
  </si>
  <si>
    <t>左八双</t>
  </si>
  <si>
    <t>右八双</t>
  </si>
  <si>
    <t>左待機</t>
  </si>
  <si>
    <t>右待機</t>
  </si>
  <si>
    <t>右中段</t>
  </si>
  <si>
    <t>結手構（右一字）</t>
  </si>
  <si>
    <t>正座</t>
  </si>
  <si>
    <t>柔法</t>
    <rPh sb="0" eb="1">
      <t>ジュウ</t>
    </rPh>
    <rPh sb="1" eb="2">
      <t>ホウ</t>
    </rPh>
    <phoneticPr fontId="2"/>
  </si>
  <si>
    <t>対</t>
    <phoneticPr fontId="2"/>
  </si>
  <si>
    <t>一</t>
  </si>
  <si>
    <t>中段</t>
    <rPh sb="1" eb="2">
      <t>ダン</t>
    </rPh>
    <phoneticPr fontId="2"/>
  </si>
  <si>
    <t>下段</t>
  </si>
  <si>
    <t>下段</t>
    <rPh sb="0" eb="1">
      <t>シタ</t>
    </rPh>
    <rPh sb="1" eb="2">
      <t>ダン</t>
    </rPh>
    <phoneticPr fontId="2"/>
  </si>
  <si>
    <t>逆下段</t>
    <rPh sb="0" eb="1">
      <t>ギャク</t>
    </rPh>
    <rPh sb="1" eb="2">
      <t>ゲ</t>
    </rPh>
    <rPh sb="2" eb="3">
      <t>ダン</t>
    </rPh>
    <phoneticPr fontId="2"/>
  </si>
  <si>
    <t>開手</t>
  </si>
  <si>
    <t>右前</t>
  </si>
  <si>
    <t>両開</t>
  </si>
  <si>
    <t>開</t>
    <phoneticPr fontId="2"/>
  </si>
  <si>
    <t>下段段</t>
    <rPh sb="2" eb="3">
      <t>ダン</t>
    </rPh>
    <phoneticPr fontId="2"/>
  </si>
  <si>
    <t>逆下段</t>
    <rPh sb="0" eb="1">
      <t>ギャク</t>
    </rPh>
    <rPh sb="1" eb="2">
      <t>シタ</t>
    </rPh>
    <rPh sb="2" eb="3">
      <t>ダン</t>
    </rPh>
    <phoneticPr fontId="2"/>
  </si>
  <si>
    <t>八相</t>
    <rPh sb="1" eb="2">
      <t>ソウ</t>
    </rPh>
    <phoneticPr fontId="2"/>
  </si>
  <si>
    <t>乱</t>
  </si>
  <si>
    <t>後立</t>
  </si>
  <si>
    <t>一字</t>
    <rPh sb="1" eb="2">
      <t>ジ</t>
    </rPh>
    <phoneticPr fontId="2"/>
  </si>
  <si>
    <t>逆下段</t>
    <rPh sb="2" eb="3">
      <t>ダン</t>
    </rPh>
    <phoneticPr fontId="2"/>
  </si>
  <si>
    <t>階級CD</t>
    <rPh sb="0" eb="2">
      <t>カイキュウ</t>
    </rPh>
    <phoneticPr fontId="2"/>
  </si>
  <si>
    <t>ID</t>
    <phoneticPr fontId="2"/>
  </si>
  <si>
    <t>拳系CD</t>
    <phoneticPr fontId="2"/>
  </si>
  <si>
    <t>階級CD</t>
    <phoneticPr fontId="2"/>
  </si>
  <si>
    <t>分類CD</t>
    <phoneticPr fontId="2"/>
  </si>
  <si>
    <t>教範頁</t>
    <rPh sb="0" eb="2">
      <t>キョウハン</t>
    </rPh>
    <rPh sb="2" eb="3">
      <t>ページ</t>
    </rPh>
    <phoneticPr fontId="2"/>
  </si>
  <si>
    <t>読み</t>
    <rPh sb="0" eb="1">
      <t>ヨ</t>
    </rPh>
    <phoneticPr fontId="2"/>
  </si>
  <si>
    <t>りゅうすいげり　うしろ</t>
    <phoneticPr fontId="2"/>
  </si>
  <si>
    <t>りゅうすいげり　まえ</t>
    <phoneticPr fontId="2"/>
  </si>
  <si>
    <t>てんしんげり</t>
    <phoneticPr fontId="2"/>
  </si>
  <si>
    <t>うちうけづき　うら</t>
    <phoneticPr fontId="2"/>
  </si>
  <si>
    <t>うちうけづき　おもて</t>
    <phoneticPr fontId="2"/>
  </si>
  <si>
    <t>うちうけげり　おもて</t>
    <phoneticPr fontId="2"/>
  </si>
  <si>
    <t>うちうけげり　うら</t>
    <phoneticPr fontId="2"/>
  </si>
  <si>
    <t>うわうけづき　おもて</t>
    <phoneticPr fontId="2"/>
  </si>
  <si>
    <t>うわうけづき　うら</t>
    <phoneticPr fontId="2"/>
  </si>
  <si>
    <t>うわうけげり　おもて</t>
    <phoneticPr fontId="2"/>
  </si>
  <si>
    <t>うわうけげり　うら</t>
    <phoneticPr fontId="2"/>
  </si>
  <si>
    <t>そとうけげり</t>
    <phoneticPr fontId="2"/>
  </si>
  <si>
    <t>そとうけづき　おもて</t>
    <phoneticPr fontId="2"/>
  </si>
  <si>
    <t>そとうけづき　うら</t>
    <phoneticPr fontId="2"/>
  </si>
  <si>
    <t>そとうけだんづき</t>
    <phoneticPr fontId="2"/>
  </si>
  <si>
    <t>そとおしうけづき</t>
    <phoneticPr fontId="2"/>
  </si>
  <si>
    <t>そとおしうけげり</t>
    <phoneticPr fontId="2"/>
  </si>
  <si>
    <t>うちおしうけづき</t>
    <phoneticPr fontId="2"/>
  </si>
  <si>
    <t>うちおしうけげり</t>
    <phoneticPr fontId="2"/>
  </si>
  <si>
    <t>うちあげげり</t>
    <phoneticPr fontId="2"/>
  </si>
  <si>
    <t>うちあげづき</t>
    <phoneticPr fontId="2"/>
  </si>
  <si>
    <t>うちあげだんづき</t>
    <phoneticPr fontId="2"/>
  </si>
  <si>
    <t>くっしんづき</t>
    <phoneticPr fontId="2"/>
  </si>
  <si>
    <t>くっしんげり</t>
    <phoneticPr fontId="2"/>
  </si>
  <si>
    <t>くっしんづきげり</t>
    <phoneticPr fontId="2"/>
  </si>
  <si>
    <t>かいしんづき　おもて</t>
    <phoneticPr fontId="2"/>
  </si>
  <si>
    <t>かいしんづき　うら</t>
    <phoneticPr fontId="2"/>
  </si>
  <si>
    <t>はんげつげり</t>
    <phoneticPr fontId="2"/>
  </si>
  <si>
    <t>したうけづき</t>
    <phoneticPr fontId="2"/>
  </si>
  <si>
    <t>したうけだんづき</t>
    <phoneticPr fontId="2"/>
  </si>
  <si>
    <t>たんとうつきこみしたうけうちおとしげり</t>
    <phoneticPr fontId="2"/>
  </si>
  <si>
    <t>たんとうふりあげりゅうすいげり</t>
    <phoneticPr fontId="2"/>
  </si>
  <si>
    <t>したうけげり</t>
    <phoneticPr fontId="2"/>
  </si>
  <si>
    <t>したうけじゅんげり</t>
    <phoneticPr fontId="2"/>
  </si>
  <si>
    <t>じゅうじうけげり</t>
    <phoneticPr fontId="2"/>
  </si>
  <si>
    <t>よこてんしんげり</t>
    <phoneticPr fontId="2"/>
  </si>
  <si>
    <t>はんてんしんげり</t>
    <phoneticPr fontId="2"/>
  </si>
  <si>
    <t>ぎゃくてんしんげり</t>
    <phoneticPr fontId="2"/>
  </si>
  <si>
    <t>はらいうけげり</t>
    <phoneticPr fontId="2"/>
  </si>
  <si>
    <t>げだんがえし</t>
    <phoneticPr fontId="2"/>
  </si>
  <si>
    <t>ちゅうだんがえし</t>
    <phoneticPr fontId="2"/>
  </si>
  <si>
    <t>つきてんいち</t>
    <phoneticPr fontId="2"/>
  </si>
  <si>
    <t>つきてんに</t>
    <phoneticPr fontId="2"/>
  </si>
  <si>
    <t>つきてんさん</t>
    <phoneticPr fontId="2"/>
  </si>
  <si>
    <t>こんてんいち</t>
    <phoneticPr fontId="2"/>
  </si>
  <si>
    <t>ふりてんに</t>
    <phoneticPr fontId="2"/>
  </si>
  <si>
    <t>けりてんいち</t>
    <phoneticPr fontId="2"/>
  </si>
  <si>
    <t>けりてんさん</t>
    <phoneticPr fontId="2"/>
  </si>
  <si>
    <t>たいてんいち</t>
    <phoneticPr fontId="2"/>
  </si>
  <si>
    <t>ぎゃくてんいち</t>
    <phoneticPr fontId="2"/>
  </si>
  <si>
    <t>つばめがえし　れんはんこう</t>
    <phoneticPr fontId="2"/>
  </si>
  <si>
    <t>ちどりがえし　かりあし</t>
    <phoneticPr fontId="2"/>
  </si>
  <si>
    <t>はらいうけだんづき</t>
    <phoneticPr fontId="2"/>
  </si>
  <si>
    <t>はんげつがえし</t>
    <phoneticPr fontId="2"/>
  </si>
  <si>
    <t>すいげつがえし　おしだおし</t>
    <phoneticPr fontId="2"/>
  </si>
  <si>
    <t>みかづきがえし　かりあし</t>
    <phoneticPr fontId="2"/>
  </si>
  <si>
    <t>きんてきひざうけなみがえし</t>
    <phoneticPr fontId="2"/>
  </si>
  <si>
    <t>ぎゃくげりひざうけなみがえし</t>
    <phoneticPr fontId="2"/>
  </si>
  <si>
    <t>まわしげりさんぼううけなみがえし</t>
    <phoneticPr fontId="2"/>
  </si>
  <si>
    <t>そくとうげりひきあしなみがえし</t>
    <phoneticPr fontId="2"/>
  </si>
  <si>
    <t>だんげりさんぼううけだんげりがえし</t>
    <phoneticPr fontId="2"/>
  </si>
  <si>
    <t>じゅんげりちいち</t>
    <phoneticPr fontId="2"/>
  </si>
  <si>
    <t>ぎゃくげりちいち</t>
    <phoneticPr fontId="2"/>
  </si>
  <si>
    <t>ぎゃくげりちさん</t>
    <phoneticPr fontId="2"/>
  </si>
  <si>
    <t>じゅんげりちさん</t>
    <phoneticPr fontId="2"/>
  </si>
  <si>
    <t>はらいうけちに</t>
    <phoneticPr fontId="2"/>
  </si>
  <si>
    <t>ふっこちに</t>
    <phoneticPr fontId="2"/>
  </si>
  <si>
    <t>こてぬき</t>
    <phoneticPr fontId="2"/>
  </si>
  <si>
    <t>かたてよりぬき</t>
    <phoneticPr fontId="2"/>
  </si>
  <si>
    <t>りょうてよりぬき</t>
    <phoneticPr fontId="2"/>
  </si>
  <si>
    <t>つきぬき　りょうて</t>
    <phoneticPr fontId="2"/>
  </si>
  <si>
    <t>つきぬき　そと</t>
    <phoneticPr fontId="2"/>
  </si>
  <si>
    <t>つきぬき　うち</t>
    <phoneticPr fontId="2"/>
  </si>
  <si>
    <t>もろてつきぬき</t>
    <phoneticPr fontId="2"/>
  </si>
  <si>
    <t>まきぬき　りょうて</t>
    <phoneticPr fontId="2"/>
  </si>
  <si>
    <t>まきぬき　かたて</t>
    <phoneticPr fontId="2"/>
  </si>
  <si>
    <t>もろてまきぬき</t>
    <phoneticPr fontId="2"/>
  </si>
  <si>
    <t>あげぬき</t>
    <phoneticPr fontId="2"/>
  </si>
  <si>
    <t>かたておしぬき</t>
    <phoneticPr fontId="2"/>
  </si>
  <si>
    <t>もろておしぬき</t>
    <phoneticPr fontId="2"/>
  </si>
  <si>
    <t>きりぬき　そと</t>
    <phoneticPr fontId="2"/>
  </si>
  <si>
    <t>きりぬき　うち</t>
    <phoneticPr fontId="2"/>
  </si>
  <si>
    <t>じゅうじぬき　かたて</t>
    <phoneticPr fontId="2"/>
  </si>
  <si>
    <t>じゅうじぬき　りょうて</t>
    <phoneticPr fontId="2"/>
  </si>
  <si>
    <t>もろてじゅうじぬき</t>
    <phoneticPr fontId="2"/>
  </si>
  <si>
    <t>がっしょうぬき</t>
    <phoneticPr fontId="2"/>
  </si>
  <si>
    <t>にだんぬき</t>
    <phoneticPr fontId="2"/>
  </si>
  <si>
    <t>ひじぬきよりまえてんびん</t>
    <phoneticPr fontId="2"/>
  </si>
  <si>
    <t>もろてひきぬき</t>
    <phoneticPr fontId="2"/>
  </si>
  <si>
    <t>もろてわぬき</t>
    <phoneticPr fontId="2"/>
  </si>
  <si>
    <t>じょうはくぬき　かたて</t>
    <phoneticPr fontId="2"/>
  </si>
  <si>
    <t>じょうはくぬき　りょうて</t>
    <phoneticPr fontId="2"/>
  </si>
  <si>
    <t>おしきりぬき</t>
    <phoneticPr fontId="2"/>
  </si>
  <si>
    <t>きりかえしぬき　もろて</t>
    <phoneticPr fontId="2"/>
  </si>
  <si>
    <t>きりかえしぬき　かたて</t>
    <phoneticPr fontId="2"/>
  </si>
  <si>
    <t>うちぬき　かたて</t>
    <phoneticPr fontId="2"/>
  </si>
  <si>
    <t>うちぬき　りょうて</t>
    <phoneticPr fontId="2"/>
  </si>
  <si>
    <t>さんかくぬき</t>
    <phoneticPr fontId="2"/>
  </si>
  <si>
    <t>そでぬき</t>
    <phoneticPr fontId="2"/>
  </si>
  <si>
    <t>えりぬき</t>
    <phoneticPr fontId="2"/>
  </si>
  <si>
    <t>あしぬき　にしゅ</t>
    <phoneticPr fontId="2"/>
  </si>
  <si>
    <t>ぎゃくごて</t>
    <phoneticPr fontId="2"/>
  </si>
  <si>
    <t>もろてぎゃくごて</t>
    <phoneticPr fontId="2"/>
  </si>
  <si>
    <t>がっしょうぎゃくごて</t>
    <phoneticPr fontId="2"/>
  </si>
  <si>
    <t>ぎゃくがっしょうなげ　にしゅ</t>
    <phoneticPr fontId="2"/>
  </si>
  <si>
    <t>にぎりがえし</t>
    <phoneticPr fontId="2"/>
  </si>
  <si>
    <t>ぎゃくてなげ</t>
    <phoneticPr fontId="2"/>
  </si>
  <si>
    <t>まきごて　かたて</t>
    <phoneticPr fontId="2"/>
  </si>
  <si>
    <t>まきごて　もろて</t>
    <phoneticPr fontId="2"/>
  </si>
  <si>
    <t>したうけげりこてなげ</t>
    <phoneticPr fontId="2"/>
  </si>
  <si>
    <t>ぎゃくごてよりうらがえしなげ</t>
    <phoneticPr fontId="2"/>
  </si>
  <si>
    <t>まきこみこて</t>
    <phoneticPr fontId="2"/>
  </si>
  <si>
    <t>りゅうなげ</t>
    <phoneticPr fontId="2"/>
  </si>
  <si>
    <t>そとまきてんびん</t>
    <phoneticPr fontId="2"/>
  </si>
  <si>
    <t>かたておくりごて</t>
    <phoneticPr fontId="2"/>
  </si>
  <si>
    <t>りょうておくりごて</t>
    <phoneticPr fontId="2"/>
  </si>
  <si>
    <t>もろておくりこてなげ</t>
    <phoneticPr fontId="2"/>
  </si>
  <si>
    <t>もろておくりごてよりばくほう</t>
    <phoneticPr fontId="2"/>
  </si>
  <si>
    <t>おくりどり</t>
    <phoneticPr fontId="2"/>
  </si>
  <si>
    <t>このはおくり</t>
    <phoneticPr fontId="2"/>
  </si>
  <si>
    <t>おくりがっしょう　にしゅ</t>
    <phoneticPr fontId="2"/>
  </si>
  <si>
    <t>くまでがえし　りょうて</t>
    <phoneticPr fontId="2"/>
  </si>
  <si>
    <t>くまでがえし　かたて</t>
    <phoneticPr fontId="2"/>
  </si>
  <si>
    <t>つりおとし</t>
    <phoneticPr fontId="2"/>
  </si>
  <si>
    <t>おくりまきてんびん</t>
    <phoneticPr fontId="2"/>
  </si>
  <si>
    <t>おくりひじぜめ</t>
    <phoneticPr fontId="2"/>
  </si>
  <si>
    <t>おくりゆびがえし</t>
    <phoneticPr fontId="2"/>
  </si>
  <si>
    <t>おくりよこてんびん</t>
    <phoneticPr fontId="2"/>
  </si>
  <si>
    <t>おくりつきたおし</t>
    <phoneticPr fontId="2"/>
  </si>
  <si>
    <t>おくりししどり</t>
    <phoneticPr fontId="2"/>
  </si>
  <si>
    <t>おくりかんぬきごて</t>
    <phoneticPr fontId="2"/>
  </si>
  <si>
    <t>おもてくまてがえし</t>
    <phoneticPr fontId="2"/>
  </si>
  <si>
    <t>おくりひじぜめおもて</t>
    <phoneticPr fontId="2"/>
  </si>
  <si>
    <t>ふりすておもてなげ</t>
    <phoneticPr fontId="2"/>
  </si>
  <si>
    <t>こしくじき</t>
    <phoneticPr fontId="2"/>
  </si>
  <si>
    <t>おしごて　かたて</t>
    <phoneticPr fontId="2"/>
  </si>
  <si>
    <t>おしごて　りょうて</t>
    <phoneticPr fontId="2"/>
  </si>
  <si>
    <t>こてまきがえし</t>
    <phoneticPr fontId="2"/>
  </si>
  <si>
    <t>ぬきうちおしこて</t>
    <phoneticPr fontId="2"/>
  </si>
  <si>
    <t>じゅうじこて　かたて</t>
    <phoneticPr fontId="2"/>
  </si>
  <si>
    <t>りゃくじゅうじごて</t>
    <phoneticPr fontId="2"/>
  </si>
  <si>
    <t>りょうてじゅうじごて</t>
    <phoneticPr fontId="2"/>
  </si>
  <si>
    <t>もろてじゅうじごて</t>
    <phoneticPr fontId="2"/>
  </si>
  <si>
    <t>まきじゅうじごて</t>
    <phoneticPr fontId="2"/>
  </si>
  <si>
    <t>きりごて　かたて</t>
    <phoneticPr fontId="2"/>
  </si>
  <si>
    <t>きりごて　もろて</t>
    <phoneticPr fontId="2"/>
  </si>
  <si>
    <t>きりかえしごて</t>
    <phoneticPr fontId="2"/>
  </si>
  <si>
    <t>きりかえしまきてんびん</t>
    <phoneticPr fontId="2"/>
  </si>
  <si>
    <t>きりかえしてんびん</t>
    <phoneticPr fontId="2"/>
  </si>
  <si>
    <t>きりかえしなげ</t>
    <phoneticPr fontId="2"/>
  </si>
  <si>
    <t>かたてなげきりかえし</t>
    <phoneticPr fontId="2"/>
  </si>
  <si>
    <t>もろてきりかえしなげ</t>
    <phoneticPr fontId="2"/>
  </si>
  <si>
    <t>このはがえし</t>
    <phoneticPr fontId="2"/>
  </si>
  <si>
    <t>じょうじなげ</t>
    <phoneticPr fontId="2"/>
  </si>
  <si>
    <t>がっしょうちょうじ</t>
    <phoneticPr fontId="2"/>
  </si>
  <si>
    <t>がっしょうつきおとし</t>
    <phoneticPr fontId="2"/>
  </si>
  <si>
    <t>ぎゃくこのはがえし</t>
    <phoneticPr fontId="2"/>
  </si>
  <si>
    <t>このはちょうじ</t>
    <phoneticPr fontId="2"/>
  </si>
  <si>
    <t>おくりがっしょうこのはなげ</t>
    <phoneticPr fontId="2"/>
  </si>
  <si>
    <t>いどりおくりごて</t>
    <phoneticPr fontId="2"/>
  </si>
  <si>
    <t>いどりぎゃくごて</t>
    <phoneticPr fontId="2"/>
  </si>
  <si>
    <t>いどりおしごて</t>
    <phoneticPr fontId="2"/>
  </si>
  <si>
    <t>うわうけなげ</t>
    <phoneticPr fontId="2"/>
  </si>
  <si>
    <t>うわうけぎゃくてなげ</t>
    <phoneticPr fontId="2"/>
  </si>
  <si>
    <t>うわうけせなげ</t>
    <phoneticPr fontId="2"/>
  </si>
  <si>
    <t>おしうけなげ</t>
    <phoneticPr fontId="2"/>
  </si>
  <si>
    <t>おしうけまきなげ</t>
    <phoneticPr fontId="2"/>
  </si>
  <si>
    <t>かたてなげ</t>
    <phoneticPr fontId="2"/>
  </si>
  <si>
    <t>おくりかたてなげ</t>
    <phoneticPr fontId="2"/>
  </si>
  <si>
    <t>ぎゃくかたてなげ</t>
    <phoneticPr fontId="2"/>
  </si>
  <si>
    <t>りょうてかたてなげ</t>
    <phoneticPr fontId="2"/>
  </si>
  <si>
    <t>もろてかたてなげ</t>
    <phoneticPr fontId="2"/>
  </si>
  <si>
    <t>がっしょうかたてなげ</t>
    <phoneticPr fontId="2"/>
  </si>
  <si>
    <t>かんぬきかたてなげ</t>
    <phoneticPr fontId="2"/>
  </si>
  <si>
    <t>かたてかんぬきなげ</t>
    <phoneticPr fontId="2"/>
  </si>
  <si>
    <t>りょうてかんぬきなげ</t>
    <phoneticPr fontId="2"/>
  </si>
  <si>
    <t>かんぬきうちてんびん</t>
    <phoneticPr fontId="2"/>
  </si>
  <si>
    <t>かんぬきそとてんびん</t>
    <phoneticPr fontId="2"/>
  </si>
  <si>
    <t>おしかんぬきなげ　うち</t>
    <phoneticPr fontId="2"/>
  </si>
  <si>
    <t>おしかんぬきなげ　そと</t>
    <phoneticPr fontId="2"/>
  </si>
  <si>
    <t>ぶっこつなげ</t>
    <phoneticPr fontId="2"/>
  </si>
  <si>
    <t>はらいぶっこつなげ</t>
    <phoneticPr fontId="2"/>
  </si>
  <si>
    <t>うしろぶっこつなげ</t>
    <phoneticPr fontId="2"/>
  </si>
  <si>
    <t>ぎゃくてんびん</t>
    <phoneticPr fontId="2"/>
  </si>
  <si>
    <t>ひきてんびん</t>
    <phoneticPr fontId="2"/>
  </si>
  <si>
    <t>てんびんなげ</t>
    <phoneticPr fontId="2"/>
  </si>
  <si>
    <t>ぎゃくひきてんびん</t>
    <phoneticPr fontId="2"/>
  </si>
  <si>
    <t>がっしょうひきてんびん</t>
    <phoneticPr fontId="2"/>
  </si>
  <si>
    <t>うでじゅうじがため</t>
    <phoneticPr fontId="2"/>
  </si>
  <si>
    <t>おくりがため</t>
    <phoneticPr fontId="2"/>
  </si>
  <si>
    <t>おくりゆびどり</t>
    <phoneticPr fontId="2"/>
  </si>
  <si>
    <t>送天秤捕(二種)仕掛</t>
    <rPh sb="0" eb="1">
      <t>オク</t>
    </rPh>
    <rPh sb="1" eb="4">
      <t>テンビント</t>
    </rPh>
    <rPh sb="5" eb="7">
      <t>ニシュ</t>
    </rPh>
    <rPh sb="8" eb="10">
      <t>シカ</t>
    </rPh>
    <phoneticPr fontId="2"/>
  </si>
  <si>
    <t>おくりてんびんどり　にしゅ　しかけ</t>
    <phoneticPr fontId="2"/>
  </si>
  <si>
    <t>おくりてんびんどり　にしゅ　おくりごてからのへんかわざ</t>
    <phoneticPr fontId="2"/>
  </si>
  <si>
    <t>かんぬきおくりどり</t>
    <phoneticPr fontId="2"/>
  </si>
  <si>
    <t>まえゆびがため</t>
    <phoneticPr fontId="2"/>
  </si>
  <si>
    <t>おしゆびがため</t>
    <phoneticPr fontId="2"/>
  </si>
  <si>
    <t>まえてんびんがため</t>
    <phoneticPr fontId="2"/>
  </si>
  <si>
    <t>まえうでがため</t>
    <phoneticPr fontId="2"/>
  </si>
  <si>
    <t>うらがため</t>
    <phoneticPr fontId="2"/>
  </si>
  <si>
    <t>たていちじがため　もろてぎゃくごてより</t>
    <phoneticPr fontId="2"/>
  </si>
  <si>
    <t>せこしいちじがため　もろてぎゃくごてより</t>
    <phoneticPr fontId="2"/>
  </si>
  <si>
    <t>うしろうでがため</t>
    <phoneticPr fontId="2"/>
  </si>
  <si>
    <t>かんぬきがため</t>
    <phoneticPr fontId="2"/>
  </si>
  <si>
    <t>このはがため</t>
    <phoneticPr fontId="2"/>
  </si>
  <si>
    <t>さんかくがため</t>
    <phoneticPr fontId="2"/>
  </si>
  <si>
    <t>つりあげどり</t>
    <phoneticPr fontId="2"/>
  </si>
  <si>
    <t>そとぎゃくてどり</t>
    <phoneticPr fontId="2"/>
  </si>
  <si>
    <t>うちぎゃくてどり</t>
    <phoneticPr fontId="2"/>
  </si>
  <si>
    <t>じゅうじがため</t>
    <phoneticPr fontId="2"/>
  </si>
  <si>
    <t>つりあげうらがため　ばくほう</t>
    <phoneticPr fontId="2"/>
  </si>
  <si>
    <t>くもがらみ　もろてぎゃくごてより</t>
    <phoneticPr fontId="2"/>
  </si>
  <si>
    <t>たてがっしょうがため</t>
    <phoneticPr fontId="2"/>
  </si>
  <si>
    <t>うらがっしょうがため　うでじゅうじより</t>
    <phoneticPr fontId="2"/>
  </si>
  <si>
    <t>うらひざがため　ばくほう</t>
    <phoneticPr fontId="2"/>
  </si>
  <si>
    <t>がっしょうおくりどり</t>
    <phoneticPr fontId="2"/>
  </si>
  <si>
    <t>りゅうがため　りゅうなげより</t>
    <phoneticPr fontId="2"/>
  </si>
  <si>
    <t>てんびんかため　うら</t>
    <phoneticPr fontId="2"/>
  </si>
  <si>
    <t>ぎゃくてがため</t>
    <phoneticPr fontId="2"/>
  </si>
  <si>
    <t>そでまき</t>
    <phoneticPr fontId="2"/>
  </si>
  <si>
    <t>そでどり</t>
    <phoneticPr fontId="2"/>
  </si>
  <si>
    <t>そでぐちどり</t>
    <phoneticPr fontId="2"/>
  </si>
  <si>
    <t>そでぐちまき</t>
    <phoneticPr fontId="2"/>
  </si>
  <si>
    <t>そでまきてんびん</t>
    <phoneticPr fontId="2"/>
  </si>
  <si>
    <t>ぎゃくそでどり</t>
    <phoneticPr fontId="2"/>
  </si>
  <si>
    <t>そでまきがえし</t>
    <phoneticPr fontId="2"/>
  </si>
  <si>
    <t>そでじゅうじ</t>
    <phoneticPr fontId="2"/>
  </si>
  <si>
    <t>うしろそでまき　うしろそでどり</t>
    <phoneticPr fontId="2"/>
  </si>
  <si>
    <t>じょうはくどり　かたて</t>
    <phoneticPr fontId="2"/>
  </si>
  <si>
    <t>じょうはくどり　りょうて</t>
    <phoneticPr fontId="2"/>
  </si>
  <si>
    <t>ひきおとし</t>
    <phoneticPr fontId="2"/>
  </si>
  <si>
    <t>かたむなおとし</t>
    <phoneticPr fontId="2"/>
  </si>
  <si>
    <t>ひきむなおとし</t>
    <phoneticPr fontId="2"/>
  </si>
  <si>
    <t>りょうむなおとし</t>
    <phoneticPr fontId="2"/>
  </si>
  <si>
    <t>うでまき</t>
    <phoneticPr fontId="2"/>
  </si>
  <si>
    <t>まきおとし</t>
    <phoneticPr fontId="2"/>
  </si>
  <si>
    <t>そとまきおとし</t>
    <phoneticPr fontId="2"/>
  </si>
  <si>
    <t>えりじゅうじ</t>
    <phoneticPr fontId="2"/>
  </si>
  <si>
    <t>おくりえりどり</t>
    <phoneticPr fontId="2"/>
  </si>
  <si>
    <t>てくびどり</t>
    <phoneticPr fontId="2"/>
  </si>
  <si>
    <t>ちょうじどり</t>
    <phoneticPr fontId="2"/>
  </si>
  <si>
    <t>うしろえりどり　おもて</t>
    <phoneticPr fontId="2"/>
  </si>
  <si>
    <t>うしろえりどり　うら</t>
    <phoneticPr fontId="2"/>
  </si>
  <si>
    <t>よつくみこしなげ</t>
    <phoneticPr fontId="2"/>
  </si>
  <si>
    <t>まえがみどり</t>
    <phoneticPr fontId="2"/>
  </si>
  <si>
    <t>おびどり</t>
    <phoneticPr fontId="2"/>
  </si>
  <si>
    <t>はんげつくびなげ</t>
    <phoneticPr fontId="2"/>
  </si>
  <si>
    <t>まきうちくびなげ</t>
    <phoneticPr fontId="2"/>
  </si>
  <si>
    <t>すくいくびなげ</t>
    <phoneticPr fontId="2"/>
  </si>
  <si>
    <t>やはずなげ</t>
    <phoneticPr fontId="2"/>
  </si>
  <si>
    <t>くびじめなげ</t>
    <phoneticPr fontId="2"/>
  </si>
  <si>
    <t>くびじめしゅほうじゅうじなげ</t>
    <phoneticPr fontId="2"/>
  </si>
  <si>
    <t>けんじめどり</t>
    <phoneticPr fontId="2"/>
  </si>
  <si>
    <t>おもてなげ</t>
    <phoneticPr fontId="2"/>
  </si>
  <si>
    <t>おらなげ</t>
    <phoneticPr fontId="2"/>
  </si>
  <si>
    <t>うしろかりたおし</t>
    <phoneticPr fontId="2"/>
  </si>
  <si>
    <t>ぎゃくそでまき</t>
    <phoneticPr fontId="2"/>
  </si>
  <si>
    <t>そでどりうちてんびん</t>
    <phoneticPr fontId="2"/>
  </si>
  <si>
    <t>そでまきがえしうら</t>
    <phoneticPr fontId="2"/>
  </si>
  <si>
    <t>おくりえりどりおもて</t>
    <phoneticPr fontId="2"/>
  </si>
  <si>
    <t>よつくみうちてんびん</t>
    <phoneticPr fontId="2"/>
  </si>
  <si>
    <t>うしろくびなげ</t>
    <phoneticPr fontId="2"/>
  </si>
  <si>
    <t>くびじめなげおもて</t>
    <phoneticPr fontId="2"/>
  </si>
  <si>
    <t>かたうちなげ</t>
    <phoneticPr fontId="2"/>
  </si>
  <si>
    <t>とらだおし　にしゅ</t>
    <phoneticPr fontId="2"/>
  </si>
  <si>
    <t>はさみだおし</t>
    <phoneticPr fontId="2"/>
  </si>
  <si>
    <t>ふっこだおし</t>
    <phoneticPr fontId="2"/>
  </si>
  <si>
    <t>PDFファイル</t>
    <phoneticPr fontId="2"/>
  </si>
  <si>
    <t>少林寺拳法教範(下巻抜粋)_170-171.pdf</t>
  </si>
  <si>
    <t>少林寺拳法教範(下巻抜粋)_176-177.pdf</t>
  </si>
  <si>
    <t>少林寺拳法教範(下巻抜粋)_172-173.pdf</t>
  </si>
  <si>
    <t>少林寺拳法教範(下巻抜粋)_174-175.pdf</t>
  </si>
  <si>
    <t>少林寺拳法教範(下巻抜粋)_178-179.pdf</t>
  </si>
  <si>
    <t>少林寺拳法教範(下巻抜粋)_182-183.pdf</t>
  </si>
  <si>
    <t>少林寺拳法教範(下巻抜粋)_180-181.pdf</t>
  </si>
  <si>
    <t>少林寺拳法教範(下巻抜粋)_184-185.pdf</t>
  </si>
  <si>
    <t>少林寺拳法教範(下巻抜粋)_188-189.pdf</t>
  </si>
  <si>
    <t>少林寺拳法教範(下巻抜粋)_190-191.pdf</t>
  </si>
  <si>
    <t>少林寺拳法教範(下巻抜粋)_186-187.pdf</t>
  </si>
  <si>
    <t>少林寺拳法教範(下巻抜粋)_192-193.pdf</t>
  </si>
  <si>
    <t>少林寺拳法教範(下巻抜粋)_194-195.pdf</t>
  </si>
  <si>
    <t>少林寺拳法教範(下巻抜粋)_196-197.pdf</t>
  </si>
  <si>
    <t>少林寺拳法教範(下巻抜粋)_198-199.pdf</t>
  </si>
  <si>
    <t>少林寺拳法教範(下巻抜粋)_200-201.pdf</t>
  </si>
  <si>
    <t>少林寺拳法教範(下巻抜粋)_212-213.pdf</t>
  </si>
  <si>
    <t>少林寺拳法教範(下巻抜粋)_218-219.pdf</t>
  </si>
  <si>
    <t>少林寺拳法教範(下巻抜粋)_220-221.pdf</t>
  </si>
  <si>
    <t>少林寺拳法教範(下巻抜粋)_222-223.pdf</t>
  </si>
  <si>
    <t>少林寺拳法教範(下巻抜粋)_224-225.pdf</t>
  </si>
  <si>
    <t>少林寺拳法教範(下巻抜粋)_226-227.pdf</t>
  </si>
  <si>
    <t>少林寺拳法教範(下巻抜粋)_228-229.pdf</t>
  </si>
  <si>
    <t>少林寺拳法教範(下巻抜粋)_238-239.pdf</t>
  </si>
  <si>
    <t>少林寺拳法教範(下巻抜粋)_240-241.pdf</t>
  </si>
  <si>
    <t>少林寺拳法教範(下巻抜粋)_242-243.pdf</t>
  </si>
  <si>
    <t>少林寺拳法教範(下巻抜粋)_244-245.pdf</t>
  </si>
  <si>
    <t>少林寺拳法教範(下巻抜粋)_246-247.pdf</t>
  </si>
  <si>
    <t>少林寺拳法教範(下巻抜粋)_248-249.pdf</t>
  </si>
  <si>
    <t>少林寺拳法教範(下巻抜粋)_250-251.pdf</t>
  </si>
  <si>
    <t>少林寺拳法教範(下巻抜粋)_252-253.pdf</t>
  </si>
  <si>
    <t>少林寺拳法教範(下巻抜粋)_254-255.pdf</t>
  </si>
  <si>
    <t>少林寺拳法教範(下巻抜粋)_256-257.pdf</t>
  </si>
  <si>
    <t>少林寺拳法教範(下巻抜粋)_258-259.pdf</t>
  </si>
  <si>
    <t>少林寺拳法教範(下巻抜粋)_260-261.pdf</t>
  </si>
  <si>
    <t>少林寺拳法教範(下巻抜粋)_262-263.pdf</t>
  </si>
  <si>
    <t>少林寺拳法教範(下巻抜粋)_268-269.pdf</t>
  </si>
  <si>
    <t>少林寺拳法教範(下巻抜粋)_270-271.pdf</t>
  </si>
  <si>
    <t>少林寺拳法教範(下巻抜粋)_272-273.pdf</t>
  </si>
  <si>
    <t>少林寺拳法教範(下巻抜粋)_274-275.pdf</t>
  </si>
  <si>
    <t>少林寺拳法教範(下巻抜粋)_276-277.pdf</t>
  </si>
  <si>
    <t>少林寺拳法教範(下巻抜粋)_278-279.pdf</t>
  </si>
  <si>
    <t>少林寺拳法教範(下巻抜粋)_284-285.pdf</t>
  </si>
  <si>
    <t>少林寺拳法教範(下巻抜粋)_286-287.pdf</t>
  </si>
  <si>
    <t>少林寺拳法教範(下巻抜粋)_288-289.pdf</t>
  </si>
  <si>
    <t>少林寺拳法教範(下巻抜粋)_290-291.pdf</t>
  </si>
  <si>
    <t>少林寺拳法教範(下巻抜粋)_292-293.pdf</t>
  </si>
  <si>
    <t>少林寺拳法教範(下巻抜粋)_296-297.pdf</t>
  </si>
  <si>
    <t>少林寺拳法教範(下巻抜粋)_298-299.pdf</t>
  </si>
  <si>
    <t>少林寺拳法教範(下巻抜粋)_300-301.pdf</t>
  </si>
  <si>
    <t>少林寺拳法教範(下巻抜粋)_302-303.pdf</t>
  </si>
  <si>
    <t>少林寺拳法教範(下巻抜粋)_304-305.pdf</t>
  </si>
  <si>
    <t>少林寺拳法教範(下巻抜粋)_306-307.pdf</t>
  </si>
  <si>
    <t>少林寺拳法教範(下巻抜粋)_308-309.pdf</t>
  </si>
  <si>
    <t>少林寺拳法教範(下巻抜粋)_310-311.pdf</t>
  </si>
  <si>
    <t>少林寺拳法教範(下巻抜粋)_312-313.pdf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</si>
</sst>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11"/>
      <color theme="1"/>
      <name val="游ゴシック"/>
      <family val="2"/>
      <charset val="128"/>
    </font>
    <font>
      <sz val="6"/>
      <name val="游ゴシック"/>
      <family val="2"/>
      <charset val="128"/>
      <scheme val="minor"/>
    </font>
    <font>
      <b/>
      <sz val="11"/>
      <color theme="0"/>
      <name val="游ゴシック"/>
      <family val="3"/>
      <charset val="128"/>
      <scheme val="minor"/>
    </font>
    <font>
      <b/>
      <sz val="11"/>
      <color indexed="9"/>
      <name val="游ゴシック"/>
      <family val="3"/>
      <charset val="128"/>
      <scheme val="minor"/>
    </font>
    <font>
      <u/>
      <sz val="11"/>
      <color theme="10"/>
      <name val="游ゴシック"/>
      <family val="2"/>
      <charset val="128"/>
      <scheme val="minor"/>
    </font>
    <font>
      <sz val="11"/>
      <name val="游ゴシック"/>
      <family val="3"/>
      <charset val="128"/>
      <scheme val="minor"/>
    </font>
    <font>
      <b/>
      <sz val="10.5"/>
      <color theme="1"/>
      <name val="メイリオ"/>
      <family val="3"/>
      <charset val="128"/>
    </font>
    <font>
      <sz val="10.5"/>
      <color theme="1"/>
      <name val="メイリオ"/>
      <family val="3"/>
      <charset val="128"/>
    </font>
    <font>
      <b/>
      <sz val="10.5"/>
      <color theme="0"/>
      <name val="メイリオ"/>
      <family val="3"/>
      <charset val="128"/>
    </font>
    <font>
      <b/>
      <sz val="10.5"/>
      <color rgb="FF000000"/>
      <name val="メイリオ"/>
      <family val="3"/>
      <charset val="128"/>
    </font>
    <font>
      <sz val="10.5"/>
      <color rgb="FF000000"/>
      <name val="メイリオ"/>
      <family val="3"/>
      <charset val="128"/>
    </font>
    <font>
      <sz val="10.5"/>
      <color rgb="FFFF0000"/>
      <name val="メイリオ"/>
      <family val="3"/>
      <charset val="128"/>
    </font>
    <font>
      <sz val="10.5"/>
      <color theme="1"/>
      <name val="メイリオ"/>
      <family val="3"/>
    </font>
    <font>
      <sz val="10.5"/>
      <color rgb="FF000000"/>
      <name val="メイリオ"/>
      <family val="3"/>
    </font>
    <font>
      <b/>
      <sz val="10.5"/>
      <color theme="0"/>
      <name val="メイリオ"/>
      <family val="3"/>
    </font>
    <font>
      <b/>
      <sz val="12"/>
      <color theme="1"/>
      <name val="メイリオ"/>
      <family val="3"/>
      <charset val="128"/>
    </font>
    <font>
      <b/>
      <sz val="12"/>
      <color theme="1"/>
      <name val="メイリオ"/>
      <family val="3"/>
    </font>
    <font>
      <sz val="11"/>
      <color theme="1"/>
      <name val="游ゴシック"/>
      <family val="3"/>
      <charset val="128"/>
    </font>
    <font>
      <b/>
      <sz val="20"/>
      <color theme="1"/>
      <name val="游ゴシック"/>
      <family val="3"/>
      <charset val="128"/>
      <scheme val="minor"/>
    </font>
    <font>
      <strike/>
      <sz val="11"/>
      <color theme="1"/>
      <name val="游ゴシック"/>
      <family val="2"/>
      <charset val="128"/>
      <scheme val="minor"/>
    </font>
    <font>
      <strike/>
      <u/>
      <sz val="11"/>
      <color theme="10"/>
      <name val="游ゴシック"/>
      <family val="2"/>
      <charset val="128"/>
      <scheme val="minor"/>
    </font>
    <font>
      <strike/>
      <sz val="11"/>
      <color theme="1"/>
      <name val="游ゴシック"/>
      <family val="3"/>
      <charset val="128"/>
      <scheme val="minor"/>
    </font>
    <font>
      <sz val="12"/>
      <color theme="1"/>
      <name val="游ゴシック"/>
      <family val="3"/>
      <charset val="128"/>
      <scheme val="minor"/>
    </font>
    <font>
      <b/>
      <sz val="12"/>
      <color theme="0"/>
      <name val="游ゴシック"/>
      <family val="3"/>
      <charset val="128"/>
      <scheme val="minor"/>
    </font>
  </fonts>
  <fills count="15">
    <fill>
      <patternFill patternType="none"/>
    </fill>
    <fill>
      <patternFill patternType="gray125"/>
    </fill>
    <fill>
      <patternFill patternType="solid">
        <fgColor theme="0" tint="-0.499984740745262"/>
        <bgColor indexed="64"/>
      </patternFill>
    </fill>
    <fill>
      <patternFill patternType="solid">
        <fgColor rgb="FFA4C2F4"/>
        <bgColor rgb="FFA4C2F4"/>
      </patternFill>
    </fill>
    <fill>
      <patternFill patternType="solid">
        <fgColor rgb="FFA4C2F4"/>
        <bgColor indexed="64"/>
      </patternFill>
    </fill>
    <fill>
      <patternFill patternType="solid">
        <fgColor rgb="FFFABF8F"/>
        <bgColor rgb="FFFABF8F"/>
      </patternFill>
    </fill>
    <fill>
      <patternFill patternType="solid">
        <fgColor rgb="FFFABF8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CCEC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9" tint="-0.249977111117893"/>
        <bgColor indexed="64"/>
      </patternFill>
    </fill>
    <fill>
      <patternFill patternType="solid">
        <fgColor theme="5" tint="-0.249977111117893"/>
        <bgColor indexed="64"/>
      </patternFill>
    </fill>
  </fills>
  <borders count="1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hair">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style="hair">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style="thin">
        <color indexed="64"/>
      </left>
      <right/>
      <top style="hair">
        <color indexed="64"/>
      </top>
      <bottom style="hair">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hair">
        <color indexed="64"/>
      </bottom>
      <diagonal/>
    </border>
    <border>
      <left/>
      <right/>
      <top style="medium">
        <color indexed="64"/>
      </top>
      <bottom/>
      <diagonal/>
    </border>
    <border>
      <left/>
      <right/>
      <top style="medium">
        <color indexed="64"/>
      </top>
      <bottom style="medium">
        <color indexed="64"/>
      </bottom>
      <diagonal/>
    </border>
    <border>
      <left/>
      <right/>
      <top style="medium">
        <color indexed="64"/>
      </top>
      <bottom style="hair">
        <color indexed="64"/>
      </bottom>
      <diagonal/>
    </border>
    <border>
      <left/>
      <right/>
      <top style="hair">
        <color indexed="64"/>
      </top>
      <bottom style="medium">
        <color indexed="64"/>
      </bottom>
      <diagonal/>
    </border>
    <border>
      <left/>
      <right/>
      <top style="hair">
        <color indexed="64"/>
      </top>
      <bottom style="hair">
        <color indexed="64"/>
      </bottom>
      <diagonal/>
    </border>
    <border>
      <left/>
      <right/>
      <top/>
      <bottom style="hair">
        <color indexed="64"/>
      </bottom>
      <diagonal/>
    </border>
    <border>
      <left/>
      <right/>
      <top/>
      <bottom style="medium">
        <color indexed="64"/>
      </bottom>
      <diagonal/>
    </border>
    <border>
      <left/>
      <right/>
      <top style="hair">
        <color indexed="64"/>
      </top>
      <bottom style="thin">
        <color indexed="64"/>
      </bottom>
      <diagonal/>
    </border>
    <border>
      <left/>
      <right/>
      <top style="thin">
        <color indexed="64"/>
      </top>
      <bottom style="hair">
        <color indexed="64"/>
      </bottom>
      <diagonal/>
    </border>
    <border>
      <left/>
      <right/>
      <top style="medium">
        <color indexed="64"/>
      </top>
      <bottom style="thin">
        <color indexed="64"/>
      </bottom>
      <diagonal/>
    </border>
    <border>
      <left/>
      <right/>
      <top style="hair">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right style="medium">
        <color indexed="64"/>
      </right>
      <top/>
      <bottom style="hair">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cellStyleXfs>
  <cellXfs count="506">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1"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1" applyBorder="1">
      <alignment vertical="center"/>
    </xf>
    <xf numFmtId="0" fontId="5" fillId="0" borderId="1" xfId="1" applyBorder="1" applyAlignment="1">
      <alignment vertical="center" shrinkToFit="1"/>
    </xf>
    <xf numFmtId="0" fontId="0" fillId="0" borderId="1" xfId="0" applyBorder="1" applyAlignment="1">
      <alignment horizontal="center" vertical="center" shrinkToFit="1"/>
    </xf>
    <xf numFmtId="0" fontId="5" fillId="0" borderId="0" xfId="1">
      <alignment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8" fillId="0" borderId="0" xfId="0" applyFont="1" applyAlignment="1">
      <alignment horizontal="center" vertical="center"/>
    </xf>
    <xf numFmtId="0" fontId="8" fillId="0" borderId="6" xfId="0" applyFont="1" applyBorder="1">
      <alignment vertical="center"/>
    </xf>
    <xf numFmtId="0" fontId="8" fillId="0" borderId="0" xfId="0" applyFont="1">
      <alignment vertical="center"/>
    </xf>
    <xf numFmtId="0" fontId="8" fillId="0" borderId="9" xfId="0" applyFont="1" applyBorder="1">
      <alignment vertical="center"/>
    </xf>
    <xf numFmtId="0" fontId="8" fillId="0" borderId="12" xfId="0" applyFont="1" applyBorder="1">
      <alignment vertical="center"/>
    </xf>
    <xf numFmtId="0" fontId="8" fillId="0" borderId="18" xfId="0" applyFont="1" applyBorder="1">
      <alignment vertical="center"/>
    </xf>
    <xf numFmtId="0" fontId="8" fillId="0" borderId="20" xfId="0" applyFont="1" applyBorder="1">
      <alignment vertical="center"/>
    </xf>
    <xf numFmtId="0" fontId="8" fillId="0" borderId="23" xfId="0" applyFont="1" applyBorder="1">
      <alignment vertical="center"/>
    </xf>
    <xf numFmtId="0" fontId="8" fillId="7" borderId="9" xfId="0" applyFont="1" applyFill="1" applyBorder="1">
      <alignment vertical="center"/>
    </xf>
    <xf numFmtId="0" fontId="8" fillId="7" borderId="6" xfId="0" applyFont="1" applyFill="1" applyBorder="1">
      <alignment vertical="center"/>
    </xf>
    <xf numFmtId="0" fontId="8" fillId="0" borderId="31" xfId="0" applyFont="1" applyBorder="1">
      <alignment vertical="center"/>
    </xf>
    <xf numFmtId="0" fontId="8" fillId="0" borderId="15" xfId="0" applyFont="1" applyBorder="1">
      <alignment vertical="center"/>
    </xf>
    <xf numFmtId="0" fontId="8" fillId="0" borderId="34" xfId="0" applyFont="1" applyBorder="1">
      <alignment vertical="center"/>
    </xf>
    <xf numFmtId="0" fontId="8" fillId="0" borderId="44" xfId="0" applyFont="1" applyBorder="1">
      <alignment vertical="center"/>
    </xf>
    <xf numFmtId="0" fontId="8" fillId="7" borderId="12" xfId="0" applyFont="1" applyFill="1" applyBorder="1">
      <alignment vertical="center"/>
    </xf>
    <xf numFmtId="0" fontId="8" fillId="7" borderId="23" xfId="0" applyFont="1" applyFill="1" applyBorder="1">
      <alignment vertical="center"/>
    </xf>
    <xf numFmtId="0" fontId="8" fillId="7" borderId="18" xfId="0" applyFont="1" applyFill="1" applyBorder="1">
      <alignment vertical="center"/>
    </xf>
    <xf numFmtId="0" fontId="8" fillId="0" borderId="49" xfId="0" applyFont="1" applyBorder="1">
      <alignment vertical="center"/>
    </xf>
    <xf numFmtId="0" fontId="8" fillId="7" borderId="44" xfId="0" applyFont="1" applyFill="1" applyBorder="1">
      <alignment vertical="center"/>
    </xf>
    <xf numFmtId="0" fontId="8" fillId="7" borderId="34" xfId="0" applyFont="1" applyFill="1" applyBorder="1">
      <alignment vertical="center"/>
    </xf>
    <xf numFmtId="0" fontId="8" fillId="8" borderId="6" xfId="0" applyFont="1" applyFill="1" applyBorder="1">
      <alignment vertical="center"/>
    </xf>
    <xf numFmtId="0" fontId="8" fillId="8" borderId="12" xfId="0" applyFont="1" applyFill="1" applyBorder="1">
      <alignment vertical="center"/>
    </xf>
    <xf numFmtId="0" fontId="8" fillId="8" borderId="31" xfId="0" applyFont="1" applyFill="1" applyBorder="1">
      <alignment vertical="center"/>
    </xf>
    <xf numFmtId="0" fontId="8" fillId="8" borderId="18" xfId="0" applyFont="1" applyFill="1" applyBorder="1">
      <alignment vertical="center"/>
    </xf>
    <xf numFmtId="0" fontId="8" fillId="8" borderId="34" xfId="0" applyFont="1" applyFill="1" applyBorder="1">
      <alignment vertical="center"/>
    </xf>
    <xf numFmtId="0" fontId="8" fillId="8" borderId="20" xfId="0" applyFont="1" applyFill="1" applyBorder="1">
      <alignment vertical="center"/>
    </xf>
    <xf numFmtId="0" fontId="8" fillId="8" borderId="23" xfId="0" applyFont="1" applyFill="1" applyBorder="1">
      <alignment vertical="center"/>
    </xf>
    <xf numFmtId="0" fontId="8" fillId="8" borderId="44" xfId="0" applyFont="1" applyFill="1" applyBorder="1">
      <alignment vertical="center"/>
    </xf>
    <xf numFmtId="0" fontId="8" fillId="8" borderId="9" xfId="0" applyFont="1" applyFill="1" applyBorder="1">
      <alignment vertical="center"/>
    </xf>
    <xf numFmtId="0" fontId="8" fillId="8" borderId="49" xfId="0" applyFont="1" applyFill="1" applyBorder="1">
      <alignment vertical="center"/>
    </xf>
    <xf numFmtId="0" fontId="8" fillId="8" borderId="53" xfId="0" applyFont="1" applyFill="1" applyBorder="1">
      <alignment vertical="center"/>
    </xf>
    <xf numFmtId="0" fontId="8" fillId="9" borderId="9" xfId="0" applyFont="1" applyFill="1" applyBorder="1">
      <alignment vertical="center"/>
    </xf>
    <xf numFmtId="0" fontId="8" fillId="9" borderId="10" xfId="0" applyFont="1" applyFill="1" applyBorder="1">
      <alignment vertical="center"/>
    </xf>
    <xf numFmtId="0" fontId="8" fillId="9" borderId="12" xfId="0" applyFont="1" applyFill="1" applyBorder="1">
      <alignment vertical="center"/>
    </xf>
    <xf numFmtId="0" fontId="8" fillId="9" borderId="13" xfId="0" applyFont="1" applyFill="1" applyBorder="1">
      <alignment vertical="center"/>
    </xf>
    <xf numFmtId="0" fontId="8" fillId="9" borderId="6" xfId="0" applyFont="1" applyFill="1" applyBorder="1">
      <alignment vertical="center"/>
    </xf>
    <xf numFmtId="0" fontId="8" fillId="9" borderId="7" xfId="0" applyFont="1" applyFill="1" applyBorder="1">
      <alignment vertical="center"/>
    </xf>
    <xf numFmtId="0" fontId="8" fillId="9" borderId="49" xfId="0" applyFont="1" applyFill="1" applyBorder="1">
      <alignment vertical="center"/>
    </xf>
    <xf numFmtId="0" fontId="8" fillId="9" borderId="50" xfId="0" applyFont="1" applyFill="1" applyBorder="1">
      <alignment vertical="center"/>
    </xf>
    <xf numFmtId="0" fontId="8" fillId="9" borderId="18" xfId="0" applyFont="1" applyFill="1" applyBorder="1">
      <alignment vertical="center"/>
    </xf>
    <xf numFmtId="0" fontId="8" fillId="9" borderId="19" xfId="0" applyFont="1" applyFill="1" applyBorder="1">
      <alignment vertical="center"/>
    </xf>
    <xf numFmtId="0" fontId="8" fillId="9" borderId="44" xfId="0" applyFont="1" applyFill="1" applyBorder="1">
      <alignment vertical="center"/>
    </xf>
    <xf numFmtId="0" fontId="8" fillId="9" borderId="45" xfId="0" applyFont="1" applyFill="1" applyBorder="1">
      <alignment vertical="center"/>
    </xf>
    <xf numFmtId="0" fontId="8" fillId="9" borderId="23" xfId="0" applyFont="1" applyFill="1" applyBorder="1">
      <alignment vertical="center"/>
    </xf>
    <xf numFmtId="0" fontId="8" fillId="9" borderId="24" xfId="0" applyFont="1" applyFill="1" applyBorder="1">
      <alignment vertical="center"/>
    </xf>
    <xf numFmtId="0" fontId="8" fillId="9" borderId="34" xfId="0" applyFont="1" applyFill="1" applyBorder="1">
      <alignment vertical="center"/>
    </xf>
    <xf numFmtId="0" fontId="8" fillId="9" borderId="35" xfId="0" applyFont="1" applyFill="1" applyBorder="1">
      <alignment vertical="center"/>
    </xf>
    <xf numFmtId="0" fontId="8" fillId="9" borderId="31" xfId="0" applyFont="1" applyFill="1" applyBorder="1">
      <alignment vertical="center"/>
    </xf>
    <xf numFmtId="0" fontId="8" fillId="9" borderId="32" xfId="0" applyFont="1" applyFill="1" applyBorder="1">
      <alignment vertical="center"/>
    </xf>
    <xf numFmtId="0" fontId="8" fillId="9" borderId="20" xfId="0" applyFont="1" applyFill="1" applyBorder="1">
      <alignment vertical="center"/>
    </xf>
    <xf numFmtId="0" fontId="8" fillId="9" borderId="22" xfId="0" applyFont="1" applyFill="1" applyBorder="1">
      <alignment vertical="center"/>
    </xf>
    <xf numFmtId="0" fontId="8" fillId="9" borderId="16" xfId="0" applyFont="1" applyFill="1" applyBorder="1">
      <alignment vertical="center"/>
    </xf>
    <xf numFmtId="0" fontId="8" fillId="9" borderId="53" xfId="0" applyFont="1" applyFill="1" applyBorder="1">
      <alignment vertical="center"/>
    </xf>
    <xf numFmtId="0" fontId="8" fillId="9" borderId="54" xfId="0" applyFont="1" applyFill="1" applyBorder="1">
      <alignment vertical="center"/>
    </xf>
    <xf numFmtId="0" fontId="8" fillId="9" borderId="15" xfId="0" applyFont="1" applyFill="1" applyBorder="1">
      <alignment vertical="center"/>
    </xf>
    <xf numFmtId="0" fontId="8" fillId="7" borderId="20" xfId="0" applyFont="1" applyFill="1" applyBorder="1">
      <alignment vertical="center"/>
    </xf>
    <xf numFmtId="0" fontId="8" fillId="7" borderId="31" xfId="0" applyFont="1" applyFill="1" applyBorder="1">
      <alignment vertical="center"/>
    </xf>
    <xf numFmtId="0" fontId="9" fillId="2" borderId="64" xfId="0" applyFont="1" applyFill="1" applyBorder="1" applyAlignment="1">
      <alignment horizontal="center" vertical="center"/>
    </xf>
    <xf numFmtId="0" fontId="8" fillId="0" borderId="65" xfId="0" applyFont="1" applyBorder="1">
      <alignment vertical="center"/>
    </xf>
    <xf numFmtId="0" fontId="8" fillId="0" borderId="66" xfId="0" applyFont="1" applyBorder="1">
      <alignment vertical="center"/>
    </xf>
    <xf numFmtId="0" fontId="8" fillId="0" borderId="67" xfId="0" applyFont="1" applyBorder="1">
      <alignment vertical="center"/>
    </xf>
    <xf numFmtId="0" fontId="8" fillId="0" borderId="68" xfId="0" applyFont="1" applyBorder="1">
      <alignment vertical="center"/>
    </xf>
    <xf numFmtId="0" fontId="8" fillId="0" borderId="69" xfId="0" applyFont="1" applyBorder="1">
      <alignment vertical="center"/>
    </xf>
    <xf numFmtId="0" fontId="8" fillId="8" borderId="67" xfId="0" applyFont="1" applyFill="1" applyBorder="1">
      <alignment vertical="center"/>
    </xf>
    <xf numFmtId="0" fontId="8" fillId="8" borderId="68" xfId="0" applyFont="1" applyFill="1" applyBorder="1">
      <alignment vertical="center"/>
    </xf>
    <xf numFmtId="0" fontId="8" fillId="8" borderId="65" xfId="0" applyFont="1" applyFill="1" applyBorder="1">
      <alignment vertical="center"/>
    </xf>
    <xf numFmtId="0" fontId="8" fillId="8" borderId="66" xfId="0" applyFont="1" applyFill="1" applyBorder="1">
      <alignment vertical="center"/>
    </xf>
    <xf numFmtId="0" fontId="8" fillId="8" borderId="70" xfId="0" applyFont="1" applyFill="1" applyBorder="1">
      <alignment vertical="center"/>
    </xf>
    <xf numFmtId="0" fontId="8" fillId="8" borderId="71" xfId="0" applyFont="1" applyFill="1" applyBorder="1">
      <alignment vertical="center"/>
    </xf>
    <xf numFmtId="0" fontId="8" fillId="8" borderId="72" xfId="0" applyFont="1" applyFill="1" applyBorder="1">
      <alignment vertical="center"/>
    </xf>
    <xf numFmtId="0" fontId="8" fillId="8" borderId="73" xfId="0" applyFont="1" applyFill="1" applyBorder="1">
      <alignment vertical="center"/>
    </xf>
    <xf numFmtId="0" fontId="8" fillId="8" borderId="69" xfId="0" applyFont="1" applyFill="1" applyBorder="1">
      <alignment vertical="center"/>
    </xf>
    <xf numFmtId="0" fontId="8" fillId="8" borderId="74" xfId="0" applyFont="1" applyFill="1" applyBorder="1">
      <alignment vertical="center"/>
    </xf>
    <xf numFmtId="0" fontId="8" fillId="8" borderId="75" xfId="0" applyFont="1" applyFill="1" applyBorder="1">
      <alignment vertical="center"/>
    </xf>
    <xf numFmtId="0" fontId="8" fillId="0" borderId="74" xfId="0" applyFont="1" applyBorder="1">
      <alignment vertical="center"/>
    </xf>
    <xf numFmtId="0" fontId="8" fillId="0" borderId="73" xfId="0" applyFont="1" applyBorder="1">
      <alignment vertical="center"/>
    </xf>
    <xf numFmtId="0" fontId="8" fillId="0" borderId="72" xfId="0" applyFont="1" applyBorder="1">
      <alignment vertical="center"/>
    </xf>
    <xf numFmtId="0" fontId="8" fillId="0" borderId="64" xfId="0" applyFont="1" applyBorder="1">
      <alignment vertical="center"/>
    </xf>
    <xf numFmtId="0" fontId="8" fillId="0" borderId="71" xfId="0" applyFont="1" applyBorder="1">
      <alignment vertical="center"/>
    </xf>
    <xf numFmtId="0" fontId="8" fillId="0" borderId="70" xfId="0" applyFont="1" applyBorder="1">
      <alignment vertical="center"/>
    </xf>
    <xf numFmtId="0" fontId="9" fillId="2" borderId="76" xfId="0" applyFont="1" applyFill="1" applyBorder="1" applyAlignment="1">
      <alignment horizontal="center" vertical="center"/>
    </xf>
    <xf numFmtId="0" fontId="8" fillId="9" borderId="77" xfId="0" applyFont="1" applyFill="1" applyBorder="1">
      <alignment vertical="center"/>
    </xf>
    <xf numFmtId="0" fontId="8" fillId="9" borderId="78" xfId="0" applyFont="1" applyFill="1" applyBorder="1">
      <alignment vertical="center"/>
    </xf>
    <xf numFmtId="0" fontId="8" fillId="9" borderId="79" xfId="0" applyFont="1" applyFill="1" applyBorder="1">
      <alignment vertical="center"/>
    </xf>
    <xf numFmtId="0" fontId="8" fillId="9" borderId="80" xfId="0" applyFont="1" applyFill="1" applyBorder="1">
      <alignment vertical="center"/>
    </xf>
    <xf numFmtId="0" fontId="8" fillId="9" borderId="81" xfId="0" applyFont="1" applyFill="1" applyBorder="1">
      <alignment vertical="center"/>
    </xf>
    <xf numFmtId="0" fontId="8" fillId="9" borderId="82" xfId="0" applyFont="1" applyFill="1" applyBorder="1">
      <alignment vertical="center"/>
    </xf>
    <xf numFmtId="0" fontId="8" fillId="9" borderId="83" xfId="0" applyFont="1" applyFill="1" applyBorder="1">
      <alignment vertical="center"/>
    </xf>
    <xf numFmtId="0" fontId="8" fillId="9" borderId="84" xfId="0" applyFont="1" applyFill="1" applyBorder="1">
      <alignment vertical="center"/>
    </xf>
    <xf numFmtId="0" fontId="8" fillId="9" borderId="85" xfId="0" applyFont="1" applyFill="1" applyBorder="1">
      <alignment vertical="center"/>
    </xf>
    <xf numFmtId="0" fontId="8" fillId="9" borderId="86" xfId="0" applyFont="1" applyFill="1" applyBorder="1">
      <alignment vertical="center"/>
    </xf>
    <xf numFmtId="0" fontId="8" fillId="9" borderId="87" xfId="0" applyFont="1" applyFill="1" applyBorder="1">
      <alignment vertical="center"/>
    </xf>
    <xf numFmtId="0" fontId="8" fillId="7" borderId="79" xfId="0" applyFont="1" applyFill="1" applyBorder="1">
      <alignment vertical="center"/>
    </xf>
    <xf numFmtId="0" fontId="8" fillId="9" borderId="76" xfId="0" applyFont="1" applyFill="1" applyBorder="1">
      <alignment vertical="center"/>
    </xf>
    <xf numFmtId="0" fontId="8" fillId="0" borderId="29" xfId="0" applyFont="1" applyBorder="1" applyAlignment="1">
      <alignment horizontal="center" vertical="center" wrapText="1" shrinkToFit="1"/>
    </xf>
    <xf numFmtId="0" fontId="8" fillId="0" borderId="26" xfId="0" applyFont="1" applyBorder="1" applyAlignment="1">
      <alignment horizontal="center" vertical="center" wrapText="1" shrinkToFit="1"/>
    </xf>
    <xf numFmtId="0" fontId="8" fillId="0" borderId="59" xfId="0" applyFont="1" applyBorder="1" applyAlignment="1">
      <alignment horizontal="center" vertical="center" wrapText="1" shrinkToFit="1"/>
    </xf>
    <xf numFmtId="0" fontId="8" fillId="0" borderId="58" xfId="0" applyFont="1" applyBorder="1" applyAlignment="1">
      <alignment horizontal="center" vertical="center" wrapText="1" shrinkToFit="1"/>
    </xf>
    <xf numFmtId="0" fontId="8" fillId="0" borderId="60" xfId="0" applyFont="1" applyBorder="1" applyAlignment="1">
      <alignment horizontal="center" vertical="center" wrapText="1" shrinkToFit="1"/>
    </xf>
    <xf numFmtId="0" fontId="8" fillId="0" borderId="27" xfId="0" applyFont="1" applyBorder="1" applyAlignment="1">
      <alignment horizontal="center" vertical="center" wrapText="1" shrinkToFit="1"/>
    </xf>
    <xf numFmtId="0" fontId="8" fillId="0" borderId="57" xfId="0" applyFont="1" applyBorder="1" applyAlignment="1">
      <alignment horizontal="center" vertical="center" wrapText="1" shrinkToFit="1"/>
    </xf>
    <xf numFmtId="0" fontId="8" fillId="0" borderId="28" xfId="0" applyFont="1" applyBorder="1" applyAlignment="1">
      <alignment horizontal="center" vertical="center" wrapText="1" shrinkToFit="1"/>
    </xf>
    <xf numFmtId="0" fontId="8" fillId="0" borderId="61" xfId="0" applyFont="1" applyBorder="1" applyAlignment="1">
      <alignment horizontal="center" vertical="center" wrapText="1" shrinkToFit="1"/>
    </xf>
    <xf numFmtId="0" fontId="8" fillId="0" borderId="88" xfId="0" applyFont="1" applyBorder="1" applyAlignment="1">
      <alignment horizontal="center" vertical="center" wrapText="1" shrinkToFit="1"/>
    </xf>
    <xf numFmtId="0" fontId="8" fillId="0" borderId="62" xfId="0" applyFont="1" applyBorder="1" applyAlignment="1">
      <alignment horizontal="center" vertical="center" wrapText="1" shrinkToFit="1"/>
    </xf>
    <xf numFmtId="0" fontId="8" fillId="0" borderId="63" xfId="0" applyFont="1" applyBorder="1" applyAlignment="1">
      <alignment horizontal="center" vertical="center" wrapText="1" shrinkToFit="1"/>
    </xf>
    <xf numFmtId="0" fontId="8" fillId="0" borderId="0" xfId="0" applyFont="1" applyAlignment="1">
      <alignment horizontal="center" vertical="center" wrapText="1" shrinkToFit="1"/>
    </xf>
    <xf numFmtId="0" fontId="11" fillId="0" borderId="0" xfId="0" applyFont="1" applyAlignment="1">
      <alignment horizontal="center" vertical="center" wrapText="1" shrinkToFit="1"/>
    </xf>
    <xf numFmtId="0" fontId="8" fillId="0" borderId="14" xfId="0" applyFont="1" applyBorder="1" applyAlignment="1">
      <alignment horizontal="center" vertical="center" wrapText="1" shrinkToFit="1"/>
    </xf>
    <xf numFmtId="0" fontId="8" fillId="0" borderId="30" xfId="0" applyFont="1" applyBorder="1" applyAlignment="1">
      <alignment horizontal="center" vertical="center" wrapText="1" shrinkToFit="1"/>
    </xf>
    <xf numFmtId="0" fontId="8" fillId="0" borderId="5" xfId="0" applyFont="1" applyBorder="1" applyAlignment="1">
      <alignment horizontal="center" vertical="center" wrapText="1" shrinkToFit="1"/>
    </xf>
    <xf numFmtId="0" fontId="8" fillId="0" borderId="11"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33"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48" xfId="0" applyFont="1" applyBorder="1" applyAlignment="1">
      <alignment horizontal="center" vertical="center" wrapText="1" shrinkToFit="1"/>
    </xf>
    <xf numFmtId="0" fontId="8" fillId="0" borderId="43" xfId="0" applyFont="1" applyBorder="1" applyAlignment="1">
      <alignment horizontal="center" vertical="center" wrapText="1" shrinkToFit="1"/>
    </xf>
    <xf numFmtId="0" fontId="8" fillId="0" borderId="52" xfId="0" applyFont="1" applyBorder="1" applyAlignment="1">
      <alignment horizontal="center" vertical="center" wrapText="1" shrinkToFit="1"/>
    </xf>
    <xf numFmtId="0" fontId="8" fillId="0" borderId="25" xfId="0" applyFont="1" applyBorder="1" applyAlignment="1">
      <alignment horizontal="center" vertical="center" wrapText="1" shrinkToFit="1"/>
    </xf>
    <xf numFmtId="0" fontId="7" fillId="3" borderId="2" xfId="0" applyFont="1" applyFill="1" applyBorder="1" applyAlignment="1">
      <alignment horizontal="center" vertical="top" shrinkToFit="1"/>
    </xf>
    <xf numFmtId="0" fontId="7" fillId="4" borderId="3" xfId="0" applyFont="1" applyFill="1" applyBorder="1" applyAlignment="1">
      <alignment horizontal="center" vertical="top" shrinkToFit="1"/>
    </xf>
    <xf numFmtId="0" fontId="7" fillId="3" borderId="3" xfId="0" applyFont="1" applyFill="1" applyBorder="1" applyAlignment="1">
      <alignment horizontal="center" vertical="top" shrinkToFit="1"/>
    </xf>
    <xf numFmtId="0" fontId="7" fillId="3" borderId="4" xfId="0" applyFont="1" applyFill="1" applyBorder="1" applyAlignment="1">
      <alignment horizontal="center" vertical="top" shrinkToFit="1"/>
    </xf>
    <xf numFmtId="0" fontId="7" fillId="4" borderId="4" xfId="0" applyFont="1" applyFill="1" applyBorder="1" applyAlignment="1">
      <alignment horizontal="center" vertical="top" shrinkToFit="1"/>
    </xf>
    <xf numFmtId="0" fontId="7" fillId="5" borderId="2" xfId="0" applyFont="1" applyFill="1" applyBorder="1" applyAlignment="1">
      <alignment horizontal="center" vertical="top" shrinkToFit="1"/>
    </xf>
    <xf numFmtId="0" fontId="7" fillId="5" borderId="3" xfId="0" applyFont="1" applyFill="1" applyBorder="1" applyAlignment="1">
      <alignment horizontal="center" vertical="top" shrinkToFit="1"/>
    </xf>
    <xf numFmtId="0" fontId="7" fillId="5" borderId="4" xfId="0" applyFont="1" applyFill="1" applyBorder="1" applyAlignment="1">
      <alignment horizontal="center" vertical="top" shrinkToFit="1"/>
    </xf>
    <xf numFmtId="0" fontId="7" fillId="6" borderId="3" xfId="0" applyFont="1" applyFill="1" applyBorder="1" applyAlignment="1">
      <alignment horizontal="center" vertical="top" shrinkToFit="1"/>
    </xf>
    <xf numFmtId="0" fontId="7" fillId="6" borderId="4" xfId="0" applyFont="1" applyFill="1" applyBorder="1" applyAlignment="1">
      <alignment horizontal="center" vertical="top" shrinkToFit="1"/>
    </xf>
    <xf numFmtId="0" fontId="7" fillId="0" borderId="0" xfId="0" applyFont="1" applyAlignment="1">
      <alignment horizontal="center" vertical="top" shrinkToFit="1"/>
    </xf>
    <xf numFmtId="0" fontId="10" fillId="0" borderId="0" xfId="0" applyFont="1" applyAlignment="1">
      <alignment horizontal="center" vertical="top" shrinkToFit="1"/>
    </xf>
    <xf numFmtId="0" fontId="7" fillId="0" borderId="2" xfId="0" applyFont="1" applyBorder="1" applyAlignment="1">
      <alignment horizontal="center" vertical="center" shrinkToFit="1"/>
    </xf>
    <xf numFmtId="0" fontId="7" fillId="3" borderId="1" xfId="0" applyFont="1" applyFill="1" applyBorder="1" applyAlignment="1">
      <alignment horizontal="center" vertical="top" shrinkToFit="1"/>
    </xf>
    <xf numFmtId="0" fontId="7" fillId="5" borderId="1" xfId="0" applyFont="1" applyFill="1" applyBorder="1" applyAlignment="1">
      <alignment horizontal="center" vertical="top" shrinkToFit="1"/>
    </xf>
    <xf numFmtId="0" fontId="7" fillId="3" borderId="47" xfId="0" applyFont="1" applyFill="1" applyBorder="1" applyAlignment="1">
      <alignment horizontal="center" vertical="top" shrinkToFit="1"/>
    </xf>
    <xf numFmtId="0" fontId="7" fillId="0" borderId="37" xfId="0" applyFont="1" applyBorder="1" applyAlignment="1">
      <alignment horizontal="center" vertical="center" shrinkToFit="1"/>
    </xf>
    <xf numFmtId="0" fontId="9" fillId="2" borderId="89" xfId="0" applyFont="1" applyFill="1" applyBorder="1" applyAlignment="1">
      <alignment horizontal="center" vertical="center"/>
    </xf>
    <xf numFmtId="0" fontId="8" fillId="0" borderId="90" xfId="0" applyFont="1" applyBorder="1">
      <alignment vertical="center"/>
    </xf>
    <xf numFmtId="0" fontId="8" fillId="0" borderId="91" xfId="0" applyFont="1" applyBorder="1">
      <alignment vertical="center"/>
    </xf>
    <xf numFmtId="0" fontId="8" fillId="0" borderId="92" xfId="0" applyFont="1" applyBorder="1">
      <alignment vertical="center"/>
    </xf>
    <xf numFmtId="0" fontId="8" fillId="0" borderId="93" xfId="0" applyFont="1" applyBorder="1">
      <alignment vertical="center"/>
    </xf>
    <xf numFmtId="0" fontId="8" fillId="8" borderId="91" xfId="0" applyFont="1" applyFill="1" applyBorder="1">
      <alignment vertical="center"/>
    </xf>
    <xf numFmtId="0" fontId="8" fillId="8" borderId="92" xfId="0" applyFont="1" applyFill="1" applyBorder="1">
      <alignment vertical="center"/>
    </xf>
    <xf numFmtId="0" fontId="8" fillId="8" borderId="90" xfId="0" applyFont="1" applyFill="1" applyBorder="1">
      <alignment vertical="center"/>
    </xf>
    <xf numFmtId="0" fontId="8" fillId="8" borderId="94" xfId="0" applyFont="1" applyFill="1" applyBorder="1">
      <alignment vertical="center"/>
    </xf>
    <xf numFmtId="0" fontId="8" fillId="8" borderId="0" xfId="0" applyFont="1" applyFill="1">
      <alignment vertical="center"/>
    </xf>
    <xf numFmtId="0" fontId="8" fillId="8" borderId="95" xfId="0" applyFont="1" applyFill="1" applyBorder="1">
      <alignment vertical="center"/>
    </xf>
    <xf numFmtId="0" fontId="8" fillId="8" borderId="93" xfId="0" applyFont="1" applyFill="1" applyBorder="1">
      <alignment vertical="center"/>
    </xf>
    <xf numFmtId="0" fontId="8" fillId="8" borderId="96" xfId="0" applyFont="1" applyFill="1" applyBorder="1">
      <alignment vertical="center"/>
    </xf>
    <xf numFmtId="0" fontId="8" fillId="8" borderId="97" xfId="0" applyFont="1" applyFill="1" applyBorder="1">
      <alignment vertical="center"/>
    </xf>
    <xf numFmtId="0" fontId="8" fillId="8" borderId="98" xfId="0" applyFont="1" applyFill="1" applyBorder="1">
      <alignment vertical="center"/>
    </xf>
    <xf numFmtId="0" fontId="8" fillId="8" borderId="99" xfId="0" applyFont="1" applyFill="1" applyBorder="1">
      <alignment vertical="center"/>
    </xf>
    <xf numFmtId="0" fontId="8" fillId="0" borderId="96" xfId="0" applyFont="1" applyBorder="1">
      <alignment vertical="center"/>
    </xf>
    <xf numFmtId="0" fontId="8" fillId="0" borderId="97" xfId="0" applyFont="1" applyBorder="1">
      <alignment vertical="center"/>
    </xf>
    <xf numFmtId="0" fontId="8" fillId="0" borderId="99" xfId="0" applyFont="1" applyBorder="1">
      <alignment vertical="center"/>
    </xf>
    <xf numFmtId="0" fontId="8" fillId="0" borderId="94" xfId="0" applyFont="1" applyBorder="1">
      <alignment vertical="center"/>
    </xf>
    <xf numFmtId="0" fontId="8" fillId="0" borderId="95" xfId="0" applyFont="1" applyBorder="1">
      <alignment vertical="center"/>
    </xf>
    <xf numFmtId="0" fontId="8" fillId="0" borderId="89" xfId="0" applyFont="1" applyBorder="1">
      <alignment vertical="center"/>
    </xf>
    <xf numFmtId="0" fontId="8" fillId="7" borderId="91" xfId="0" applyFont="1" applyFill="1" applyBorder="1">
      <alignment vertical="center"/>
    </xf>
    <xf numFmtId="0" fontId="8" fillId="7" borderId="92" xfId="0" applyFont="1" applyFill="1" applyBorder="1">
      <alignment vertical="center"/>
    </xf>
    <xf numFmtId="0" fontId="8" fillId="7" borderId="0" xfId="0" applyFont="1" applyFill="1">
      <alignment vertical="center"/>
    </xf>
    <xf numFmtId="0" fontId="8" fillId="7" borderId="95" xfId="0" applyFont="1" applyFill="1" applyBorder="1">
      <alignment vertical="center"/>
    </xf>
    <xf numFmtId="0" fontId="8" fillId="7" borderId="90" xfId="0" applyFont="1" applyFill="1" applyBorder="1">
      <alignment vertical="center"/>
    </xf>
    <xf numFmtId="0" fontId="8" fillId="7" borderId="94" xfId="0" applyFont="1" applyFill="1" applyBorder="1">
      <alignment vertical="center"/>
    </xf>
    <xf numFmtId="0" fontId="8" fillId="7" borderId="99" xfId="0" applyFont="1" applyFill="1" applyBorder="1">
      <alignment vertical="center"/>
    </xf>
    <xf numFmtId="0" fontId="8" fillId="9" borderId="90" xfId="0" applyFont="1" applyFill="1" applyBorder="1">
      <alignment vertical="center"/>
    </xf>
    <xf numFmtId="0" fontId="8" fillId="9" borderId="0" xfId="0" applyFont="1" applyFill="1">
      <alignment vertical="center"/>
    </xf>
    <xf numFmtId="0" fontId="8" fillId="9" borderId="91" xfId="0" applyFont="1" applyFill="1" applyBorder="1">
      <alignment vertical="center"/>
    </xf>
    <xf numFmtId="0" fontId="8" fillId="9" borderId="92" xfId="0" applyFont="1" applyFill="1" applyBorder="1">
      <alignment vertical="center"/>
    </xf>
    <xf numFmtId="0" fontId="8" fillId="9" borderId="93" xfId="0" applyFont="1" applyFill="1" applyBorder="1">
      <alignment vertical="center"/>
    </xf>
    <xf numFmtId="0" fontId="8" fillId="9" borderId="94" xfId="0" applyFont="1" applyFill="1" applyBorder="1">
      <alignment vertical="center"/>
    </xf>
    <xf numFmtId="0" fontId="8" fillId="9" borderId="95" xfId="0" applyFont="1" applyFill="1" applyBorder="1">
      <alignment vertical="center"/>
    </xf>
    <xf numFmtId="0" fontId="8" fillId="9" borderId="96" xfId="0" applyFont="1" applyFill="1" applyBorder="1">
      <alignment vertical="center"/>
    </xf>
    <xf numFmtId="0" fontId="8" fillId="9" borderId="97" xfId="0" applyFont="1" applyFill="1" applyBorder="1">
      <alignment vertical="center"/>
    </xf>
    <xf numFmtId="0" fontId="8" fillId="9" borderId="98" xfId="0" applyFont="1" applyFill="1" applyBorder="1">
      <alignment vertical="center"/>
    </xf>
    <xf numFmtId="0" fontId="8" fillId="9" borderId="99" xfId="0" applyFont="1" applyFill="1" applyBorder="1">
      <alignment vertical="center"/>
    </xf>
    <xf numFmtId="0" fontId="8" fillId="7" borderId="97" xfId="0" applyFont="1" applyFill="1" applyBorder="1">
      <alignment vertical="center"/>
    </xf>
    <xf numFmtId="0" fontId="8" fillId="7" borderId="93" xfId="0" applyFont="1" applyFill="1" applyBorder="1">
      <alignment vertical="center"/>
    </xf>
    <xf numFmtId="0" fontId="8" fillId="9" borderId="89" xfId="0" applyFont="1" applyFill="1" applyBorder="1">
      <alignment vertical="center"/>
    </xf>
    <xf numFmtId="0" fontId="8" fillId="0" borderId="90" xfId="0" applyFont="1" applyBorder="1" applyAlignment="1">
      <alignment horizontal="center" vertical="center"/>
    </xf>
    <xf numFmtId="0" fontId="8" fillId="0" borderId="91" xfId="0" applyFont="1" applyBorder="1" applyAlignment="1">
      <alignment horizontal="center" vertical="center"/>
    </xf>
    <xf numFmtId="0" fontId="8" fillId="0" borderId="92" xfId="0" applyFont="1" applyBorder="1" applyAlignment="1">
      <alignment horizontal="center" vertical="center"/>
    </xf>
    <xf numFmtId="0" fontId="8" fillId="0" borderId="93" xfId="0" applyFont="1" applyBorder="1" applyAlignment="1">
      <alignment horizontal="center" vertical="center"/>
    </xf>
    <xf numFmtId="0" fontId="8" fillId="8" borderId="91" xfId="0" applyFont="1" applyFill="1" applyBorder="1" applyAlignment="1">
      <alignment horizontal="center" vertical="center"/>
    </xf>
    <xf numFmtId="0" fontId="8" fillId="8" borderId="92" xfId="0" applyFont="1" applyFill="1" applyBorder="1" applyAlignment="1">
      <alignment horizontal="center" vertical="center"/>
    </xf>
    <xf numFmtId="0" fontId="8" fillId="8" borderId="90" xfId="0" applyFont="1" applyFill="1" applyBorder="1" applyAlignment="1">
      <alignment horizontal="center" vertical="center"/>
    </xf>
    <xf numFmtId="0" fontId="8" fillId="8" borderId="94" xfId="0" applyFont="1" applyFill="1" applyBorder="1" applyAlignment="1">
      <alignment horizontal="center" vertical="center"/>
    </xf>
    <xf numFmtId="0" fontId="8" fillId="8" borderId="0" xfId="0" applyFont="1" applyFill="1" applyAlignment="1">
      <alignment horizontal="center" vertical="center"/>
    </xf>
    <xf numFmtId="0" fontId="8" fillId="8" borderId="95" xfId="0" applyFont="1" applyFill="1" applyBorder="1" applyAlignment="1">
      <alignment horizontal="center" vertical="center"/>
    </xf>
    <xf numFmtId="0" fontId="8" fillId="8" borderId="93" xfId="0" applyFont="1" applyFill="1" applyBorder="1" applyAlignment="1">
      <alignment horizontal="center" vertical="center"/>
    </xf>
    <xf numFmtId="0" fontId="8" fillId="8" borderId="96" xfId="0" applyFont="1" applyFill="1" applyBorder="1" applyAlignment="1">
      <alignment horizontal="center" vertical="center"/>
    </xf>
    <xf numFmtId="0" fontId="8" fillId="8" borderId="97" xfId="0" applyFont="1" applyFill="1" applyBorder="1" applyAlignment="1">
      <alignment horizontal="center" vertical="center"/>
    </xf>
    <xf numFmtId="0" fontId="8" fillId="8" borderId="98" xfId="0" applyFont="1" applyFill="1" applyBorder="1" applyAlignment="1">
      <alignment horizontal="center" vertical="center"/>
    </xf>
    <xf numFmtId="0" fontId="8" fillId="8" borderId="99" xfId="0" applyFont="1" applyFill="1" applyBorder="1" applyAlignment="1">
      <alignment horizontal="center" vertical="center"/>
    </xf>
    <xf numFmtId="0" fontId="8" fillId="0" borderId="96" xfId="0" applyFont="1" applyBorder="1" applyAlignment="1">
      <alignment horizontal="center" vertical="center"/>
    </xf>
    <xf numFmtId="0" fontId="8" fillId="0" borderId="97" xfId="0" applyFont="1" applyBorder="1" applyAlignment="1">
      <alignment horizontal="center" vertical="center"/>
    </xf>
    <xf numFmtId="0" fontId="8" fillId="0" borderId="99" xfId="0" applyFont="1" applyBorder="1" applyAlignment="1">
      <alignment horizontal="center" vertical="center"/>
    </xf>
    <xf numFmtId="0" fontId="8" fillId="0" borderId="94" xfId="0" applyFont="1" applyBorder="1" applyAlignment="1">
      <alignment horizontal="center" vertical="center"/>
    </xf>
    <xf numFmtId="0" fontId="8" fillId="0" borderId="95" xfId="0" applyFont="1" applyBorder="1" applyAlignment="1">
      <alignment horizontal="center" vertical="center"/>
    </xf>
    <xf numFmtId="0" fontId="8" fillId="0" borderId="89" xfId="0" applyFont="1" applyBorder="1" applyAlignment="1">
      <alignment horizontal="center" vertical="center"/>
    </xf>
    <xf numFmtId="0" fontId="8" fillId="0" borderId="91" xfId="0" applyFont="1" applyBorder="1" applyAlignment="1">
      <alignment vertical="center" wrapText="1"/>
    </xf>
    <xf numFmtId="0" fontId="8" fillId="0" borderId="92" xfId="0" applyFont="1" applyBorder="1" applyAlignment="1">
      <alignment vertical="center" wrapText="1"/>
    </xf>
    <xf numFmtId="0" fontId="8" fillId="8" borderId="94" xfId="0" applyFont="1" applyFill="1" applyBorder="1" applyAlignment="1">
      <alignment vertical="center" wrapText="1"/>
    </xf>
    <xf numFmtId="0" fontId="8" fillId="0" borderId="90" xfId="0" applyFont="1" applyBorder="1" applyAlignment="1">
      <alignment vertical="center" wrapText="1"/>
    </xf>
    <xf numFmtId="0" fontId="8" fillId="0" borderId="26" xfId="0" applyFont="1" applyBorder="1" applyAlignment="1">
      <alignment horizontal="left" vertical="top" wrapText="1" shrinkToFit="1"/>
    </xf>
    <xf numFmtId="0" fontId="8" fillId="0" borderId="29" xfId="0" applyFont="1" applyBorder="1" applyAlignment="1">
      <alignment horizontal="left" vertical="top" wrapText="1" shrinkToFit="1"/>
    </xf>
    <xf numFmtId="0" fontId="8" fillId="0" borderId="27" xfId="0" applyFont="1" applyBorder="1" applyAlignment="1">
      <alignment horizontal="left" vertical="top" wrapText="1" shrinkToFit="1"/>
    </xf>
    <xf numFmtId="0" fontId="8" fillId="0" borderId="28" xfId="0" applyFont="1" applyBorder="1" applyAlignment="1">
      <alignment horizontal="left" vertical="top" wrapText="1" shrinkToFit="1"/>
    </xf>
    <xf numFmtId="0" fontId="8" fillId="8" borderId="26" xfId="0" applyFont="1" applyFill="1" applyBorder="1" applyAlignment="1">
      <alignment horizontal="left" vertical="top" wrapText="1" shrinkToFit="1"/>
    </xf>
    <xf numFmtId="0" fontId="8" fillId="8" borderId="28" xfId="0" applyFont="1" applyFill="1" applyBorder="1" applyAlignment="1">
      <alignment horizontal="left" vertical="top" wrapText="1" shrinkToFit="1"/>
    </xf>
    <xf numFmtId="0" fontId="8" fillId="8" borderId="29" xfId="0" applyFont="1" applyFill="1" applyBorder="1" applyAlignment="1">
      <alignment horizontal="left" vertical="top" wrapText="1" shrinkToFit="1"/>
    </xf>
    <xf numFmtId="0" fontId="8" fillId="8" borderId="36" xfId="0" applyFont="1" applyFill="1" applyBorder="1" applyAlignment="1">
      <alignment horizontal="left" vertical="top" wrapText="1" shrinkToFit="1"/>
    </xf>
    <xf numFmtId="0" fontId="8" fillId="8" borderId="38" xfId="0" applyFont="1" applyFill="1" applyBorder="1" applyAlignment="1">
      <alignment horizontal="left" vertical="top" wrapText="1" shrinkToFit="1"/>
    </xf>
    <xf numFmtId="0" fontId="8" fillId="8" borderId="39" xfId="0" applyFont="1" applyFill="1" applyBorder="1" applyAlignment="1">
      <alignment horizontal="left" vertical="top" wrapText="1" shrinkToFit="1"/>
    </xf>
    <xf numFmtId="0" fontId="8" fillId="8" borderId="27" xfId="0" applyFont="1" applyFill="1" applyBorder="1" applyAlignment="1">
      <alignment horizontal="left" vertical="top" wrapText="1" shrinkToFit="1"/>
    </xf>
    <xf numFmtId="0" fontId="8" fillId="8" borderId="3" xfId="0" applyFont="1" applyFill="1" applyBorder="1" applyAlignment="1">
      <alignment horizontal="left" vertical="top" wrapText="1" shrinkToFit="1"/>
    </xf>
    <xf numFmtId="0" fontId="8" fillId="8" borderId="40" xfId="0" applyFont="1" applyFill="1" applyBorder="1" applyAlignment="1">
      <alignment horizontal="left" vertical="top" wrapText="1" shrinkToFit="1"/>
    </xf>
    <xf numFmtId="0" fontId="8" fillId="8" borderId="41" xfId="0" applyFont="1" applyFill="1" applyBorder="1" applyAlignment="1">
      <alignment horizontal="left" vertical="top" wrapText="1" shrinkToFit="1"/>
    </xf>
    <xf numFmtId="0" fontId="8" fillId="8" borderId="42" xfId="0" applyFont="1" applyFill="1" applyBorder="1" applyAlignment="1">
      <alignment horizontal="left" vertical="top" wrapText="1" shrinkToFit="1"/>
    </xf>
    <xf numFmtId="0" fontId="8" fillId="8" borderId="46" xfId="0" applyFont="1" applyFill="1" applyBorder="1" applyAlignment="1">
      <alignment horizontal="left" vertical="top" wrapText="1" shrinkToFit="1"/>
    </xf>
    <xf numFmtId="0" fontId="8" fillId="8" borderId="56" xfId="0" applyFont="1" applyFill="1" applyBorder="1" applyAlignment="1">
      <alignment horizontal="left" vertical="top" wrapText="1" shrinkToFit="1"/>
    </xf>
    <xf numFmtId="0" fontId="8" fillId="8" borderId="55" xfId="0" applyFont="1" applyFill="1" applyBorder="1" applyAlignment="1">
      <alignment horizontal="left" vertical="top" wrapText="1" shrinkToFit="1"/>
    </xf>
    <xf numFmtId="0" fontId="8" fillId="8" borderId="51" xfId="0" applyFont="1" applyFill="1" applyBorder="1" applyAlignment="1">
      <alignment horizontal="left" vertical="top" wrapText="1" shrinkToFit="1"/>
    </xf>
    <xf numFmtId="0" fontId="8" fillId="0" borderId="46" xfId="0" applyFont="1" applyBorder="1" applyAlignment="1">
      <alignment horizontal="left" vertical="top" wrapText="1" shrinkToFit="1"/>
    </xf>
    <xf numFmtId="0" fontId="8" fillId="0" borderId="42" xfId="0" applyFont="1" applyBorder="1" applyAlignment="1">
      <alignment horizontal="left" vertical="top" wrapText="1" shrinkToFit="1"/>
    </xf>
    <xf numFmtId="0" fontId="8" fillId="0" borderId="36" xfId="0" applyFont="1" applyBorder="1" applyAlignment="1">
      <alignment horizontal="left" vertical="top" wrapText="1" shrinkToFit="1"/>
    </xf>
    <xf numFmtId="0" fontId="8" fillId="0" borderId="38" xfId="0" applyFont="1" applyBorder="1" applyAlignment="1">
      <alignment horizontal="left" vertical="top" wrapText="1" shrinkToFit="1"/>
    </xf>
    <xf numFmtId="0" fontId="8" fillId="0" borderId="55" xfId="0" applyFont="1" applyBorder="1" applyAlignment="1">
      <alignment horizontal="left" vertical="top" wrapText="1" shrinkToFit="1"/>
    </xf>
    <xf numFmtId="0" fontId="8" fillId="0" borderId="56" xfId="0" applyFont="1" applyBorder="1" applyAlignment="1">
      <alignment horizontal="left" vertical="top" wrapText="1" shrinkToFit="1"/>
    </xf>
    <xf numFmtId="0" fontId="8" fillId="0" borderId="59" xfId="0" applyFont="1" applyBorder="1" applyAlignment="1">
      <alignment horizontal="left" vertical="top" wrapText="1" shrinkToFit="1"/>
    </xf>
    <xf numFmtId="0" fontId="8" fillId="0" borderId="60" xfId="0" applyFont="1" applyBorder="1" applyAlignment="1">
      <alignment horizontal="left" vertical="top" wrapText="1" shrinkToFit="1"/>
    </xf>
    <xf numFmtId="0" fontId="8" fillId="0" borderId="58" xfId="0" applyFont="1" applyBorder="1" applyAlignment="1">
      <alignment horizontal="left" vertical="top" wrapText="1" shrinkToFit="1"/>
    </xf>
    <xf numFmtId="0" fontId="8" fillId="0" borderId="2" xfId="0" applyFont="1" applyBorder="1" applyAlignment="1">
      <alignment horizontal="left" vertical="top" wrapText="1" shrinkToFit="1"/>
    </xf>
    <xf numFmtId="0" fontId="8" fillId="0" borderId="39" xfId="0" applyFont="1" applyBorder="1" applyAlignment="1">
      <alignment horizontal="left" vertical="top" wrapText="1" shrinkToFit="1"/>
    </xf>
    <xf numFmtId="0" fontId="8" fillId="0" borderId="40" xfId="0" applyFont="1" applyBorder="1" applyAlignment="1">
      <alignment horizontal="left" vertical="top" wrapText="1" shrinkToFit="1"/>
    </xf>
    <xf numFmtId="0" fontId="8" fillId="0" borderId="41" xfId="0" applyFont="1" applyBorder="1" applyAlignment="1">
      <alignment horizontal="left" vertical="top" wrapText="1" shrinkToFit="1"/>
    </xf>
    <xf numFmtId="0" fontId="8" fillId="0" borderId="3" xfId="0" applyFont="1" applyBorder="1" applyAlignment="1">
      <alignment horizontal="left" vertical="top" wrapText="1" shrinkToFit="1"/>
    </xf>
    <xf numFmtId="0" fontId="8" fillId="0" borderId="4" xfId="0" applyFont="1" applyBorder="1" applyAlignment="1">
      <alignment horizontal="left" vertical="top" wrapText="1" shrinkToFit="1"/>
    </xf>
    <xf numFmtId="0" fontId="8" fillId="0" borderId="0" xfId="0" applyFont="1" applyAlignment="1">
      <alignment horizontal="left" vertical="top" wrapText="1" shrinkToFit="1"/>
    </xf>
    <xf numFmtId="0" fontId="11" fillId="0" borderId="0" xfId="0" applyFont="1" applyAlignment="1">
      <alignment horizontal="left" vertical="top" wrapText="1" shrinkToFit="1"/>
    </xf>
    <xf numFmtId="0" fontId="8" fillId="8" borderId="91" xfId="0" applyFont="1" applyFill="1" applyBorder="1" applyAlignment="1">
      <alignment vertical="center" wrapText="1"/>
    </xf>
    <xf numFmtId="0" fontId="8" fillId="0" borderId="89" xfId="0" applyFont="1" applyBorder="1" applyAlignment="1">
      <alignment vertical="center" wrapText="1"/>
    </xf>
    <xf numFmtId="0" fontId="8" fillId="8" borderId="98" xfId="0" applyFont="1" applyFill="1" applyBorder="1" applyAlignment="1">
      <alignment vertical="center" wrapText="1"/>
    </xf>
    <xf numFmtId="0" fontId="8" fillId="7" borderId="91" xfId="0" applyFont="1" applyFill="1" applyBorder="1" applyAlignment="1">
      <alignment vertical="center" wrapText="1"/>
    </xf>
    <xf numFmtId="0" fontId="8" fillId="9" borderId="91" xfId="0" applyFont="1" applyFill="1" applyBorder="1" applyAlignment="1">
      <alignment vertical="center" wrapText="1"/>
    </xf>
    <xf numFmtId="0" fontId="8" fillId="9" borderId="94" xfId="0" applyFont="1" applyFill="1" applyBorder="1" applyAlignment="1">
      <alignment vertical="center" wrapText="1"/>
    </xf>
    <xf numFmtId="0" fontId="8" fillId="7" borderId="93" xfId="0" applyFont="1" applyFill="1" applyBorder="1" applyAlignment="1">
      <alignment vertical="center" wrapText="1"/>
    </xf>
    <xf numFmtId="0" fontId="8" fillId="9" borderId="93" xfId="0" applyFont="1" applyFill="1" applyBorder="1" applyAlignment="1">
      <alignment vertical="center" wrapText="1"/>
    </xf>
    <xf numFmtId="0" fontId="8" fillId="7" borderId="82" xfId="0" applyFont="1" applyFill="1" applyBorder="1">
      <alignment vertical="center"/>
    </xf>
    <xf numFmtId="0" fontId="8" fillId="7" borderId="86" xfId="0" applyFont="1" applyFill="1" applyBorder="1">
      <alignment vertical="center"/>
    </xf>
    <xf numFmtId="0" fontId="8" fillId="7" borderId="83" xfId="0" applyFont="1" applyFill="1" applyBorder="1">
      <alignment vertical="center"/>
    </xf>
    <xf numFmtId="0" fontId="8" fillId="0" borderId="1" xfId="0" applyFont="1" applyBorder="1" applyAlignment="1">
      <alignment horizontal="left" vertical="top" wrapText="1" shrinkToFit="1"/>
    </xf>
    <xf numFmtId="0" fontId="8" fillId="0" borderId="1" xfId="0" applyFont="1" applyBorder="1" applyAlignment="1">
      <alignment horizontal="center" vertical="center" wrapText="1" shrinkToFit="1"/>
    </xf>
    <xf numFmtId="0" fontId="8" fillId="0" borderId="1" xfId="0" applyFont="1" applyBorder="1" applyAlignment="1">
      <alignment horizontal="center" vertical="center"/>
    </xf>
    <xf numFmtId="0" fontId="8" fillId="9" borderId="1" xfId="0" applyFont="1" applyFill="1" applyBorder="1">
      <alignment vertical="center"/>
    </xf>
    <xf numFmtId="0" fontId="8"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0" fontId="8" fillId="8" borderId="1" xfId="0" applyFont="1" applyFill="1" applyBorder="1">
      <alignment vertical="center"/>
    </xf>
    <xf numFmtId="0" fontId="8" fillId="7" borderId="1" xfId="0" applyFont="1" applyFill="1" applyBorder="1">
      <alignment vertical="center"/>
    </xf>
    <xf numFmtId="0" fontId="8" fillId="8" borderId="1" xfId="0" applyFont="1" applyFill="1" applyBorder="1" applyAlignment="1">
      <alignment horizontal="left" vertical="top" wrapText="1" shrinkToFit="1"/>
    </xf>
    <xf numFmtId="0" fontId="7" fillId="5" borderId="52" xfId="0" applyFont="1" applyFill="1" applyBorder="1" applyAlignment="1">
      <alignment horizontal="center" vertical="top" shrinkToFit="1"/>
    </xf>
    <xf numFmtId="0" fontId="8" fillId="8" borderId="53" xfId="0" applyFont="1" applyFill="1" applyBorder="1" applyAlignment="1">
      <alignment horizontal="left" vertical="top" wrapText="1" shrinkToFit="1"/>
    </xf>
    <xf numFmtId="0" fontId="8" fillId="0" borderId="53" xfId="0" applyFont="1" applyBorder="1" applyAlignment="1">
      <alignment horizontal="center" vertical="center" wrapText="1" shrinkToFit="1"/>
    </xf>
    <xf numFmtId="0" fontId="7" fillId="5" borderId="101" xfId="0" applyFont="1" applyFill="1" applyBorder="1" applyAlignment="1">
      <alignment horizontal="center" vertical="top" shrinkToFit="1"/>
    </xf>
    <xf numFmtId="0" fontId="7" fillId="5" borderId="103" xfId="0" applyFont="1" applyFill="1" applyBorder="1" applyAlignment="1">
      <alignment horizontal="center" vertical="top" shrinkToFit="1"/>
    </xf>
    <xf numFmtId="0" fontId="8" fillId="0" borderId="104" xfId="0" applyFont="1" applyBorder="1" applyAlignment="1">
      <alignment horizontal="left" vertical="top" wrapText="1" shrinkToFit="1"/>
    </xf>
    <xf numFmtId="0" fontId="8" fillId="0" borderId="104" xfId="0" applyFont="1" applyBorder="1" applyAlignment="1">
      <alignment horizontal="center" vertical="center"/>
    </xf>
    <xf numFmtId="0" fontId="8" fillId="0" borderId="104" xfId="0" applyFont="1" applyBorder="1">
      <alignment vertical="center"/>
    </xf>
    <xf numFmtId="0" fontId="7" fillId="0" borderId="100" xfId="0" applyFont="1" applyBorder="1" applyAlignment="1">
      <alignment horizontal="center" vertical="center" shrinkToFit="1"/>
    </xf>
    <xf numFmtId="0" fontId="8" fillId="0" borderId="100" xfId="0" applyFont="1" applyBorder="1" applyAlignment="1">
      <alignment horizontal="left" vertical="top" wrapText="1" shrinkToFit="1"/>
    </xf>
    <xf numFmtId="0" fontId="7" fillId="3" borderId="52" xfId="0" applyFont="1" applyFill="1" applyBorder="1" applyAlignment="1">
      <alignment horizontal="center" vertical="top" shrinkToFit="1"/>
    </xf>
    <xf numFmtId="0" fontId="8" fillId="0" borderId="53" xfId="0" applyFont="1" applyBorder="1" applyAlignment="1">
      <alignment horizontal="left" vertical="top" wrapText="1" shrinkToFit="1"/>
    </xf>
    <xf numFmtId="0" fontId="8" fillId="9" borderId="53" xfId="0" applyFont="1" applyFill="1" applyBorder="1" applyAlignment="1">
      <alignment horizontal="center" vertical="center"/>
    </xf>
    <xf numFmtId="0" fontId="7" fillId="3" borderId="101" xfId="0" applyFont="1" applyFill="1" applyBorder="1" applyAlignment="1">
      <alignment horizontal="center" vertical="top" shrinkToFit="1"/>
    </xf>
    <xf numFmtId="0" fontId="7" fillId="3" borderId="103" xfId="0" applyFont="1" applyFill="1" applyBorder="1" applyAlignment="1">
      <alignment horizontal="center" vertical="top" shrinkToFit="1"/>
    </xf>
    <xf numFmtId="0" fontId="8" fillId="9" borderId="104" xfId="0" applyFont="1" applyFill="1" applyBorder="1">
      <alignment vertical="center"/>
    </xf>
    <xf numFmtId="0" fontId="8" fillId="0" borderId="53" xfId="0" applyFont="1" applyBorder="1" applyAlignment="1">
      <alignment horizontal="center" vertical="center"/>
    </xf>
    <xf numFmtId="0" fontId="8" fillId="7" borderId="53" xfId="0" applyFont="1" applyFill="1" applyBorder="1">
      <alignment vertical="center"/>
    </xf>
    <xf numFmtId="0" fontId="8" fillId="8" borderId="104" xfId="0" applyFont="1" applyFill="1" applyBorder="1" applyAlignment="1">
      <alignment horizontal="left" vertical="top" wrapText="1" shrinkToFit="1"/>
    </xf>
    <xf numFmtId="0" fontId="8" fillId="7" borderId="104" xfId="0" applyFont="1" applyFill="1" applyBorder="1">
      <alignment vertical="center"/>
    </xf>
    <xf numFmtId="0" fontId="8" fillId="9" borderId="87" xfId="0" applyFont="1" applyFill="1" applyBorder="1" applyAlignment="1">
      <alignment vertical="center" wrapText="1"/>
    </xf>
    <xf numFmtId="0" fontId="8" fillId="9" borderId="106" xfId="0" applyFont="1" applyFill="1" applyBorder="1" applyAlignment="1">
      <alignment vertical="center" wrapText="1"/>
    </xf>
    <xf numFmtId="0" fontId="8" fillId="9" borderId="107" xfId="0" applyFont="1" applyFill="1" applyBorder="1" applyAlignment="1">
      <alignment vertical="center" wrapText="1"/>
    </xf>
    <xf numFmtId="0" fontId="8" fillId="7" borderId="106" xfId="0" applyFont="1" applyFill="1" applyBorder="1">
      <alignment vertical="center"/>
    </xf>
    <xf numFmtId="0" fontId="8" fillId="7" borderId="107" xfId="0" applyFont="1" applyFill="1" applyBorder="1">
      <alignment vertical="center"/>
    </xf>
    <xf numFmtId="0" fontId="8" fillId="7" borderId="87" xfId="0" applyFont="1" applyFill="1" applyBorder="1">
      <alignment vertical="center"/>
    </xf>
    <xf numFmtId="0" fontId="8" fillId="8" borderId="87" xfId="0" applyFont="1" applyFill="1" applyBorder="1">
      <alignment vertical="center"/>
    </xf>
    <xf numFmtId="0" fontId="8" fillId="8" borderId="106" xfId="0" applyFont="1" applyFill="1" applyBorder="1">
      <alignment vertical="center"/>
    </xf>
    <xf numFmtId="0" fontId="8" fillId="8" borderId="106" xfId="0" applyFont="1" applyFill="1" applyBorder="1" applyAlignment="1">
      <alignment vertical="center" wrapText="1"/>
    </xf>
    <xf numFmtId="0" fontId="8" fillId="7" borderId="106" xfId="0" applyFont="1" applyFill="1" applyBorder="1" applyAlignment="1">
      <alignment vertical="center" wrapText="1"/>
    </xf>
    <xf numFmtId="0" fontId="8" fillId="0" borderId="107" xfId="0" applyFont="1" applyBorder="1" applyAlignment="1">
      <alignment vertical="center" wrapText="1"/>
    </xf>
    <xf numFmtId="0" fontId="8" fillId="9" borderId="106" xfId="0" applyFont="1" applyFill="1" applyBorder="1">
      <alignment vertical="center"/>
    </xf>
    <xf numFmtId="0" fontId="8" fillId="0" borderId="54" xfId="0" applyFont="1" applyBorder="1">
      <alignment vertical="center"/>
    </xf>
    <xf numFmtId="0" fontId="8" fillId="0" borderId="102" xfId="0" applyFont="1" applyBorder="1">
      <alignment vertical="center"/>
    </xf>
    <xf numFmtId="0" fontId="8" fillId="0" borderId="105" xfId="0" applyFont="1" applyBorder="1">
      <alignment vertical="center"/>
    </xf>
    <xf numFmtId="0" fontId="8" fillId="9" borderId="104" xfId="0" applyFont="1" applyFill="1" applyBorder="1" applyAlignment="1">
      <alignment horizontal="center" vertical="center" wrapText="1"/>
    </xf>
    <xf numFmtId="0" fontId="8" fillId="9" borderId="107" xfId="0" applyFont="1" applyFill="1" applyBorder="1">
      <alignment vertical="center"/>
    </xf>
    <xf numFmtId="0" fontId="8" fillId="10" borderId="106" xfId="0" applyFont="1" applyFill="1" applyBorder="1">
      <alignment vertical="center"/>
    </xf>
    <xf numFmtId="0" fontId="8" fillId="0" borderId="0" xfId="0" applyFont="1" applyAlignment="1">
      <alignment horizontal="right" vertical="center"/>
    </xf>
    <xf numFmtId="0" fontId="0" fillId="0" borderId="47" xfId="0" applyBorder="1">
      <alignment vertical="center"/>
    </xf>
    <xf numFmtId="0" fontId="0" fillId="0" borderId="34" xfId="0" applyBorder="1">
      <alignment vertical="center"/>
    </xf>
    <xf numFmtId="0" fontId="0" fillId="0" borderId="34" xfId="0" applyBorder="1" applyAlignment="1">
      <alignment horizontal="center" vertical="center"/>
    </xf>
    <xf numFmtId="0" fontId="0" fillId="0" borderId="47" xfId="0" applyBorder="1" applyAlignment="1">
      <alignment horizontal="center" vertical="center"/>
    </xf>
    <xf numFmtId="0" fontId="0" fillId="0" borderId="100" xfId="0" applyBorder="1">
      <alignment vertical="center"/>
    </xf>
    <xf numFmtId="0" fontId="0" fillId="0" borderId="108" xfId="0" applyBorder="1">
      <alignment vertical="center"/>
    </xf>
    <xf numFmtId="0" fontId="0" fillId="0" borderId="82" xfId="0" applyBorder="1">
      <alignment vertical="center"/>
    </xf>
    <xf numFmtId="0" fontId="0" fillId="0" borderId="109" xfId="0" applyBorder="1">
      <alignment vertical="center"/>
    </xf>
    <xf numFmtId="0" fontId="13" fillId="0" borderId="0" xfId="0" applyFont="1">
      <alignment vertical="center"/>
    </xf>
    <xf numFmtId="0" fontId="13" fillId="0" borderId="0" xfId="0" applyFont="1" applyAlignment="1">
      <alignment horizontal="center" vertical="center"/>
    </xf>
    <xf numFmtId="0" fontId="14" fillId="0" borderId="0" xfId="0" applyFont="1" applyAlignment="1">
      <alignment horizontal="center" vertical="center" wrapText="1" shrinkToFit="1"/>
    </xf>
    <xf numFmtId="0" fontId="13" fillId="0" borderId="14" xfId="0" applyFont="1" applyBorder="1" applyAlignment="1">
      <alignment horizontal="center" vertical="center" wrapText="1" shrinkToFit="1"/>
    </xf>
    <xf numFmtId="0" fontId="13" fillId="0" borderId="26" xfId="0" applyFont="1" applyBorder="1" applyAlignment="1">
      <alignment horizontal="center" vertical="center" wrapText="1" shrinkToFit="1"/>
    </xf>
    <xf numFmtId="0" fontId="13" fillId="0" borderId="52" xfId="0" applyFont="1" applyBorder="1" applyAlignment="1">
      <alignment horizontal="center" vertical="center" wrapText="1" shrinkToFit="1"/>
    </xf>
    <xf numFmtId="0" fontId="13" fillId="8" borderId="75" xfId="0" applyFont="1" applyFill="1" applyBorder="1">
      <alignment vertical="center"/>
    </xf>
    <xf numFmtId="0" fontId="13" fillId="8" borderId="98" xfId="0" applyFont="1" applyFill="1" applyBorder="1" applyAlignment="1">
      <alignment horizontal="center" vertical="center"/>
    </xf>
    <xf numFmtId="0" fontId="13" fillId="0" borderId="62" xfId="0" applyFont="1" applyBorder="1" applyAlignment="1">
      <alignment horizontal="center" vertical="center" wrapText="1" shrinkToFit="1"/>
    </xf>
    <xf numFmtId="0" fontId="13" fillId="8" borderId="53" xfId="0" applyFont="1" applyFill="1" applyBorder="1">
      <alignment vertical="center"/>
    </xf>
    <xf numFmtId="0" fontId="13" fillId="8" borderId="98" xfId="0" applyFont="1" applyFill="1" applyBorder="1">
      <alignment vertical="center"/>
    </xf>
    <xf numFmtId="0" fontId="13" fillId="8" borderId="98" xfId="0" applyFont="1" applyFill="1" applyBorder="1" applyAlignment="1">
      <alignment vertical="center" wrapText="1"/>
    </xf>
    <xf numFmtId="0" fontId="13" fillId="9" borderId="53" xfId="0" applyFont="1" applyFill="1" applyBorder="1">
      <alignment vertical="center"/>
    </xf>
    <xf numFmtId="0" fontId="13" fillId="9" borderId="98" xfId="0" applyFont="1" applyFill="1" applyBorder="1">
      <alignment vertical="center"/>
    </xf>
    <xf numFmtId="0" fontId="13" fillId="9" borderId="87" xfId="0" applyFont="1" applyFill="1" applyBorder="1">
      <alignment vertical="center"/>
    </xf>
    <xf numFmtId="0" fontId="13" fillId="9" borderId="54" xfId="0" applyFont="1" applyFill="1" applyBorder="1">
      <alignment vertical="center"/>
    </xf>
    <xf numFmtId="0" fontId="13" fillId="0" borderId="0" xfId="0" applyFont="1" applyAlignment="1">
      <alignment horizontal="center" vertical="center" wrapText="1" shrinkToFit="1"/>
    </xf>
    <xf numFmtId="0" fontId="13" fillId="0" borderId="75" xfId="0" applyFont="1" applyBorder="1">
      <alignment vertical="center"/>
    </xf>
    <xf numFmtId="0" fontId="13" fillId="0" borderId="98" xfId="0" applyFont="1" applyBorder="1" applyAlignment="1">
      <alignment horizontal="center" vertical="center"/>
    </xf>
    <xf numFmtId="0" fontId="13" fillId="0" borderId="53" xfId="0" applyFont="1" applyBorder="1">
      <alignment vertical="center"/>
    </xf>
    <xf numFmtId="0" fontId="13" fillId="0" borderId="98" xfId="0" applyFont="1" applyBorder="1" applyAlignment="1">
      <alignment vertical="center" wrapText="1"/>
    </xf>
    <xf numFmtId="0" fontId="13" fillId="0" borderId="98" xfId="0" applyFont="1" applyBorder="1">
      <alignment vertical="center"/>
    </xf>
    <xf numFmtId="0" fontId="13" fillId="9" borderId="98" xfId="0" applyFont="1" applyFill="1" applyBorder="1" applyAlignment="1">
      <alignment vertical="center" wrapText="1"/>
    </xf>
    <xf numFmtId="0" fontId="13" fillId="0" borderId="101" xfId="0" applyFont="1" applyBorder="1" applyAlignment="1">
      <alignment horizontal="center" vertical="center" wrapText="1" shrinkToFit="1"/>
    </xf>
    <xf numFmtId="0" fontId="13" fillId="0" borderId="110" xfId="0" applyFont="1" applyBorder="1">
      <alignment vertical="center"/>
    </xf>
    <xf numFmtId="0" fontId="13" fillId="0" borderId="111" xfId="0" applyFont="1" applyBorder="1" applyAlignment="1">
      <alignment horizontal="center" vertical="center"/>
    </xf>
    <xf numFmtId="0" fontId="13" fillId="0" borderId="112" xfId="0" applyFont="1" applyBorder="1" applyAlignment="1">
      <alignment horizontal="center" vertical="center" wrapText="1" shrinkToFit="1"/>
    </xf>
    <xf numFmtId="0" fontId="13" fillId="0" borderId="1" xfId="0" applyFont="1" applyBorder="1">
      <alignment vertical="center"/>
    </xf>
    <xf numFmtId="0" fontId="13" fillId="0" borderId="111" xfId="0" applyFont="1" applyBorder="1" applyAlignment="1">
      <alignment vertical="center" wrapText="1"/>
    </xf>
    <xf numFmtId="0" fontId="13" fillId="0" borderId="111" xfId="0" applyFont="1" applyBorder="1">
      <alignment vertical="center"/>
    </xf>
    <xf numFmtId="0" fontId="13" fillId="9" borderId="1" xfId="0" applyFont="1" applyFill="1" applyBorder="1">
      <alignment vertical="center"/>
    </xf>
    <xf numFmtId="0" fontId="13" fillId="9" borderId="111" xfId="0" applyFont="1" applyFill="1" applyBorder="1">
      <alignment vertical="center"/>
    </xf>
    <xf numFmtId="0" fontId="13" fillId="9" borderId="111" xfId="0" applyFont="1" applyFill="1" applyBorder="1" applyAlignment="1">
      <alignment vertical="center" wrapText="1"/>
    </xf>
    <xf numFmtId="0" fontId="13" fillId="9" borderId="106" xfId="0" applyFont="1" applyFill="1" applyBorder="1">
      <alignment vertical="center"/>
    </xf>
    <xf numFmtId="0" fontId="13" fillId="9" borderId="102" xfId="0" applyFont="1" applyFill="1" applyBorder="1">
      <alignment vertical="center"/>
    </xf>
    <xf numFmtId="0" fontId="13" fillId="7" borderId="1" xfId="0" applyFont="1" applyFill="1" applyBorder="1">
      <alignment vertical="center"/>
    </xf>
    <xf numFmtId="0" fontId="13" fillId="7" borderId="111" xfId="0" applyFont="1" applyFill="1" applyBorder="1">
      <alignment vertical="center"/>
    </xf>
    <xf numFmtId="0" fontId="13" fillId="7" borderId="53" xfId="0" applyFont="1" applyFill="1" applyBorder="1">
      <alignment vertical="center"/>
    </xf>
    <xf numFmtId="0" fontId="13" fillId="7" borderId="98" xfId="0" applyFont="1" applyFill="1" applyBorder="1">
      <alignment vertical="center"/>
    </xf>
    <xf numFmtId="0" fontId="13" fillId="0" borderId="46" xfId="0" applyFont="1" applyBorder="1" applyAlignment="1">
      <alignment horizontal="center" vertical="center" wrapText="1" shrinkToFit="1"/>
    </xf>
    <xf numFmtId="0" fontId="13" fillId="8" borderId="47" xfId="0" applyFont="1" applyFill="1" applyBorder="1">
      <alignment vertical="center"/>
    </xf>
    <xf numFmtId="0" fontId="13" fillId="8" borderId="113" xfId="0" applyFont="1" applyFill="1" applyBorder="1">
      <alignment vertical="center"/>
    </xf>
    <xf numFmtId="0" fontId="13" fillId="0" borderId="103" xfId="0" applyFont="1" applyBorder="1" applyAlignment="1">
      <alignment horizontal="center" vertical="center" wrapText="1" shrinkToFit="1"/>
    </xf>
    <xf numFmtId="0" fontId="13" fillId="0" borderId="116" xfId="0" applyFont="1" applyBorder="1" applyAlignment="1">
      <alignment horizontal="center" vertical="center" wrapText="1" shrinkToFit="1"/>
    </xf>
    <xf numFmtId="0" fontId="13" fillId="9" borderId="104" xfId="0" applyFont="1" applyFill="1" applyBorder="1">
      <alignment vertical="center"/>
    </xf>
    <xf numFmtId="0" fontId="13" fillId="9" borderId="115" xfId="0" applyFont="1" applyFill="1" applyBorder="1">
      <alignment vertical="center"/>
    </xf>
    <xf numFmtId="0" fontId="13" fillId="9" borderId="107" xfId="0" applyFont="1" applyFill="1" applyBorder="1">
      <alignment vertical="center"/>
    </xf>
    <xf numFmtId="0" fontId="13" fillId="9" borderId="105" xfId="0" applyFont="1" applyFill="1" applyBorder="1">
      <alignment vertical="center"/>
    </xf>
    <xf numFmtId="0" fontId="13" fillId="0" borderId="117" xfId="0" applyFont="1" applyBorder="1" applyAlignment="1">
      <alignment horizontal="center" vertical="center" wrapText="1" shrinkToFit="1"/>
    </xf>
    <xf numFmtId="0" fontId="13" fillId="8" borderId="118" xfId="0" applyFont="1" applyFill="1" applyBorder="1">
      <alignment vertical="center"/>
    </xf>
    <xf numFmtId="0" fontId="13" fillId="8" borderId="113" xfId="0" applyFont="1" applyFill="1" applyBorder="1" applyAlignment="1">
      <alignment horizontal="center" vertical="center"/>
    </xf>
    <xf numFmtId="0" fontId="13" fillId="7" borderId="47" xfId="0" applyFont="1" applyFill="1" applyBorder="1">
      <alignment vertical="center"/>
    </xf>
    <xf numFmtId="0" fontId="13" fillId="7" borderId="113" xfId="0" applyFont="1" applyFill="1" applyBorder="1">
      <alignment vertical="center"/>
    </xf>
    <xf numFmtId="0" fontId="13" fillId="9" borderId="47" xfId="0" applyFont="1" applyFill="1" applyBorder="1">
      <alignment vertical="center"/>
    </xf>
    <xf numFmtId="0" fontId="13" fillId="9" borderId="113" xfId="0" applyFont="1" applyFill="1" applyBorder="1">
      <alignment vertical="center"/>
    </xf>
    <xf numFmtId="0" fontId="13" fillId="9" borderId="108" xfId="0" applyFont="1" applyFill="1" applyBorder="1">
      <alignment vertical="center"/>
    </xf>
    <xf numFmtId="0" fontId="13" fillId="9" borderId="119" xfId="0" applyFont="1" applyFill="1" applyBorder="1">
      <alignment vertical="center"/>
    </xf>
    <xf numFmtId="0" fontId="13" fillId="0" borderId="114" xfId="0" applyFont="1" applyBorder="1">
      <alignment vertical="center"/>
    </xf>
    <xf numFmtId="0" fontId="13" fillId="0" borderId="115" xfId="0" applyFont="1" applyBorder="1" applyAlignment="1">
      <alignment horizontal="center" vertical="center"/>
    </xf>
    <xf numFmtId="0" fontId="13" fillId="0" borderId="104" xfId="0" applyFont="1" applyBorder="1">
      <alignment vertical="center"/>
    </xf>
    <xf numFmtId="0" fontId="13" fillId="0" borderId="115" xfId="0" applyFont="1" applyBorder="1">
      <alignment vertical="center"/>
    </xf>
    <xf numFmtId="0" fontId="13" fillId="8" borderId="110" xfId="0" applyFont="1" applyFill="1" applyBorder="1">
      <alignment vertical="center"/>
    </xf>
    <xf numFmtId="0" fontId="13" fillId="8" borderId="111" xfId="0" applyFont="1" applyFill="1" applyBorder="1" applyAlignment="1">
      <alignment horizontal="center" vertical="center"/>
    </xf>
    <xf numFmtId="0" fontId="13" fillId="8" borderId="1" xfId="0" applyFont="1" applyFill="1" applyBorder="1">
      <alignment vertical="center"/>
    </xf>
    <xf numFmtId="0" fontId="13" fillId="8" borderId="111" xfId="0" applyFont="1" applyFill="1" applyBorder="1">
      <alignment vertical="center"/>
    </xf>
    <xf numFmtId="0" fontId="13" fillId="0" borderId="120" xfId="0" applyFont="1" applyBorder="1" applyAlignment="1">
      <alignment horizontal="center" vertical="center" wrapText="1" shrinkToFit="1"/>
    </xf>
    <xf numFmtId="0" fontId="13" fillId="8" borderId="121" xfId="0" applyFont="1" applyFill="1" applyBorder="1">
      <alignment vertical="center"/>
    </xf>
    <xf numFmtId="0" fontId="13" fillId="8" borderId="122" xfId="0" applyFont="1" applyFill="1" applyBorder="1" applyAlignment="1">
      <alignment horizontal="center" vertical="center"/>
    </xf>
    <xf numFmtId="0" fontId="13" fillId="0" borderId="42" xfId="0" applyFont="1" applyBorder="1" applyAlignment="1">
      <alignment horizontal="center" vertical="center" wrapText="1" shrinkToFit="1"/>
    </xf>
    <xf numFmtId="0" fontId="13" fillId="8" borderId="100" xfId="0" applyFont="1" applyFill="1" applyBorder="1">
      <alignment vertical="center"/>
    </xf>
    <xf numFmtId="0" fontId="13" fillId="8" borderId="122" xfId="0" applyFont="1" applyFill="1" applyBorder="1">
      <alignment vertical="center"/>
    </xf>
    <xf numFmtId="0" fontId="13" fillId="7" borderId="100" xfId="0" applyFont="1" applyFill="1" applyBorder="1">
      <alignment vertical="center"/>
    </xf>
    <xf numFmtId="0" fontId="13" fillId="7" borderId="122" xfId="0" applyFont="1" applyFill="1" applyBorder="1">
      <alignment vertical="center"/>
    </xf>
    <xf numFmtId="0" fontId="13" fillId="9" borderId="100" xfId="0" applyFont="1" applyFill="1" applyBorder="1">
      <alignment vertical="center"/>
    </xf>
    <xf numFmtId="0" fontId="13" fillId="9" borderId="122" xfId="0" applyFont="1" applyFill="1" applyBorder="1">
      <alignment vertical="center"/>
    </xf>
    <xf numFmtId="0" fontId="13" fillId="9" borderId="109" xfId="0" applyFont="1" applyFill="1" applyBorder="1">
      <alignment vertical="center"/>
    </xf>
    <xf numFmtId="0" fontId="13" fillId="9" borderId="123" xfId="0" applyFont="1" applyFill="1" applyBorder="1">
      <alignment vertical="center"/>
    </xf>
    <xf numFmtId="0" fontId="13" fillId="9" borderId="124" xfId="0" applyFont="1" applyFill="1" applyBorder="1">
      <alignment vertical="center"/>
    </xf>
    <xf numFmtId="0" fontId="13" fillId="8" borderId="111" xfId="0" applyFont="1" applyFill="1" applyBorder="1" applyAlignment="1">
      <alignment vertical="center" wrapText="1"/>
    </xf>
    <xf numFmtId="0" fontId="13" fillId="7" borderId="98" xfId="0" applyFont="1" applyFill="1" applyBorder="1" applyAlignment="1">
      <alignment vertical="center" wrapText="1"/>
    </xf>
    <xf numFmtId="0" fontId="13" fillId="7" borderId="87" xfId="0" applyFont="1" applyFill="1" applyBorder="1">
      <alignment vertical="center"/>
    </xf>
    <xf numFmtId="0" fontId="13" fillId="7" borderId="106" xfId="0" applyFont="1" applyFill="1" applyBorder="1">
      <alignment vertical="center"/>
    </xf>
    <xf numFmtId="0" fontId="13" fillId="9" borderId="125" xfId="0" applyFont="1" applyFill="1" applyBorder="1">
      <alignment vertical="center"/>
    </xf>
    <xf numFmtId="0" fontId="13" fillId="0" borderId="121" xfId="0" applyFont="1" applyBorder="1">
      <alignment vertical="center"/>
    </xf>
    <xf numFmtId="0" fontId="13" fillId="0" borderId="122" xfId="0" applyFont="1" applyBorder="1" applyAlignment="1">
      <alignment horizontal="center" vertical="center"/>
    </xf>
    <xf numFmtId="0" fontId="13" fillId="0" borderId="100" xfId="0" applyFont="1" applyBorder="1">
      <alignment vertical="center"/>
    </xf>
    <xf numFmtId="0" fontId="13" fillId="0" borderId="122" xfId="0" applyFont="1" applyBorder="1">
      <alignment vertical="center"/>
    </xf>
    <xf numFmtId="0" fontId="13" fillId="0" borderId="118" xfId="0" applyFont="1" applyBorder="1">
      <alignment vertical="center"/>
    </xf>
    <xf numFmtId="0" fontId="13" fillId="0" borderId="113" xfId="0" applyFont="1" applyBorder="1" applyAlignment="1">
      <alignment horizontal="center" vertical="center"/>
    </xf>
    <xf numFmtId="0" fontId="13" fillId="0" borderId="47" xfId="0" applyFont="1" applyBorder="1">
      <alignment vertical="center"/>
    </xf>
    <xf numFmtId="0" fontId="13" fillId="0" borderId="113" xfId="0" applyFont="1" applyBorder="1" applyAlignment="1">
      <alignment vertical="center" wrapText="1"/>
    </xf>
    <xf numFmtId="0" fontId="13" fillId="0" borderId="113" xfId="0" applyFont="1" applyBorder="1">
      <alignment vertical="center"/>
    </xf>
    <xf numFmtId="0" fontId="13" fillId="9" borderId="113" xfId="0" applyFont="1" applyFill="1" applyBorder="1" applyAlignment="1">
      <alignment vertical="center" wrapText="1"/>
    </xf>
    <xf numFmtId="0" fontId="5" fillId="0" borderId="1" xfId="2" applyBorder="1">
      <alignment vertical="center"/>
    </xf>
    <xf numFmtId="0" fontId="18" fillId="0" borderId="1" xfId="0" applyFont="1" applyBorder="1" applyAlignment="1">
      <alignment horizontal="center" vertical="center"/>
    </xf>
    <xf numFmtId="0" fontId="5" fillId="0" borderId="1" xfId="2" applyBorder="1" applyAlignment="1">
      <alignment vertical="center" shrinkToFit="1"/>
    </xf>
    <xf numFmtId="0" fontId="5" fillId="0" borderId="0" xfId="2">
      <alignment vertical="center"/>
    </xf>
    <xf numFmtId="0" fontId="0" fillId="0" borderId="1" xfId="0" applyBorder="1" applyAlignment="1">
      <alignment horizontal="left" vertical="center"/>
    </xf>
    <xf numFmtId="0" fontId="0" fillId="0" borderId="1" xfId="0" applyBorder="1" applyAlignment="1">
      <alignment horizontal="left" vertical="center" shrinkToFit="1"/>
    </xf>
    <xf numFmtId="0" fontId="0" fillId="0" borderId="0" xfId="0">
      <alignment vertical="center"/>
      <extLst>
        <ext xmlns:xfpb="http://schemas.microsoft.com/office/spreadsheetml/2022/featurepropertybag" uri="{C7286773-470A-42A8-94C5-96B5CB345126}">
          <xfpb:xfComplement i="0"/>
        </ext>
      </extLst>
    </xf>
    <xf numFmtId="0" fontId="0" fillId="0" borderId="127" xfId="0" applyBorder="1" applyAlignment="1">
      <alignment horizontal="center" vertical="center"/>
    </xf>
    <xf numFmtId="0" fontId="0" fillId="0" borderId="20" xfId="0" applyBorder="1" applyAlignment="1">
      <alignment horizontal="center" vertical="center"/>
    </xf>
    <xf numFmtId="0" fontId="0" fillId="0" borderId="20" xfId="0" applyBorder="1">
      <alignment vertical="center"/>
    </xf>
    <xf numFmtId="0" fontId="0" fillId="0" borderId="28" xfId="0" applyBorder="1">
      <alignment vertical="center"/>
    </xf>
    <xf numFmtId="0" fontId="0" fillId="0" borderId="125" xfId="0" applyBorder="1" applyAlignment="1">
      <alignment horizontal="center" vertical="center"/>
    </xf>
    <xf numFmtId="0" fontId="0" fillId="0" borderId="27" xfId="0" applyBorder="1">
      <alignment vertical="center"/>
    </xf>
    <xf numFmtId="0" fontId="0" fillId="0" borderId="115" xfId="0" applyBorder="1" applyAlignment="1">
      <alignment horizontal="center" vertical="center"/>
    </xf>
    <xf numFmtId="0" fontId="0" fillId="0" borderId="104" xfId="0" applyBorder="1" applyAlignment="1">
      <alignment horizontal="center" vertical="center"/>
    </xf>
    <xf numFmtId="0" fontId="0" fillId="0" borderId="104" xfId="0" applyBorder="1">
      <alignment vertical="center"/>
    </xf>
    <xf numFmtId="0" fontId="0" fillId="0" borderId="113" xfId="0" applyBorder="1" applyAlignment="1">
      <alignment horizontal="center" vertical="center"/>
    </xf>
    <xf numFmtId="0" fontId="0" fillId="0" borderId="83" xfId="0" applyBorder="1">
      <alignment vertical="center"/>
    </xf>
    <xf numFmtId="0" fontId="0" fillId="0" borderId="128" xfId="0" applyBorder="1" applyAlignment="1">
      <alignment horizontal="center" vertical="center"/>
    </xf>
    <xf numFmtId="0" fontId="0" fillId="0" borderId="100" xfId="0" applyBorder="1" applyAlignment="1">
      <alignment horizontal="center" vertical="center"/>
    </xf>
    <xf numFmtId="0" fontId="0" fillId="0" borderId="42" xfId="0" applyBorder="1">
      <alignment vertical="center"/>
    </xf>
    <xf numFmtId="0" fontId="0" fillId="0" borderId="129" xfId="0" applyBorder="1" applyAlignment="1">
      <alignment horizontal="center" vertical="center"/>
    </xf>
    <xf numFmtId="0" fontId="0" fillId="0" borderId="46" xfId="0" applyBorder="1">
      <alignment vertical="center"/>
    </xf>
    <xf numFmtId="0" fontId="0" fillId="0" borderId="122" xfId="0" applyBorder="1" applyAlignment="1">
      <alignment horizontal="center" vertical="center"/>
    </xf>
    <xf numFmtId="0" fontId="0" fillId="0" borderId="106" xfId="0" applyBorder="1">
      <alignment vertical="center"/>
    </xf>
    <xf numFmtId="0" fontId="0" fillId="0" borderId="111" xfId="0" applyBorder="1" applyAlignment="1">
      <alignment horizontal="center" vertical="center"/>
    </xf>
    <xf numFmtId="0" fontId="0" fillId="0" borderId="35" xfId="0" applyBorder="1" applyAlignment="1">
      <alignment horizontal="center" vertical="center"/>
    </xf>
    <xf numFmtId="0" fontId="0" fillId="0" borderId="33" xfId="0" applyBorder="1">
      <alignment vertical="center"/>
    </xf>
    <xf numFmtId="0" fontId="0" fillId="0" borderId="108" xfId="0" applyBorder="1" applyAlignment="1">
      <alignment horizontal="center" vertical="center"/>
    </xf>
    <xf numFmtId="0" fontId="0" fillId="0" borderId="117" xfId="0" applyBorder="1">
      <alignment vertical="center"/>
    </xf>
    <xf numFmtId="0" fontId="0" fillId="0" borderId="82" xfId="0" applyBorder="1" applyAlignment="1">
      <alignment horizontal="center" vertical="center"/>
    </xf>
    <xf numFmtId="0" fontId="0" fillId="0" borderId="109" xfId="0" applyBorder="1" applyAlignment="1">
      <alignment horizontal="center" vertical="center"/>
    </xf>
    <xf numFmtId="0" fontId="0" fillId="0" borderId="123" xfId="0" applyBorder="1" applyAlignment="1">
      <alignment horizontal="center" vertical="center"/>
    </xf>
    <xf numFmtId="0" fontId="0" fillId="0" borderId="120" xfId="0" applyBorder="1">
      <alignment vertical="center"/>
    </xf>
    <xf numFmtId="0" fontId="0" fillId="0" borderId="119" xfId="0" applyBorder="1" applyAlignment="1">
      <alignment horizontal="center" vertical="center"/>
    </xf>
    <xf numFmtId="0" fontId="3" fillId="2" borderId="32"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77" xfId="0" applyFont="1" applyFill="1" applyBorder="1" applyAlignment="1">
      <alignment horizontal="center" vertical="center"/>
    </xf>
    <xf numFmtId="0" fontId="3" fillId="2" borderId="30" xfId="0" applyFont="1" applyFill="1" applyBorder="1" applyAlignment="1">
      <alignment horizontal="center" vertical="center"/>
    </xf>
    <xf numFmtId="0" fontId="19" fillId="0" borderId="0" xfId="0" applyFont="1">
      <alignment vertical="center"/>
    </xf>
    <xf numFmtId="0" fontId="0" fillId="0" borderId="116" xfId="0" applyBorder="1">
      <alignment vertical="center"/>
    </xf>
    <xf numFmtId="0" fontId="0" fillId="0" borderId="107" xfId="0" applyBorder="1">
      <alignment vertical="center"/>
    </xf>
    <xf numFmtId="0" fontId="0" fillId="0" borderId="130" xfId="0" applyBorder="1" applyAlignment="1">
      <alignment horizontal="center" vertical="center"/>
    </xf>
    <xf numFmtId="0" fontId="0" fillId="0" borderId="106" xfId="0" applyBorder="1" applyAlignment="1">
      <alignment horizontal="center" vertical="center"/>
    </xf>
    <xf numFmtId="0" fontId="3" fillId="2" borderId="65" xfId="0" applyFont="1" applyFill="1" applyBorder="1" applyAlignment="1">
      <alignment horizontal="center" vertical="center"/>
    </xf>
    <xf numFmtId="0" fontId="0" fillId="0" borderId="122" xfId="0" applyBorder="1">
      <alignment vertical="center"/>
    </xf>
    <xf numFmtId="0" fontId="0" fillId="0" borderId="113" xfId="0" applyBorder="1">
      <alignment vertical="center"/>
    </xf>
    <xf numFmtId="0" fontId="0" fillId="0" borderId="95" xfId="0" applyBorder="1">
      <alignment vertical="center"/>
    </xf>
    <xf numFmtId="0" fontId="3" fillId="2" borderId="90" xfId="0" applyFont="1" applyFill="1" applyBorder="1" applyAlignment="1">
      <alignment horizontal="center" vertical="center"/>
    </xf>
    <xf numFmtId="0" fontId="0" fillId="7" borderId="82" xfId="0" applyFill="1" applyBorder="1">
      <alignment vertical="center"/>
    </xf>
    <xf numFmtId="0" fontId="0" fillId="7" borderId="34" xfId="0" applyFill="1" applyBorder="1" applyAlignment="1">
      <alignment horizontal="center" vertical="center"/>
    </xf>
    <xf numFmtId="0" fontId="0" fillId="7" borderId="125" xfId="0" applyFill="1" applyBorder="1" applyAlignment="1">
      <alignment horizontal="center" vertical="center"/>
    </xf>
    <xf numFmtId="0" fontId="0" fillId="7" borderId="108" xfId="0" applyFill="1" applyBorder="1">
      <alignment vertical="center"/>
    </xf>
    <xf numFmtId="0" fontId="0" fillId="7" borderId="47" xfId="0" applyFill="1" applyBorder="1" applyAlignment="1">
      <alignment horizontal="center" vertical="center"/>
    </xf>
    <xf numFmtId="0" fontId="0" fillId="7" borderId="129" xfId="0" applyFill="1" applyBorder="1" applyAlignment="1">
      <alignment horizontal="center" vertical="center"/>
    </xf>
    <xf numFmtId="0" fontId="20" fillId="11" borderId="1" xfId="0" applyFont="1" applyFill="1" applyBorder="1">
      <alignment vertical="center"/>
    </xf>
    <xf numFmtId="0" fontId="21" fillId="11" borderId="1" xfId="2" applyFont="1" applyFill="1" applyBorder="1">
      <alignment vertical="center"/>
    </xf>
    <xf numFmtId="0" fontId="22" fillId="11" borderId="1" xfId="0" applyFont="1" applyFill="1" applyBorder="1" applyAlignment="1">
      <alignment horizontal="center" vertical="center"/>
    </xf>
    <xf numFmtId="0" fontId="22" fillId="11" borderId="1" xfId="0" applyFont="1" applyFill="1" applyBorder="1" applyAlignment="1">
      <alignment horizontal="left" vertical="center"/>
    </xf>
    <xf numFmtId="0" fontId="22" fillId="11" borderId="1" xfId="0" applyFont="1" applyFill="1" applyBorder="1">
      <alignment vertical="center"/>
    </xf>
    <xf numFmtId="0" fontId="0" fillId="0" borderId="121" xfId="0" applyBorder="1" applyAlignment="1">
      <alignment horizontal="center" vertical="center"/>
    </xf>
    <xf numFmtId="0" fontId="0" fillId="0" borderId="70" xfId="0" applyBorder="1" applyAlignment="1">
      <alignment horizontal="center" vertical="center"/>
    </xf>
    <xf numFmtId="0" fontId="0" fillId="0" borderId="118" xfId="0" applyBorder="1" applyAlignment="1">
      <alignment horizontal="center" vertical="center"/>
    </xf>
    <xf numFmtId="0" fontId="0" fillId="0" borderId="110" xfId="0" applyBorder="1" applyAlignment="1">
      <alignment horizontal="center" vertical="center"/>
    </xf>
    <xf numFmtId="0" fontId="0" fillId="0" borderId="0" xfId="0" applyAlignment="1">
      <alignment horizontal="left"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0" xfId="0" applyFont="1" applyAlignment="1">
      <alignment horizontal="center" vertical="center"/>
    </xf>
    <xf numFmtId="0" fontId="24" fillId="12" borderId="1" xfId="0" applyFont="1" applyFill="1" applyBorder="1" applyAlignment="1">
      <alignment horizontal="center" vertical="center"/>
    </xf>
    <xf numFmtId="0" fontId="23" fillId="0" borderId="0" xfId="0" applyFont="1">
      <alignment vertical="center"/>
    </xf>
    <xf numFmtId="0" fontId="23" fillId="0" borderId="1" xfId="0" applyFont="1" applyBorder="1">
      <alignment vertical="center"/>
    </xf>
    <xf numFmtId="0" fontId="23" fillId="0" borderId="1" xfId="0" applyFont="1" applyBorder="1" applyAlignment="1">
      <alignment vertical="center" wrapText="1"/>
    </xf>
    <xf numFmtId="0" fontId="23" fillId="0" borderId="1" xfId="0" applyFont="1" applyBorder="1" applyAlignment="1">
      <alignment horizontal="right" vertical="center"/>
    </xf>
    <xf numFmtId="0" fontId="23" fillId="0" borderId="1" xfId="0" applyFont="1" applyBorder="1" applyAlignment="1">
      <alignment horizontal="left" vertical="center"/>
    </xf>
    <xf numFmtId="0" fontId="23" fillId="0" borderId="0" xfId="0" applyFont="1" applyAlignment="1">
      <alignment vertical="center" wrapText="1"/>
    </xf>
    <xf numFmtId="0" fontId="15" fillId="13" borderId="64" xfId="0" applyFont="1" applyFill="1" applyBorder="1" applyAlignment="1">
      <alignment horizontal="center" vertical="center"/>
    </xf>
    <xf numFmtId="0" fontId="15" fillId="13" borderId="89" xfId="0" applyFont="1" applyFill="1" applyBorder="1" applyAlignment="1">
      <alignment horizontal="center" vertical="center"/>
    </xf>
    <xf numFmtId="0" fontId="15" fillId="13" borderId="15" xfId="0" applyFont="1" applyFill="1" applyBorder="1" applyAlignment="1">
      <alignment horizontal="center" vertical="center"/>
    </xf>
    <xf numFmtId="0" fontId="15" fillId="14" borderId="15" xfId="0" applyFont="1" applyFill="1" applyBorder="1" applyAlignment="1">
      <alignment horizontal="center" vertical="center"/>
    </xf>
    <xf numFmtId="0" fontId="15" fillId="14" borderId="89" xfId="0" applyFont="1" applyFill="1" applyBorder="1" applyAlignment="1">
      <alignment horizontal="center" vertical="center"/>
    </xf>
    <xf numFmtId="0" fontId="15" fillId="12" borderId="15" xfId="0" applyFont="1" applyFill="1" applyBorder="1" applyAlignment="1">
      <alignment horizontal="center" vertical="center"/>
    </xf>
    <xf numFmtId="0" fontId="15" fillId="12" borderId="89" xfId="0" applyFont="1" applyFill="1" applyBorder="1" applyAlignment="1">
      <alignment horizontal="center" vertical="center"/>
    </xf>
    <xf numFmtId="0" fontId="15" fillId="12" borderId="76" xfId="0" applyFont="1" applyFill="1" applyBorder="1" applyAlignment="1">
      <alignment horizontal="center" vertical="center"/>
    </xf>
    <xf numFmtId="0" fontId="15" fillId="12" borderId="16" xfId="0" applyFont="1" applyFill="1" applyBorder="1" applyAlignment="1">
      <alignment horizontal="center" vertical="center"/>
    </xf>
    <xf numFmtId="0" fontId="24" fillId="12" borderId="1" xfId="0" applyFont="1" applyFill="1" applyBorder="1">
      <alignment vertical="center"/>
    </xf>
    <xf numFmtId="0" fontId="23" fillId="0" borderId="1" xfId="0" applyFont="1" applyBorder="1" applyAlignment="1">
      <alignment horizontal="center" vertical="center"/>
    </xf>
    <xf numFmtId="0" fontId="17" fillId="6" borderId="29" xfId="0" applyFont="1" applyFill="1" applyBorder="1" applyAlignment="1">
      <alignment horizontal="left" vertical="center" wrapText="1" shrinkToFit="1"/>
    </xf>
    <xf numFmtId="0" fontId="17" fillId="6" borderId="90" xfId="0" applyFont="1" applyFill="1" applyBorder="1" applyAlignment="1">
      <alignment horizontal="left" vertical="center" wrapText="1" shrinkToFit="1"/>
    </xf>
    <xf numFmtId="0" fontId="17" fillId="6" borderId="126" xfId="0" applyFont="1" applyFill="1" applyBorder="1" applyAlignment="1">
      <alignment horizontal="left" vertical="center" wrapText="1" shrinkToFit="1"/>
    </xf>
    <xf numFmtId="0" fontId="16" fillId="4" borderId="29" xfId="0" applyFont="1" applyFill="1" applyBorder="1" applyAlignment="1">
      <alignment horizontal="left" vertical="center" wrapText="1" shrinkToFit="1"/>
    </xf>
    <xf numFmtId="0" fontId="16" fillId="4" borderId="90" xfId="0" applyFont="1" applyFill="1" applyBorder="1" applyAlignment="1">
      <alignment horizontal="left" vertical="center" wrapText="1" shrinkToFit="1"/>
    </xf>
    <xf numFmtId="0" fontId="16" fillId="4" borderId="126" xfId="0" applyFont="1" applyFill="1" applyBorder="1" applyAlignment="1">
      <alignment horizontal="left" vertical="center" wrapText="1" shrinkToFit="1"/>
    </xf>
  </cellXfs>
  <cellStyles count="3">
    <cellStyle name="Hyperlink" xfId="2" xr:uid="{00000000-000B-0000-0000-000008000000}"/>
    <cellStyle name="ハイパーリンク" xfId="1" builtinId="8"/>
    <cellStyle name="標準" xfId="0" builtinId="0"/>
  </cellStyles>
  <dxfs count="3">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FFCC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17" Type="http://schemas.openxmlformats.org/officeDocument/2006/relationships/hyperlink" Target="https://1drv.ms/b/c/a8f0902f6b5ae388/IQAvYEsKZrs-S5ihvtoMDzptARaWrh0sX9O1KZInraiVfLQ?e=WW0peS" TargetMode="External"/><Relationship Id="rId21" Type="http://schemas.openxmlformats.org/officeDocument/2006/relationships/hyperlink" Target="https://1drv.ms/b/c/a8f0902f6b5ae388/IQBlPkTqZuc8RJpVpa-IeRVPAXwsniFAOOTcH9y5svfpl-k?e=AEhbZu" TargetMode="External"/><Relationship Id="rId42" Type="http://schemas.openxmlformats.org/officeDocument/2006/relationships/hyperlink" Target="https://1drv.ms/b/c/a8f0902f6b5ae388/IQDk6i2jAKrzRIoVYomJJZ3NAYaGTyuRQB9JMJ5z-XI_0og?e=j0fcB4" TargetMode="External"/><Relationship Id="rId63" Type="http://schemas.openxmlformats.org/officeDocument/2006/relationships/hyperlink" Target="https://1drv.ms/b/c/a8f0902f6b5ae388/IQDde1dB9Lm7TpwSW5nFXuirAfHVbfY2sc-hHWv-a3Z06KM?e=DJfsuM" TargetMode="External"/><Relationship Id="rId84" Type="http://schemas.openxmlformats.org/officeDocument/2006/relationships/hyperlink" Target="https://1drv.ms/b/c/a8f0902f6b5ae388/IQBRAsSBV_-eS5gtp5xw_NxzASq9vDjXFWBLhTMWyA92hyA?e=iGeTLA" TargetMode="External"/><Relationship Id="rId138" Type="http://schemas.openxmlformats.org/officeDocument/2006/relationships/hyperlink" Target="https://1drv.ms/b/c/a8f0902f6b5ae388/IQAx_h7THmPRRqUVhOLwr11uAedttrpoXIC0ZcRZUyX8QOs?e=3agvNp" TargetMode="External"/><Relationship Id="rId159" Type="http://schemas.openxmlformats.org/officeDocument/2006/relationships/hyperlink" Target="https://1drv.ms/b/c/a8f0902f6b5ae388/IQCW6fdWtajpR50M2pcV8BMJAVW7OhsABfwWNHxlHmU4-JE?e=wO7t5G" TargetMode="External"/><Relationship Id="rId170" Type="http://schemas.openxmlformats.org/officeDocument/2006/relationships/hyperlink" Target="https://1drv.ms/b/c/a8f0902f6b5ae388/IQC985puHVBCQ5a8kI8vfjlfAd3WluDDQ-C5eR0g6Fpda9U?e=6adh88" TargetMode="External"/><Relationship Id="rId191" Type="http://schemas.openxmlformats.org/officeDocument/2006/relationships/hyperlink" Target="https://1drv.ms/b/c/a8f0902f6b5ae388/IQBmeLAqha30RIjTQbrEAsEtAatm8qvQk-lPz-a_rCiod0k?e=ecbX6X" TargetMode="External"/><Relationship Id="rId205" Type="http://schemas.openxmlformats.org/officeDocument/2006/relationships/hyperlink" Target="https://1drv.ms/b/c/a8f0902f6b5ae388/IQBxZQtB0wjNRozSCWBvZgsXAXea6oJtQ1zP2Y2VS4JuP8c?e=PVF2iN" TargetMode="External"/><Relationship Id="rId226" Type="http://schemas.openxmlformats.org/officeDocument/2006/relationships/hyperlink" Target="https://1drv.ms/b/c/a8f0902f6b5ae388/IQAcTj0H3N2mSKfibUFdAd4iAebB_vd9p__mi3BQp-UJeMk?e=xTvrRV" TargetMode="External"/><Relationship Id="rId107" Type="http://schemas.openxmlformats.org/officeDocument/2006/relationships/hyperlink" Target="https://1drv.ms/b/c/a8f0902f6b5ae388/IQD83QVRTndxT5Ftkx4pgXRjAYylxWZsE955SoePmeCnAx8?e=Krcwjn" TargetMode="External"/><Relationship Id="rId11" Type="http://schemas.openxmlformats.org/officeDocument/2006/relationships/hyperlink" Target="https://1drv.ms/b/c/a8f0902f6b5ae388/IQDrJQpl75RvQrtn28A_tg1vAYS-O5jFU0xJbdjVPdgH-wY?e=kXYsgr" TargetMode="External"/><Relationship Id="rId32" Type="http://schemas.openxmlformats.org/officeDocument/2006/relationships/hyperlink" Target="https://1drv.ms/b/c/a8f0902f6b5ae388/IQDJwiU8EXngSZLeVRwFI1nnAdGXlsL-Xccljt2eWfIY0dQ?e=e50GFK" TargetMode="External"/><Relationship Id="rId53" Type="http://schemas.openxmlformats.org/officeDocument/2006/relationships/hyperlink" Target="https://1drv.ms/b/c/a8f0902f6b5ae388/IQC--d01tQ-KTJBYFh7QJ03hAbnX2t6obNG0HKKFq6JayHQ?e=QXpFXV" TargetMode="External"/><Relationship Id="rId74" Type="http://schemas.openxmlformats.org/officeDocument/2006/relationships/hyperlink" Target="https://1drv.ms/b/c/a8f0902f6b5ae388/IQDm7AGABlj3Rq_YRNuPPNcoAaizC_gkqWoKi8ze-kmTcsU?e=fTcxPr" TargetMode="External"/><Relationship Id="rId128" Type="http://schemas.openxmlformats.org/officeDocument/2006/relationships/hyperlink" Target="https://1drv.ms/b/c/a8f0902f6b5ae388/IQBSn8gFN_NbSZt9oChYFk_EARpPDMPaI49YFpn3j8w4f0Q?e=JwC3HI" TargetMode="External"/><Relationship Id="rId149" Type="http://schemas.openxmlformats.org/officeDocument/2006/relationships/hyperlink" Target="https://1drv.ms/b/c/a8f0902f6b5ae388/IQDderDuMfABTK8mPGcdGwO0ATOXl4MXxBmOQM_iMwOnBtk?e=pMs1PQ" TargetMode="External"/><Relationship Id="rId5" Type="http://schemas.openxmlformats.org/officeDocument/2006/relationships/hyperlink" Target="https://1drv.ms/b/c/a8f0902f6b5ae388/IQBmpsInEaLTTY9-uoH8oBZfAfehxLzCtpf6DDIUoqvR1xE?e=W9jga3" TargetMode="External"/><Relationship Id="rId95" Type="http://schemas.openxmlformats.org/officeDocument/2006/relationships/hyperlink" Target="https://1drv.ms/b/c/a8f0902f6b5ae388/IQAGwcs_G-Y5T7rm1vNk5Cs5AePCaisHScIaAEXlEKT4Exk?e=MQzhtq" TargetMode="External"/><Relationship Id="rId160" Type="http://schemas.openxmlformats.org/officeDocument/2006/relationships/hyperlink" Target="https://1drv.ms/b/c/a8f0902f6b5ae388/IQCW6fdWtajpR50M2pcV8BMJAVW7OhsABfwWNHxlHmU4-JE?e=wO7t5G" TargetMode="External"/><Relationship Id="rId181" Type="http://schemas.openxmlformats.org/officeDocument/2006/relationships/hyperlink" Target="https://1drv.ms/b/c/a8f0902f6b5ae388/IQAADjgBPKWcSbRqEfrGg94eAdLgq3hLToQTPw_QeIW_SC8?e=og68di" TargetMode="External"/><Relationship Id="rId216" Type="http://schemas.openxmlformats.org/officeDocument/2006/relationships/hyperlink" Target="https://1drv.ms/b/c/a8f0902f6b5ae388/IQDrF7mqLrahQoA27YjFwudrAaveozxiLuDYvYypS1shgqw?e=x2NtKp" TargetMode="External"/><Relationship Id="rId237" Type="http://schemas.openxmlformats.org/officeDocument/2006/relationships/hyperlink" Target="https://1drv.ms/b/c/a8f0902f6b5ae388/IQB5VMhCWHpGTp2ZrRoF4RjkAe_5rGO2J4lHkPz7UJuR-Ro?e=3M7sSx" TargetMode="External"/><Relationship Id="rId22" Type="http://schemas.openxmlformats.org/officeDocument/2006/relationships/hyperlink" Target="https://1drv.ms/b/c/a8f0902f6b5ae388/IQBlPkTqZuc8RJpVpa-IeRVPAXwsniFAOOTcH9y5svfpl-k?e=AEhbZu" TargetMode="External"/><Relationship Id="rId43" Type="http://schemas.openxmlformats.org/officeDocument/2006/relationships/hyperlink" Target="https://1drv.ms/b/c/a8f0902f6b5ae388/IQDk6i2jAKrzRIoVYomJJZ3NAYaGTyuRQB9JMJ5z-XI_0og?e=j0fcB4" TargetMode="External"/><Relationship Id="rId64" Type="http://schemas.openxmlformats.org/officeDocument/2006/relationships/hyperlink" Target="https://1drv.ms/b/c/a8f0902f6b5ae388/IQDde1dB9Lm7TpwSW5nFXuirAfHVbfY2sc-hHWv-a3Z06KM?e=DJfsuM" TargetMode="External"/><Relationship Id="rId118" Type="http://schemas.openxmlformats.org/officeDocument/2006/relationships/hyperlink" Target="https://1drv.ms/b/c/a8f0902f6b5ae388/IQAvYEsKZrs-S5ihvtoMDzptARaWrh0sX9O1KZInraiVfLQ?e=WW0peS" TargetMode="External"/><Relationship Id="rId139" Type="http://schemas.openxmlformats.org/officeDocument/2006/relationships/hyperlink" Target="https://1drv.ms/b/c/a8f0902f6b5ae388/IQAx_h7THmPRRqUVhOLwr11uAedttrpoXIC0ZcRZUyX8QOs?e=3agvNp" TargetMode="External"/><Relationship Id="rId85" Type="http://schemas.openxmlformats.org/officeDocument/2006/relationships/hyperlink" Target="https://1drv.ms/b/c/a8f0902f6b5ae388/IQBRAsSBV_-eS5gtp5xw_NxzASq9vDjXFWBLhTMWyA92hyA?e=iGeTLA" TargetMode="External"/><Relationship Id="rId150" Type="http://schemas.openxmlformats.org/officeDocument/2006/relationships/hyperlink" Target="https://1drv.ms/b/c/a8f0902f6b5ae388/IQDderDuMfABTK8mPGcdGwO0ATOXl4MXxBmOQM_iMwOnBtk?e=pMs1PQ" TargetMode="External"/><Relationship Id="rId171" Type="http://schemas.openxmlformats.org/officeDocument/2006/relationships/hyperlink" Target="https://1drv.ms/b/c/a8f0902f6b5ae388/IQC985puHVBCQ5a8kI8vfjlfAd3WluDDQ-C5eR0g6Fpda9U?e=6adh88" TargetMode="External"/><Relationship Id="rId192" Type="http://schemas.openxmlformats.org/officeDocument/2006/relationships/hyperlink" Target="https://1drv.ms/b/c/a8f0902f6b5ae388/IQBmeLAqha30RIjTQbrEAsEtAatm8qvQk-lPz-a_rCiod0k?e=ecbX6X" TargetMode="External"/><Relationship Id="rId206" Type="http://schemas.openxmlformats.org/officeDocument/2006/relationships/hyperlink" Target="https://1drv.ms/b/c/a8f0902f6b5ae388/IQAv9spTGTE-QpiLiY5Ik42tAXnkJIV2TET5z0wR4t9VnSQ?e=S7noyV" TargetMode="External"/><Relationship Id="rId227" Type="http://schemas.openxmlformats.org/officeDocument/2006/relationships/hyperlink" Target="https://1drv.ms/b/c/a8f0902f6b5ae388/IQAfww5_u3A6TIF65QQ6J3LQAUcJR8MB1SZih1j5lJtL7aw?e=QaGbe7" TargetMode="External"/><Relationship Id="rId12" Type="http://schemas.openxmlformats.org/officeDocument/2006/relationships/hyperlink" Target="https://1drv.ms/b/c/a8f0902f6b5ae388/IQDrJQpl75RvQrtn28A_tg1vAYS-O5jFU0xJbdjVPdgH-wY?e=kXYsgr" TargetMode="External"/><Relationship Id="rId33" Type="http://schemas.openxmlformats.org/officeDocument/2006/relationships/hyperlink" Target="https://1drv.ms/b/c/a8f0902f6b5ae388/IQDJwiU8EXngSZLeVRwFI1nnAdGXlsL-Xccljt2eWfIY0dQ?e=e50GFK" TargetMode="External"/><Relationship Id="rId108" Type="http://schemas.openxmlformats.org/officeDocument/2006/relationships/hyperlink" Target="https://1drv.ms/b/c/a8f0902f6b5ae388/IQD83QVRTndxT5Ftkx4pgXRjAYylxWZsE955SoePmeCnAx8?e=Krcwjn" TargetMode="External"/><Relationship Id="rId129" Type="http://schemas.openxmlformats.org/officeDocument/2006/relationships/hyperlink" Target="https://1drv.ms/b/c/a8f0902f6b5ae388/IQBSn8gFN_NbSZt9oChYFk_EARpPDMPaI49YFpn3j8w4f0Q?e=JwC3HI" TargetMode="External"/><Relationship Id="rId54" Type="http://schemas.openxmlformats.org/officeDocument/2006/relationships/hyperlink" Target="https://1drv.ms/b/c/a8f0902f6b5ae388/IQC--d01tQ-KTJBYFh7QJ03hAbnX2t6obNG0HKKFq6JayHQ?e=QXpFXV" TargetMode="External"/><Relationship Id="rId75" Type="http://schemas.openxmlformats.org/officeDocument/2006/relationships/hyperlink" Target="https://1drv.ms/b/c/a8f0902f6b5ae388/IQDm7AGABlj3Rq_YRNuPPNcoAaizC_gkqWoKi8ze-kmTcsU?e=fTcxPr" TargetMode="External"/><Relationship Id="rId96" Type="http://schemas.openxmlformats.org/officeDocument/2006/relationships/hyperlink" Target="https://1drv.ms/b/c/a8f0902f6b5ae388/IQAGwcs_G-Y5T7rm1vNk5Cs5AePCaisHScIaAEXlEKT4Exk?e=MQzhtq" TargetMode="External"/><Relationship Id="rId140" Type="http://schemas.openxmlformats.org/officeDocument/2006/relationships/hyperlink" Target="https://1drv.ms/b/c/a8f0902f6b5ae388/IQAx_h7THmPRRqUVhOLwr11uAedttrpoXIC0ZcRZUyX8QOs?e=3agvNp" TargetMode="External"/><Relationship Id="rId161" Type="http://schemas.openxmlformats.org/officeDocument/2006/relationships/hyperlink" Target="https://1drv.ms/b/c/a8f0902f6b5ae388/IQCW6fdWtajpR50M2pcV8BMJAVW7OhsABfwWNHxlHmU4-JE?e=wO7t5G" TargetMode="External"/><Relationship Id="rId182" Type="http://schemas.openxmlformats.org/officeDocument/2006/relationships/hyperlink" Target="https://1drv.ms/b/c/a8f0902f6b5ae388/IQCPPFW4Wm6cQ7Re38nF-N2JAaoges7gjp6gKheraPX3AMw?e=wDkvdm" TargetMode="External"/><Relationship Id="rId217" Type="http://schemas.openxmlformats.org/officeDocument/2006/relationships/hyperlink" Target="https://1drv.ms/b/c/a8f0902f6b5ae388/IQAoZaan3izxTLp1z6a5IfKCAXpdNt5erkYURfdLuxcTBqQ?e=0bGVKq" TargetMode="External"/><Relationship Id="rId6" Type="http://schemas.openxmlformats.org/officeDocument/2006/relationships/hyperlink" Target="https://1drv.ms/b/c/a8f0902f6b5ae388/IQBeIcbAKv6VT7m_VgLxjQfAAe4Hpe9J27oIOgAz1VHYZVI?e=556ooG" TargetMode="External"/><Relationship Id="rId238" Type="http://schemas.openxmlformats.org/officeDocument/2006/relationships/hyperlink" Target="https://1drv.ms/b/c/a8f0902f6b5ae388/IQB5VMhCWHpGTp2ZrRoF4RjkAe_5rGO2J4lHkPz7UJuR-Ro?e=3M7sSx" TargetMode="External"/><Relationship Id="rId23" Type="http://schemas.openxmlformats.org/officeDocument/2006/relationships/hyperlink" Target="https://1drv.ms/b/c/a8f0902f6b5ae388/IQBlPkTqZuc8RJpVpa-IeRVPAXwsniFAOOTcH9y5svfpl-k?e=AEhbZu" TargetMode="External"/><Relationship Id="rId119" Type="http://schemas.openxmlformats.org/officeDocument/2006/relationships/hyperlink" Target="https://1drv.ms/b/c/a8f0902f6b5ae388/IQAvYEsKZrs-S5ihvtoMDzptARaWrh0sX9O1KZInraiVfLQ?e=WW0peS" TargetMode="External"/><Relationship Id="rId44" Type="http://schemas.openxmlformats.org/officeDocument/2006/relationships/hyperlink" Target="https://1drv.ms/b/c/a8f0902f6b5ae388/IQDk6i2jAKrzRIoVYomJJZ3NAYaGTyuRQB9JMJ5z-XI_0og?e=j0fcB4" TargetMode="External"/><Relationship Id="rId65" Type="http://schemas.openxmlformats.org/officeDocument/2006/relationships/hyperlink" Target="https://1drv.ms/b/c/a8f0902f6b5ae388/IQDLWIxtgMQiSomYtX1cavYuAUOL36gSmWjxNgkiftdRQBg?e=KiLE5h" TargetMode="External"/><Relationship Id="rId86" Type="http://schemas.openxmlformats.org/officeDocument/2006/relationships/hyperlink" Target="https://1drv.ms/b/c/a8f0902f6b5ae388/IQBRAsSBV_-eS5gtp5xw_NxzASq9vDjXFWBLhTMWyA92hyA?e=iGeTLA" TargetMode="External"/><Relationship Id="rId130" Type="http://schemas.openxmlformats.org/officeDocument/2006/relationships/hyperlink" Target="https://1drv.ms/b/c/a8f0902f6b5ae388/IQBSn8gFN_NbSZt9oChYFk_EARpPDMPaI49YFpn3j8w4f0Q?e=JwC3HI" TargetMode="External"/><Relationship Id="rId151" Type="http://schemas.openxmlformats.org/officeDocument/2006/relationships/hyperlink" Target="https://1drv.ms/b/c/a8f0902f6b5ae388/IQDderDuMfABTK8mPGcdGwO0ATOXl4MXxBmOQM_iMwOnBtk?e=pMs1PQ" TargetMode="External"/><Relationship Id="rId172" Type="http://schemas.openxmlformats.org/officeDocument/2006/relationships/hyperlink" Target="https://1drv.ms/b/c/a8f0902f6b5ae388/IQC985puHVBCQ5a8kI8vfjlfAd3WluDDQ-C5eR0g6Fpda9U?e=6adh88" TargetMode="External"/><Relationship Id="rId193" Type="http://schemas.openxmlformats.org/officeDocument/2006/relationships/hyperlink" Target="https://1drv.ms/b/c/a8f0902f6b5ae388/IQD3Fx_jdbT6TaYgSu1H2jpnAd6nPowys4WiYV99yWcb65g?e=K5Isei" TargetMode="External"/><Relationship Id="rId207" Type="http://schemas.openxmlformats.org/officeDocument/2006/relationships/hyperlink" Target="https://1drv.ms/b/c/a8f0902f6b5ae388/IQAv9spTGTE-QpiLiY5Ik42tAXnkJIV2TET5z0wR4t9VnSQ?e=S7noyV" TargetMode="External"/><Relationship Id="rId228" Type="http://schemas.openxmlformats.org/officeDocument/2006/relationships/hyperlink" Target="https://1drv.ms/b/c/a8f0902f6b5ae388/IQAfww5_u3A6TIF65QQ6J3LQAUcJR8MB1SZih1j5lJtL7aw?e=QaGbe7" TargetMode="External"/><Relationship Id="rId13" Type="http://schemas.openxmlformats.org/officeDocument/2006/relationships/hyperlink" Target="https://1drv.ms/b/c/a8f0902f6b5ae388/IQDrJQpl75RvQrtn28A_tg1vAYS-O5jFU0xJbdjVPdgH-wY?e=kXYsgr" TargetMode="External"/><Relationship Id="rId109" Type="http://schemas.openxmlformats.org/officeDocument/2006/relationships/hyperlink" Target="https://1drv.ms/b/c/a8f0902f6b5ae388/IQDUja24671oQpmVEcrqQMhUAQ4fFrO8xp1Q3kby59f_H0A?e=KrHpbi" TargetMode="External"/><Relationship Id="rId34" Type="http://schemas.openxmlformats.org/officeDocument/2006/relationships/hyperlink" Target="https://1drv.ms/b/c/a8f0902f6b5ae388/IQDJwiU8EXngSZLeVRwFI1nnAdGXlsL-Xccljt2eWfIY0dQ?e=e50GFK" TargetMode="External"/><Relationship Id="rId55" Type="http://schemas.openxmlformats.org/officeDocument/2006/relationships/hyperlink" Target="https://1drv.ms/b/c/a8f0902f6b5ae388/IQBrYvsfhyODR7EpKcgzOjBuAdF5mnWq5OLOMj-UI6vVWZM?e=buZGYe" TargetMode="External"/><Relationship Id="rId76" Type="http://schemas.openxmlformats.org/officeDocument/2006/relationships/hyperlink" Target="https://1drv.ms/b/c/a8f0902f6b5ae388/IQDeSDV4bSWEQ6n91g_449XhAfBXPCSlvB-guhhsBtVlH2g?e=1w6ok3" TargetMode="External"/><Relationship Id="rId97" Type="http://schemas.openxmlformats.org/officeDocument/2006/relationships/hyperlink" Target="https://1drv.ms/b/c/a8f0902f6b5ae388/IQAGwcs_G-Y5T7rm1vNk5Cs5AePCaisHScIaAEXlEKT4Exk?e=MQzhtq" TargetMode="External"/><Relationship Id="rId120" Type="http://schemas.openxmlformats.org/officeDocument/2006/relationships/hyperlink" Target="https://1drv.ms/b/c/a8f0902f6b5ae388/IQAvYEsKZrs-S5ihvtoMDzptARaWrh0sX9O1KZInraiVfLQ?e=WW0peS" TargetMode="External"/><Relationship Id="rId141" Type="http://schemas.openxmlformats.org/officeDocument/2006/relationships/hyperlink" Target="https://1drv.ms/b/c/a8f0902f6b5ae388/IQAx_h7THmPRRqUVhOLwr11uAedttrpoXIC0ZcRZUyX8QOs?e=3agvNp" TargetMode="External"/><Relationship Id="rId7" Type="http://schemas.openxmlformats.org/officeDocument/2006/relationships/hyperlink" Target="https://1drv.ms/b/c/a8f0902f6b5ae388/IQBeIcbAKv6VT7m_VgLxjQfAAe4Hpe9J27oIOgAz1VHYZVI?e=556ooG" TargetMode="External"/><Relationship Id="rId162" Type="http://schemas.openxmlformats.org/officeDocument/2006/relationships/hyperlink" Target="https://1drv.ms/b/c/a8f0902f6b5ae388/IQCW6fdWtajpR50M2pcV8BMJAVW7OhsABfwWNHxlHmU4-JE?e=wO7t5G" TargetMode="External"/><Relationship Id="rId183" Type="http://schemas.openxmlformats.org/officeDocument/2006/relationships/hyperlink" Target="https://1drv.ms/b/c/a8f0902f6b5ae388/IQAlQPGHVs6HQrUNVe7cLeL6ARQHXHFGLBRMwOv-HTR8mqU?e=xJsNDp" TargetMode="External"/><Relationship Id="rId218" Type="http://schemas.openxmlformats.org/officeDocument/2006/relationships/hyperlink" Target="https://1drv.ms/b/c/a8f0902f6b5ae388/IQAoZaan3izxTLp1z6a5IfKCAXpdNt5erkYURfdLuxcTBqQ?e=0bGVKq" TargetMode="External"/><Relationship Id="rId239" Type="http://schemas.openxmlformats.org/officeDocument/2006/relationships/hyperlink" Target="https://1drv.ms/b/c/a8f0902f6b5ae388/IQB5VMhCWHpGTp2ZrRoF4RjkAe_5rGO2J4lHkPz7UJuR-Ro?e=3M7sSx" TargetMode="External"/><Relationship Id="rId24" Type="http://schemas.openxmlformats.org/officeDocument/2006/relationships/hyperlink" Target="https://1drv.ms/b/c/a8f0902f6b5ae388/IQBlPkTqZuc8RJpVpa-IeRVPAXwsniFAOOTcH9y5svfpl-k?e=AEhbZu" TargetMode="External"/><Relationship Id="rId45" Type="http://schemas.openxmlformats.org/officeDocument/2006/relationships/hyperlink" Target="https://1drv.ms/b/c/a8f0902f6b5ae388/IQDk6i2jAKrzRIoVYomJJZ3NAYaGTyuRQB9JMJ5z-XI_0og?e=j0fcB4" TargetMode="External"/><Relationship Id="rId66" Type="http://schemas.openxmlformats.org/officeDocument/2006/relationships/hyperlink" Target="https://1drv.ms/b/c/a8f0902f6b5ae388/IQDLWIxtgMQiSomYtX1cavYuAUOL36gSmWjxNgkiftdRQBg?e=KiLE5h" TargetMode="External"/><Relationship Id="rId87" Type="http://schemas.openxmlformats.org/officeDocument/2006/relationships/hyperlink" Target="https://1drv.ms/b/c/a8f0902f6b5ae388/IQCrIZSIIFcCRaYSwb3QROwPAep0X2z6vfH5s1lm8Nw0QMk?e=NKG3RC" TargetMode="External"/><Relationship Id="rId110" Type="http://schemas.openxmlformats.org/officeDocument/2006/relationships/hyperlink" Target="https://1drv.ms/b/c/a8f0902f6b5ae388/IQDUja24671oQpmVEcrqQMhUAQ4fFrO8xp1Q3kby59f_H0A?e=KrHpbi" TargetMode="External"/><Relationship Id="rId131" Type="http://schemas.openxmlformats.org/officeDocument/2006/relationships/hyperlink" Target="https://1drv.ms/b/c/a8f0902f6b5ae388/IQBSn8gFN_NbSZt9oChYFk_EARpPDMPaI49YFpn3j8w4f0Q?e=JwC3HI" TargetMode="External"/><Relationship Id="rId152" Type="http://schemas.openxmlformats.org/officeDocument/2006/relationships/hyperlink" Target="https://1drv.ms/b/c/a8f0902f6b5ae388/IQDderDuMfABTK8mPGcdGwO0ATOXl4MXxBmOQM_iMwOnBtk?e=pMs1PQ" TargetMode="External"/><Relationship Id="rId173" Type="http://schemas.openxmlformats.org/officeDocument/2006/relationships/hyperlink" Target="https://1drv.ms/b/c/a8f0902f6b5ae388/IQC985puHVBCQ5a8kI8vfjlfAd3WluDDQ-C5eR0g6Fpda9U?e=6adh88" TargetMode="External"/><Relationship Id="rId194" Type="http://schemas.openxmlformats.org/officeDocument/2006/relationships/hyperlink" Target="https://1drv.ms/b/c/a8f0902f6b5ae388/IQD3Fx_jdbT6TaYgSu1H2jpnAd6nPowys4WiYV99yWcb65g?e=K5Isei" TargetMode="External"/><Relationship Id="rId208" Type="http://schemas.openxmlformats.org/officeDocument/2006/relationships/hyperlink" Target="https://1drv.ms/b/c/a8f0902f6b5ae388/IQASq74qUrQDQJCOEBQqsgg_AabmYrP6fkoVyrcHT_fpp18?e=Tdogrx" TargetMode="External"/><Relationship Id="rId229" Type="http://schemas.openxmlformats.org/officeDocument/2006/relationships/hyperlink" Target="https://1drv.ms/b/c/a8f0902f6b5ae388/IQAfww5_u3A6TIF65QQ6J3LQAUcJR8MB1SZih1j5lJtL7aw?e=QaGbe7" TargetMode="External"/><Relationship Id="rId240" Type="http://schemas.openxmlformats.org/officeDocument/2006/relationships/hyperlink" Target="https://1drv.ms/b/c/a8f0902f6b5ae388/IQB5VMhCWHpGTp2ZrRoF4RjkAe_5rGO2J4lHkPz7UJuR-Ro?e=3M7sSx" TargetMode="External"/><Relationship Id="rId14" Type="http://schemas.openxmlformats.org/officeDocument/2006/relationships/hyperlink" Target="https://1drv.ms/b/c/a8f0902f6b5ae388/IQDrJQpl75RvQrtn28A_tg1vAYS-O5jFU0xJbdjVPdgH-wY?e=kXYsgr" TargetMode="External"/><Relationship Id="rId35" Type="http://schemas.openxmlformats.org/officeDocument/2006/relationships/hyperlink" Target="https://1drv.ms/b/c/a8f0902f6b5ae388/IQDJwiU8EXngSZLeVRwFI1nnAdGXlsL-Xccljt2eWfIY0dQ?e=e50GFK" TargetMode="External"/><Relationship Id="rId56" Type="http://schemas.openxmlformats.org/officeDocument/2006/relationships/hyperlink" Target="https://1drv.ms/b/c/a8f0902f6b5ae388/IQBrYvsfhyODR7EpKcgzOjBuAdF5mnWq5OLOMj-UI6vVWZM?e=buZGYe" TargetMode="External"/><Relationship Id="rId77" Type="http://schemas.openxmlformats.org/officeDocument/2006/relationships/hyperlink" Target="https://1drv.ms/b/c/a8f0902f6b5ae388/IQDeSDV4bSWEQ6n91g_449XhAfBXPCSlvB-guhhsBtVlH2g?e=1w6ok3" TargetMode="External"/><Relationship Id="rId100" Type="http://schemas.openxmlformats.org/officeDocument/2006/relationships/hyperlink" Target="https://1drv.ms/b/c/a8f0902f6b5ae388/IQDgbMqRb3l-QZ1ly2T7Xz6CAWLh8Cjt6Vw7nogaHz_hE4E?e=YLTJDx" TargetMode="External"/><Relationship Id="rId8" Type="http://schemas.openxmlformats.org/officeDocument/2006/relationships/hyperlink" Target="https://1drv.ms/b/c/a8f0902f6b5ae388/IQBeIcbAKv6VT7m_VgLxjQfAAe4Hpe9J27oIOgAz1VHYZVI?e=556ooG" TargetMode="External"/><Relationship Id="rId98" Type="http://schemas.openxmlformats.org/officeDocument/2006/relationships/hyperlink" Target="https://1drv.ms/b/c/a8f0902f6b5ae388/IQAGwcs_G-Y5T7rm1vNk5Cs5AePCaisHScIaAEXlEKT4Exk?e=MQzhtq" TargetMode="External"/><Relationship Id="rId121" Type="http://schemas.openxmlformats.org/officeDocument/2006/relationships/hyperlink" Target="https://1drv.ms/b/c/a8f0902f6b5ae388/IQAvYEsKZrs-S5ihvtoMDzptARaWrh0sX9O1KZInraiVfLQ?e=WW0peS" TargetMode="External"/><Relationship Id="rId142" Type="http://schemas.openxmlformats.org/officeDocument/2006/relationships/hyperlink" Target="https://1drv.ms/b/c/a8f0902f6b5ae388/IQAvDF4_YH49S6Xc7C1aydneAdI8_4oWS6N0e7-YF3gcDj8?e=3GA97h" TargetMode="External"/><Relationship Id="rId163" Type="http://schemas.openxmlformats.org/officeDocument/2006/relationships/hyperlink" Target="https://1drv.ms/b/c/a8f0902f6b5ae388/IQCW6fdWtajpR50M2pcV8BMJAVW7OhsABfwWNHxlHmU4-JE?e=wO7t5G" TargetMode="External"/><Relationship Id="rId184" Type="http://schemas.openxmlformats.org/officeDocument/2006/relationships/hyperlink" Target="https://1drv.ms/b/c/a8f0902f6b5ae388/IQAlQPGHVs6HQrUNVe7cLeL6ARQHXHFGLBRMwOv-HTR8mqU?e=xJsNDp" TargetMode="External"/><Relationship Id="rId219" Type="http://schemas.openxmlformats.org/officeDocument/2006/relationships/hyperlink" Target="https://1drv.ms/b/c/a8f0902f6b5ae388/IQAoZaan3izxTLp1z6a5IfKCAXpdNt5erkYURfdLuxcTBqQ?e=0bGVKq" TargetMode="External"/><Relationship Id="rId230" Type="http://schemas.openxmlformats.org/officeDocument/2006/relationships/hyperlink" Target="https://1drv.ms/b/c/a8f0902f6b5ae388/IQAfww5_u3A6TIF65QQ6J3LQAUcJR8MB1SZih1j5lJtL7aw?e=QaGbe7" TargetMode="External"/><Relationship Id="rId25" Type="http://schemas.openxmlformats.org/officeDocument/2006/relationships/hyperlink" Target="https://1drv.ms/b/c/a8f0902f6b5ae388/IQBlPkTqZuc8RJpVpa-IeRVPAXwsniFAOOTcH9y5svfpl-k?e=AEhbZu" TargetMode="External"/><Relationship Id="rId46" Type="http://schemas.openxmlformats.org/officeDocument/2006/relationships/hyperlink" Target="https://1drv.ms/b/c/a8f0902f6b5ae388/IQDk6i2jAKrzRIoVYomJJZ3NAYaGTyuRQB9JMJ5z-XI_0og?e=j0fcB4" TargetMode="External"/><Relationship Id="rId67" Type="http://schemas.openxmlformats.org/officeDocument/2006/relationships/hyperlink" Target="https://1drv.ms/b/c/a8f0902f6b5ae388/IQDLWIxtgMQiSomYtX1cavYuAUOL36gSmWjxNgkiftdRQBg?e=KiLE5h" TargetMode="External"/><Relationship Id="rId88" Type="http://schemas.openxmlformats.org/officeDocument/2006/relationships/hyperlink" Target="https://1drv.ms/b/c/a8f0902f6b5ae388/IQCrIZSIIFcCRaYSwb3QROwPAep0X2z6vfH5s1lm8Nw0QMk?e=NKG3RC" TargetMode="External"/><Relationship Id="rId111" Type="http://schemas.openxmlformats.org/officeDocument/2006/relationships/hyperlink" Target="https://1drv.ms/b/c/a8f0902f6b5ae388/IQDUja24671oQpmVEcrqQMhUAQ4fFrO8xp1Q3kby59f_H0A?e=KrHpbi" TargetMode="External"/><Relationship Id="rId132" Type="http://schemas.openxmlformats.org/officeDocument/2006/relationships/hyperlink" Target="https://1drv.ms/b/c/a8f0902f6b5ae388/IQCdfXjxbZm0SZta_h4yK3f1AUp33zuArX6a5l2OfhoZfVw?e=9bJf6x" TargetMode="External"/><Relationship Id="rId153" Type="http://schemas.openxmlformats.org/officeDocument/2006/relationships/hyperlink" Target="https://1drv.ms/b/c/a8f0902f6b5ae388/IQDderDuMfABTK8mPGcdGwO0ATOXl4MXxBmOQM_iMwOnBtk?e=pMs1PQ" TargetMode="External"/><Relationship Id="rId174" Type="http://schemas.openxmlformats.org/officeDocument/2006/relationships/hyperlink" Target="https://1drv.ms/b/c/a8f0902f6b5ae388/IQC985puHVBCQ5a8kI8vfjlfAd3WluDDQ-C5eR0g6Fpda9U?e=6adh88" TargetMode="External"/><Relationship Id="rId195" Type="http://schemas.openxmlformats.org/officeDocument/2006/relationships/hyperlink" Target="https://1drv.ms/b/c/a8f0902f6b5ae388/IQCPPFW4Wm6cQ7Re38nF-N2JAaoges7gjp6gKheraPX3AMw?e=wDkvdm" TargetMode="External"/><Relationship Id="rId209" Type="http://schemas.openxmlformats.org/officeDocument/2006/relationships/hyperlink" Target="https://1drv.ms/b/c/a8f0902f6b5ae388/IQASq74qUrQDQJCOEBQqsgg_AabmYrP6fkoVyrcHT_fpp18?e=Tdogrx" TargetMode="External"/><Relationship Id="rId220" Type="http://schemas.openxmlformats.org/officeDocument/2006/relationships/hyperlink" Target="https://1drv.ms/b/c/a8f0902f6b5ae388/IQAoZaan3izxTLp1z6a5IfKCAXpdNt5erkYURfdLuxcTBqQ?e=0bGVKq" TargetMode="External"/><Relationship Id="rId241" Type="http://schemas.openxmlformats.org/officeDocument/2006/relationships/hyperlink" Target="https://1drv.ms/b/c/a8f0902f6b5ae388/IQB5VMhCWHpGTp2ZrRoF4RjkAe_5rGO2J4lHkPz7UJuR-Ro?e=3M7sSx" TargetMode="External"/><Relationship Id="rId15" Type="http://schemas.openxmlformats.org/officeDocument/2006/relationships/hyperlink" Target="https://1drv.ms/b/c/a8f0902f6b5ae388/IQDrJQpl75RvQrtn28A_tg1vAYS-O5jFU0xJbdjVPdgH-wY?e=kXYsgr" TargetMode="External"/><Relationship Id="rId36" Type="http://schemas.openxmlformats.org/officeDocument/2006/relationships/hyperlink" Target="https://1drv.ms/b/c/a8f0902f6b5ae388/IQDCimVxtuBBTrn2NqPqoQLlAeP49ZWG1dhh28R4iIxwpZk?e=iyzVYv" TargetMode="External"/><Relationship Id="rId57" Type="http://schemas.openxmlformats.org/officeDocument/2006/relationships/hyperlink" Target="https://1drv.ms/b/c/a8f0902f6b5ae388/IQBrYvsfhyODR7EpKcgzOjBuAdF5mnWq5OLOMj-UI6vVWZM?e=buZGYe" TargetMode="External"/><Relationship Id="rId10" Type="http://schemas.openxmlformats.org/officeDocument/2006/relationships/hyperlink" Target="https://1drv.ms/b/c/a8f0902f6b5ae388/IQBeIcbAKv6VT7m_VgLxjQfAAe4Hpe9J27oIOgAz1VHYZVI?e=556ooG" TargetMode="External"/><Relationship Id="rId31" Type="http://schemas.openxmlformats.org/officeDocument/2006/relationships/hyperlink" Target="https://1drv.ms/b/c/a8f0902f6b5ae388/IQDJwiU8EXngSZLeVRwFI1nnAdGXlsL-Xccljt2eWfIY0dQ?e=e50GFK" TargetMode="External"/><Relationship Id="rId52" Type="http://schemas.openxmlformats.org/officeDocument/2006/relationships/hyperlink" Target="https://1drv.ms/b/c/a8f0902f6b5ae388/IQC--d01tQ-KTJBYFh7QJ03hAbnX2t6obNG0HKKFq6JayHQ?e=QXpFXV" TargetMode="External"/><Relationship Id="rId73" Type="http://schemas.openxmlformats.org/officeDocument/2006/relationships/hyperlink" Target="https://1drv.ms/b/c/a8f0902f6b5ae388/IQDm7AGABlj3Rq_YRNuPPNcoAaizC_gkqWoKi8ze-kmTcsU?e=fTcxPr" TargetMode="External"/><Relationship Id="rId78" Type="http://schemas.openxmlformats.org/officeDocument/2006/relationships/hyperlink" Target="https://1drv.ms/b/c/a8f0902f6b5ae388/IQDeSDV4bSWEQ6n91g_449XhAfBXPCSlvB-guhhsBtVlH2g?e=1w6ok3" TargetMode="External"/><Relationship Id="rId94" Type="http://schemas.openxmlformats.org/officeDocument/2006/relationships/hyperlink" Target="https://1drv.ms/b/c/a8f0902f6b5ae388/IQAGwcs_G-Y5T7rm1vNk5Cs5AePCaisHScIaAEXlEKT4Exk?e=MQzhtq" TargetMode="External"/><Relationship Id="rId99" Type="http://schemas.openxmlformats.org/officeDocument/2006/relationships/hyperlink" Target="https://1drv.ms/b/c/a8f0902f6b5ae388/IQDgbMqRb3l-QZ1ly2T7Xz6CAWLh8Cjt6Vw7nogaHz_hE4E?e=YLTJDx" TargetMode="External"/><Relationship Id="rId101" Type="http://schemas.openxmlformats.org/officeDocument/2006/relationships/hyperlink" Target="https://1drv.ms/b/c/a8f0902f6b5ae388/IQDgbMqRb3l-QZ1ly2T7Xz6CAWLh8Cjt6Vw7nogaHz_hE4E?e=YLTJDx" TargetMode="External"/><Relationship Id="rId122" Type="http://schemas.openxmlformats.org/officeDocument/2006/relationships/hyperlink" Target="https://1drv.ms/b/c/a8f0902f6b5ae388/IQAvYEsKZrs-S5ihvtoMDzptARaWrh0sX9O1KZInraiVfLQ?e=WW0peS" TargetMode="External"/><Relationship Id="rId143" Type="http://schemas.openxmlformats.org/officeDocument/2006/relationships/hyperlink" Target="https://1drv.ms/b/c/a8f0902f6b5ae388/IQAvDF4_YH49S6Xc7C1aydneAdI8_4oWS6N0e7-YF3gcDj8?e=3GA97h" TargetMode="External"/><Relationship Id="rId148" Type="http://schemas.openxmlformats.org/officeDocument/2006/relationships/hyperlink" Target="https://1drv.ms/b/c/a8f0902f6b5ae388/IQDderDuMfABTK8mPGcdGwO0ATOXl4MXxBmOQM_iMwOnBtk?e=pMs1PQ" TargetMode="External"/><Relationship Id="rId164" Type="http://schemas.openxmlformats.org/officeDocument/2006/relationships/hyperlink" Target="https://1drv.ms/b/c/a8f0902f6b5ae388/IQAuPDz1NfwbR64EadSPl5jCAUKpqFsXaReX1Pi1Ag3Ckss?e=6Sv8uf" TargetMode="External"/><Relationship Id="rId169" Type="http://schemas.openxmlformats.org/officeDocument/2006/relationships/hyperlink" Target="https://1drv.ms/b/c/a8f0902f6b5ae388/IQC985puHVBCQ5a8kI8vfjlfAd3WluDDQ-C5eR0g6Fpda9U?e=6adh88" TargetMode="External"/><Relationship Id="rId185" Type="http://schemas.openxmlformats.org/officeDocument/2006/relationships/hyperlink" Target="https://1drv.ms/b/c/a8f0902f6b5ae388/IQAlQPGHVs6HQrUNVe7cLeL6ARQHXHFGLBRMwOv-HTR8mqU?e=xJsNDp" TargetMode="External"/><Relationship Id="rId4" Type="http://schemas.openxmlformats.org/officeDocument/2006/relationships/hyperlink" Target="https://1drv.ms/b/c/a8f0902f6b5ae388/IQBmpsInEaLTTY9-uoH8oBZfAfehxLzCtpf6DDIUoqvR1xE?e=W9jga3" TargetMode="External"/><Relationship Id="rId9" Type="http://schemas.openxmlformats.org/officeDocument/2006/relationships/hyperlink" Target="https://1drv.ms/b/c/a8f0902f6b5ae388/IQBeIcbAKv6VT7m_VgLxjQfAAe4Hpe9J27oIOgAz1VHYZVI?e=556ooG" TargetMode="External"/><Relationship Id="rId180" Type="http://schemas.openxmlformats.org/officeDocument/2006/relationships/hyperlink" Target="https://1drv.ms/b/c/a8f0902f6b5ae388/IQAADjgBPKWcSbRqEfrGg94eAdLgq3hLToQTPw_QeIW_SC8?e=og68di" TargetMode="External"/><Relationship Id="rId210" Type="http://schemas.openxmlformats.org/officeDocument/2006/relationships/hyperlink" Target="https://1drv.ms/b/c/a8f0902f6b5ae388/IQASq74qUrQDQJCOEBQqsgg_AabmYrP6fkoVyrcHT_fpp18?e=Tdogrx" TargetMode="External"/><Relationship Id="rId215" Type="http://schemas.openxmlformats.org/officeDocument/2006/relationships/hyperlink" Target="https://1drv.ms/b/c/a8f0902f6b5ae388/IQDrF7mqLrahQoA27YjFwudrAaveozxiLuDYvYypS1shgqw?e=x2NtKp" TargetMode="External"/><Relationship Id="rId236" Type="http://schemas.openxmlformats.org/officeDocument/2006/relationships/hyperlink" Target="https://1drv.ms/b/c/a8f0902f6b5ae388/IQB5VMhCWHpGTp2ZrRoF4RjkAe_5rGO2J4lHkPz7UJuR-Ro?e=3M7sSx" TargetMode="External"/><Relationship Id="rId26" Type="http://schemas.openxmlformats.org/officeDocument/2006/relationships/hyperlink" Target="https://1drv.ms/b/c/a8f0902f6b5ae388/IQBlPkTqZuc8RJpVpa-IeRVPAXwsniFAOOTcH9y5svfpl-k?e=AEhbZu" TargetMode="External"/><Relationship Id="rId231" Type="http://schemas.openxmlformats.org/officeDocument/2006/relationships/hyperlink" Target="https://1drv.ms/b/c/a8f0902f6b5ae388/IQAfww5_u3A6TIF65QQ6J3LQAUcJR8MB1SZih1j5lJtL7aw?e=QaGbe7" TargetMode="External"/><Relationship Id="rId47" Type="http://schemas.openxmlformats.org/officeDocument/2006/relationships/hyperlink" Target="https://1drv.ms/b/c/a8f0902f6b5ae388/IQDk6i2jAKrzRIoVYomJJZ3NAYaGTyuRQB9JMJ5z-XI_0og?e=j0fcB4" TargetMode="External"/><Relationship Id="rId68" Type="http://schemas.openxmlformats.org/officeDocument/2006/relationships/hyperlink" Target="https://1drv.ms/b/c/a8f0902f6b5ae388/IQDLWIxtgMQiSomYtX1cavYuAUOL36gSmWjxNgkiftdRQBg?e=KiLE5h" TargetMode="External"/><Relationship Id="rId89" Type="http://schemas.openxmlformats.org/officeDocument/2006/relationships/hyperlink" Target="https://1drv.ms/b/c/a8f0902f6b5ae388/IQCrIZSIIFcCRaYSwb3QROwPAep0X2z6vfH5s1lm8Nw0QMk?e=NKG3RC" TargetMode="External"/><Relationship Id="rId112" Type="http://schemas.openxmlformats.org/officeDocument/2006/relationships/hyperlink" Target="https://1drv.ms/b/c/a8f0902f6b5ae388/IQDUja24671oQpmVEcrqQMhUAQ4fFrO8xp1Q3kby59f_H0A?e=KrHpbi" TargetMode="External"/><Relationship Id="rId133" Type="http://schemas.openxmlformats.org/officeDocument/2006/relationships/hyperlink" Target="https://1drv.ms/b/c/a8f0902f6b5ae388/IQCdfXjxbZm0SZta_h4yK3f1AUp33zuArX6a5l2OfhoZfVw?e=9bJf6x" TargetMode="External"/><Relationship Id="rId154" Type="http://schemas.openxmlformats.org/officeDocument/2006/relationships/hyperlink" Target="https://1drv.ms/b/c/a8f0902f6b5ae388/IQDderDuMfABTK8mPGcdGwO0ATOXl4MXxBmOQM_iMwOnBtk?e=pMs1PQ" TargetMode="External"/><Relationship Id="rId175" Type="http://schemas.openxmlformats.org/officeDocument/2006/relationships/hyperlink" Target="https://1drv.ms/b/c/a8f0902f6b5ae388/IQC985puHVBCQ5a8kI8vfjlfAd3WluDDQ-C5eR0g6Fpda9U?e=6adh88" TargetMode="External"/><Relationship Id="rId196" Type="http://schemas.openxmlformats.org/officeDocument/2006/relationships/hyperlink" Target="https://1drv.ms/b/c/a8f0902f6b5ae388/IQCPPFW4Wm6cQ7Re38nF-N2JAaoges7gjp6gKheraPX3AMw?e=wDkvdm" TargetMode="External"/><Relationship Id="rId200" Type="http://schemas.openxmlformats.org/officeDocument/2006/relationships/hyperlink" Target="https://1drv.ms/b/c/a8f0902f6b5ae388/IQBmGjEjSFKdQp0hZMrteBPmAeXT7JqGwFU6s7XtSLAhWjk?e=fCaduj" TargetMode="External"/><Relationship Id="rId16" Type="http://schemas.openxmlformats.org/officeDocument/2006/relationships/hyperlink" Target="https://1drv.ms/b/c/a8f0902f6b5ae388/IQCrG59sIiyRR5mViQZ9qz1KAYEOYoy1-eUDz6vve1IeoBM?e=YhZ1bh" TargetMode="External"/><Relationship Id="rId221" Type="http://schemas.openxmlformats.org/officeDocument/2006/relationships/hyperlink" Target="https://1drv.ms/b/c/a8f0902f6b5ae388/IQAcTj0H3N2mSKfibUFdAd4iAebB_vd9p__mi3BQp-UJeMk?e=xTvrRV" TargetMode="External"/><Relationship Id="rId242" Type="http://schemas.openxmlformats.org/officeDocument/2006/relationships/hyperlink" Target="https://1drv.ms/b/c/a8f0902f6b5ae388/IQB5VMhCWHpGTp2ZrRoF4RjkAe_5rGO2J4lHkPz7UJuR-Ro?e=3M7sSx" TargetMode="External"/><Relationship Id="rId37" Type="http://schemas.openxmlformats.org/officeDocument/2006/relationships/hyperlink" Target="https://1drv.ms/b/c/a8f0902f6b5ae388/IQDCimVxtuBBTrn2NqPqoQLlAeP49ZWG1dhh28R4iIxwpZk?e=iyzVYv" TargetMode="External"/><Relationship Id="rId58" Type="http://schemas.openxmlformats.org/officeDocument/2006/relationships/hyperlink" Target="https://1drv.ms/b/c/a8f0902f6b5ae388/IQBrYvsfhyODR7EpKcgzOjBuAdF5mnWq5OLOMj-UI6vVWZM?e=buZGYe" TargetMode="External"/><Relationship Id="rId79" Type="http://schemas.openxmlformats.org/officeDocument/2006/relationships/hyperlink" Target="https://1drv.ms/b/c/a8f0902f6b5ae388/IQDeSDV4bSWEQ6n91g_449XhAfBXPCSlvB-guhhsBtVlH2g?e=1w6ok3" TargetMode="External"/><Relationship Id="rId102" Type="http://schemas.openxmlformats.org/officeDocument/2006/relationships/hyperlink" Target="https://1drv.ms/b/c/a8f0902f6b5ae388/IQDgbMqRb3l-QZ1ly2T7Xz6CAWLh8Cjt6Vw7nogaHz_hE4E?e=YLTJDx" TargetMode="External"/><Relationship Id="rId123" Type="http://schemas.openxmlformats.org/officeDocument/2006/relationships/hyperlink" Target="https://1drv.ms/b/c/a8f0902f6b5ae388/IQAvYEsKZrs-S5ihvtoMDzptARaWrh0sX9O1KZInraiVfLQ?e=WW0peS" TargetMode="External"/><Relationship Id="rId144" Type="http://schemas.openxmlformats.org/officeDocument/2006/relationships/hyperlink" Target="https://1drv.ms/b/c/a8f0902f6b5ae388/IQAvDF4_YH49S6Xc7C1aydneAdI8_4oWS6N0e7-YF3gcDj8?e=3GA97h" TargetMode="External"/><Relationship Id="rId90" Type="http://schemas.openxmlformats.org/officeDocument/2006/relationships/hyperlink" Target="https://1drv.ms/b/c/a8f0902f6b5ae388/IQCrIZSIIFcCRaYSwb3QROwPAep0X2z6vfH5s1lm8Nw0QMk?e=NKG3RC" TargetMode="External"/><Relationship Id="rId165" Type="http://schemas.openxmlformats.org/officeDocument/2006/relationships/hyperlink" Target="https://1drv.ms/b/c/a8f0902f6b5ae388/IQAuPDz1NfwbR64EadSPl5jCAUKpqFsXaReX1Pi1Ag3Ckss?e=6Sv8uf" TargetMode="External"/><Relationship Id="rId186" Type="http://schemas.openxmlformats.org/officeDocument/2006/relationships/hyperlink" Target="https://1drv.ms/b/c/a8f0902f6b5ae388/IQDmUdXfzjnBRZtXzvWtPFMSAYZDmhu8A51Vk3CLUfDMqDk?e=mJM0no" TargetMode="External"/><Relationship Id="rId211" Type="http://schemas.openxmlformats.org/officeDocument/2006/relationships/hyperlink" Target="https://1drv.ms/b/c/a8f0902f6b5ae388/IQDrF7mqLrahQoA27YjFwudrAaveozxiLuDYvYypS1shgqw?e=x2NtKp" TargetMode="External"/><Relationship Id="rId232" Type="http://schemas.openxmlformats.org/officeDocument/2006/relationships/hyperlink" Target="https://1drv.ms/b/c/a8f0902f6b5ae388/IQAfww5_u3A6TIF65QQ6J3LQAUcJR8MB1SZih1j5lJtL7aw?e=QaGbe7" TargetMode="External"/><Relationship Id="rId27" Type="http://schemas.openxmlformats.org/officeDocument/2006/relationships/hyperlink" Target="https://1drv.ms/b/c/a8f0902f6b5ae388/IQAUdLowiMrtTYFkRz1bda6-AS4Ou7s1HtEa9GoAgDPW20Y?e=nXvcFQ" TargetMode="External"/><Relationship Id="rId48" Type="http://schemas.openxmlformats.org/officeDocument/2006/relationships/hyperlink" Target="https://1drv.ms/b/c/a8f0902f6b5ae388/IQDk6i2jAKrzRIoVYomJJZ3NAYaGTyuRQB9JMJ5z-XI_0og?e=j0fcB4" TargetMode="External"/><Relationship Id="rId69" Type="http://schemas.openxmlformats.org/officeDocument/2006/relationships/hyperlink" Target="https://1drv.ms/b/c/a8f0902f6b5ae388/IQDLWIxtgMQiSomYtX1cavYuAUOL36gSmWjxNgkiftdRQBg?e=KiLE5h" TargetMode="External"/><Relationship Id="rId113" Type="http://schemas.openxmlformats.org/officeDocument/2006/relationships/hyperlink" Target="https://1drv.ms/b/c/a8f0902f6b5ae388/IQDUja24671oQpmVEcrqQMhUAQ4fFrO8xp1Q3kby59f_H0A?e=KrHpbi" TargetMode="External"/><Relationship Id="rId134" Type="http://schemas.openxmlformats.org/officeDocument/2006/relationships/hyperlink" Target="https://1drv.ms/b/c/a8f0902f6b5ae388/IQCdfXjxbZm0SZta_h4yK3f1AUp33zuArX6a5l2OfhoZfVw?e=9bJf6x" TargetMode="External"/><Relationship Id="rId80" Type="http://schemas.openxmlformats.org/officeDocument/2006/relationships/hyperlink" Target="https://1drv.ms/b/c/a8f0902f6b5ae388/IQDeSDV4bSWEQ6n91g_449XhAfBXPCSlvB-guhhsBtVlH2g?e=1w6ok3" TargetMode="External"/><Relationship Id="rId155" Type="http://schemas.openxmlformats.org/officeDocument/2006/relationships/hyperlink" Target="https://1drv.ms/b/c/a8f0902f6b5ae388/IQDderDuMfABTK8mPGcdGwO0ATOXl4MXxBmOQM_iMwOnBtk?e=pMs1PQ" TargetMode="External"/><Relationship Id="rId176" Type="http://schemas.openxmlformats.org/officeDocument/2006/relationships/hyperlink" Target="https://1drv.ms/b/c/a8f0902f6b5ae388/IQDINnmT1a6nQIE7rh6IQ-pHAQSCoSy5Iv19GGvNuGX4Bbg?e=YSq1DL" TargetMode="External"/><Relationship Id="rId197" Type="http://schemas.openxmlformats.org/officeDocument/2006/relationships/hyperlink" Target="https://1drv.ms/b/c/a8f0902f6b5ae388/IQCPPFW4Wm6cQ7Re38nF-N2JAaoges7gjp6gKheraPX3AMw?e=wDkvdm" TargetMode="External"/><Relationship Id="rId201" Type="http://schemas.openxmlformats.org/officeDocument/2006/relationships/hyperlink" Target="https://1drv.ms/b/c/a8f0902f6b5ae388/IQBmGjEjSFKdQp0hZMrteBPmAeXT7JqGwFU6s7XtSLAhWjk?e=fCaduj" TargetMode="External"/><Relationship Id="rId222" Type="http://schemas.openxmlformats.org/officeDocument/2006/relationships/hyperlink" Target="https://1drv.ms/b/c/a8f0902f6b5ae388/IQAcTj0H3N2mSKfibUFdAd4iAebB_vd9p__mi3BQp-UJeMk?e=xTvrRV" TargetMode="External"/><Relationship Id="rId243" Type="http://schemas.openxmlformats.org/officeDocument/2006/relationships/hyperlink" Target="https://1drv.ms/b/c/a8f0902f6b5ae388/IQB-O4_Db34GTJZJ_TZ9UE1JAbTW8NgI6loTy4t5cciug6g?e=LX1QwN" TargetMode="External"/><Relationship Id="rId17" Type="http://schemas.openxmlformats.org/officeDocument/2006/relationships/hyperlink" Target="https://1drv.ms/b/c/a8f0902f6b5ae388/IQCrG59sIiyRR5mViQZ9qz1KAYEOYoy1-eUDz6vve1IeoBM?e=YhZ1bh" TargetMode="External"/><Relationship Id="rId38" Type="http://schemas.openxmlformats.org/officeDocument/2006/relationships/hyperlink" Target="https://1drv.ms/b/c/a8f0902f6b5ae388/IQDCimVxtuBBTrn2NqPqoQLlAeP49ZWG1dhh28R4iIxwpZk?e=iyzVYv" TargetMode="External"/><Relationship Id="rId59" Type="http://schemas.openxmlformats.org/officeDocument/2006/relationships/hyperlink" Target="https://1drv.ms/b/c/a8f0902f6b5ae388/IQB78FZq8e42T60KxZhblWzQATNV_tauTrZTdJHGnsR_D0I?e=Dmg30B" TargetMode="External"/><Relationship Id="rId103" Type="http://schemas.openxmlformats.org/officeDocument/2006/relationships/hyperlink" Target="https://1drv.ms/b/c/a8f0902f6b5ae388/IQDgbMqRb3l-QZ1ly2T7Xz6CAWLh8Cjt6Vw7nogaHz_hE4E?e=YLTJDx" TargetMode="External"/><Relationship Id="rId124" Type="http://schemas.openxmlformats.org/officeDocument/2006/relationships/hyperlink" Target="https://1drv.ms/b/c/a8f0902f6b5ae388/IQBSn8gFN_NbSZt9oChYFk_EARpPDMPaI49YFpn3j8w4f0Q?e=JwC3HI" TargetMode="External"/><Relationship Id="rId70" Type="http://schemas.openxmlformats.org/officeDocument/2006/relationships/hyperlink" Target="https://1drv.ms/b/c/a8f0902f6b5ae388/IQDLWIxtgMQiSomYtX1cavYuAUOL36gSmWjxNgkiftdRQBg?e=KiLE5h" TargetMode="External"/><Relationship Id="rId91" Type="http://schemas.openxmlformats.org/officeDocument/2006/relationships/hyperlink" Target="https://1drv.ms/b/c/a8f0902f6b5ae388/IQCrIZSIIFcCRaYSwb3QROwPAep0X2z6vfH5s1lm8Nw0QMk?e=NKG3RC" TargetMode="External"/><Relationship Id="rId145" Type="http://schemas.openxmlformats.org/officeDocument/2006/relationships/hyperlink" Target="https://1drv.ms/b/c/a8f0902f6b5ae388/IQAvDF4_YH49S6Xc7C1aydneAdI8_4oWS6N0e7-YF3gcDj8?e=3GA97h" TargetMode="External"/><Relationship Id="rId166" Type="http://schemas.openxmlformats.org/officeDocument/2006/relationships/hyperlink" Target="https://1drv.ms/b/c/a8f0902f6b5ae388/IQAuPDz1NfwbR64EadSPl5jCAUKpqFsXaReX1Pi1Ag3Ckss?e=6Sv8uf" TargetMode="External"/><Relationship Id="rId187" Type="http://schemas.openxmlformats.org/officeDocument/2006/relationships/hyperlink" Target="https://1drv.ms/b/c/a8f0902f6b5ae388/IQDmUdXfzjnBRZtXzvWtPFMSAYZDmhu8A51Vk3CLUfDMqDk?e=mJM0no" TargetMode="External"/><Relationship Id="rId1" Type="http://schemas.openxmlformats.org/officeDocument/2006/relationships/hyperlink" Target="https://1drv.ms/b/c/a8f0902f6b5ae388/IQDyCF3M6ZB5QLqMtTnu4cBxAUa2pW60kEn3c-NgIR9hEpc?e=7C6j2K" TargetMode="External"/><Relationship Id="rId212" Type="http://schemas.openxmlformats.org/officeDocument/2006/relationships/hyperlink" Target="https://1drv.ms/b/c/a8f0902f6b5ae388/IQDrF7mqLrahQoA27YjFwudrAaveozxiLuDYvYypS1shgqw?e=x2NtKp" TargetMode="External"/><Relationship Id="rId233" Type="http://schemas.openxmlformats.org/officeDocument/2006/relationships/hyperlink" Target="https://1drv.ms/b/c/a8f0902f6b5ae388/IQAfww5_u3A6TIF65QQ6J3LQAUcJR8MB1SZih1j5lJtL7aw?e=QaGbe7" TargetMode="External"/><Relationship Id="rId28" Type="http://schemas.openxmlformats.org/officeDocument/2006/relationships/hyperlink" Target="https://1drv.ms/b/c/a8f0902f6b5ae388/IQD7mPaFOrdRT5THNIteXShWAW4Gr0lG1noMQ34e1Ufff6Q?e=thWg2N" TargetMode="External"/><Relationship Id="rId49" Type="http://schemas.openxmlformats.org/officeDocument/2006/relationships/hyperlink" Target="https://1drv.ms/b/c/a8f0902f6b5ae388/IQDk6i2jAKrzRIoVYomJJZ3NAYaGTyuRQB9JMJ5z-XI_0og?e=j0fcB4" TargetMode="External"/><Relationship Id="rId114" Type="http://schemas.openxmlformats.org/officeDocument/2006/relationships/hyperlink" Target="https://1drv.ms/b/c/a8f0902f6b5ae388/IQDUja24671oQpmVEcrqQMhUAQ4fFrO8xp1Q3kby59f_H0A?e=KrHpbi" TargetMode="External"/><Relationship Id="rId60" Type="http://schemas.openxmlformats.org/officeDocument/2006/relationships/hyperlink" Target="https://1drv.ms/b/c/a8f0902f6b5ae388/IQB78FZq8e42T60KxZhblWzQATNV_tauTrZTdJHGnsR_D0I?e=Dmg30B" TargetMode="External"/><Relationship Id="rId81" Type="http://schemas.openxmlformats.org/officeDocument/2006/relationships/hyperlink" Target="https://1drv.ms/b/c/a8f0902f6b5ae388/IQAOBCGfhXQfTrc3HuTI9qEvAVd6ApxMjvQi3qFBkPqjWZ0?e=DnbcU0" TargetMode="External"/><Relationship Id="rId135" Type="http://schemas.openxmlformats.org/officeDocument/2006/relationships/hyperlink" Target="https://1drv.ms/b/c/a8f0902f6b5ae388/IQBmtmGw0R12T47jFN0ZL9vHAQF7EDZIXMxFgdRdqJ_gTjI?e=M4mbOW" TargetMode="External"/><Relationship Id="rId156" Type="http://schemas.openxmlformats.org/officeDocument/2006/relationships/hyperlink" Target="https://1drv.ms/b/c/a8f0902f6b5ae388/IQDderDuMfABTK8mPGcdGwO0ATOXl4MXxBmOQM_iMwOnBtk?e=pMs1PQ" TargetMode="External"/><Relationship Id="rId177" Type="http://schemas.openxmlformats.org/officeDocument/2006/relationships/hyperlink" Target="https://1drv.ms/b/c/a8f0902f6b5ae388/IQDINnmT1a6nQIE7rh6IQ-pHAQSCoSy5Iv19GGvNuGX4Bbg?e=YSq1DL" TargetMode="External"/><Relationship Id="rId198" Type="http://schemas.openxmlformats.org/officeDocument/2006/relationships/hyperlink" Target="https://1drv.ms/b/c/a8f0902f6b5ae388/IQCPPFW4Wm6cQ7Re38nF-N2JAaoges7gjp6gKheraPX3AMw?e=wDkvdm" TargetMode="External"/><Relationship Id="rId202" Type="http://schemas.openxmlformats.org/officeDocument/2006/relationships/hyperlink" Target="https://1drv.ms/b/c/a8f0902f6b5ae388/IQBxZQtB0wjNRozSCWBvZgsXAXea6oJtQ1zP2Y2VS4JuP8c?e=PVF2iN" TargetMode="External"/><Relationship Id="rId223" Type="http://schemas.openxmlformats.org/officeDocument/2006/relationships/hyperlink" Target="https://1drv.ms/b/c/a8f0902f6b5ae388/IQAcTj0H3N2mSKfibUFdAd4iAebB_vd9p__mi3BQp-UJeMk?e=xTvrRV" TargetMode="External"/><Relationship Id="rId244" Type="http://schemas.openxmlformats.org/officeDocument/2006/relationships/hyperlink" Target="https://1drv.ms/b/c/a8f0902f6b5ae388/IQB-O4_Db34GTJZJ_TZ9UE1JAbTW8NgI6loTy4t5cciug6g?e=LX1QwN" TargetMode="External"/><Relationship Id="rId18" Type="http://schemas.openxmlformats.org/officeDocument/2006/relationships/hyperlink" Target="https://1drv.ms/b/c/a8f0902f6b5ae388/IQCrG59sIiyRR5mViQZ9qz1KAYEOYoy1-eUDz6vve1IeoBM?e=YhZ1bh" TargetMode="External"/><Relationship Id="rId39" Type="http://schemas.openxmlformats.org/officeDocument/2006/relationships/hyperlink" Target="https://1drv.ms/b/c/a8f0902f6b5ae388/IQDCimVxtuBBTrn2NqPqoQLlAeP49ZWG1dhh28R4iIxwpZk?e=iyzVYv" TargetMode="External"/><Relationship Id="rId50" Type="http://schemas.openxmlformats.org/officeDocument/2006/relationships/hyperlink" Target="https://1drv.ms/b/c/a8f0902f6b5ae388/IQC--d01tQ-KTJBYFh7QJ03hAbnX2t6obNG0HKKFq6JayHQ?e=QXpFXV" TargetMode="External"/><Relationship Id="rId104" Type="http://schemas.openxmlformats.org/officeDocument/2006/relationships/hyperlink" Target="https://1drv.ms/b/c/a8f0902f6b5ae388/IQCZ4YUDCFyUSb9aJpfei0RJAZXVRljCgxeboY9-4rWQxQY?e=5XyvI9" TargetMode="External"/><Relationship Id="rId125" Type="http://schemas.openxmlformats.org/officeDocument/2006/relationships/hyperlink" Target="https://1drv.ms/b/c/a8f0902f6b5ae388/IQBSn8gFN_NbSZt9oChYFk_EARpPDMPaI49YFpn3j8w4f0Q?e=JwC3HI" TargetMode="External"/><Relationship Id="rId146" Type="http://schemas.openxmlformats.org/officeDocument/2006/relationships/hyperlink" Target="https://1drv.ms/b/c/a8f0902f6b5ae388/IQAvDF4_YH49S6Xc7C1aydneAdI8_4oWS6N0e7-YF3gcDj8?e=3GA97h" TargetMode="External"/><Relationship Id="rId167" Type="http://schemas.openxmlformats.org/officeDocument/2006/relationships/hyperlink" Target="https://1drv.ms/b/c/a8f0902f6b5ae388/IQAuPDz1NfwbR64EadSPl5jCAUKpqFsXaReX1Pi1Ag3Ckss?e=6Sv8uf" TargetMode="External"/><Relationship Id="rId188" Type="http://schemas.openxmlformats.org/officeDocument/2006/relationships/hyperlink" Target="https://1drv.ms/b/c/a8f0902f6b5ae388/IQBmeLAqha30RIjTQbrEAsEtAatm8qvQk-lPz-a_rCiod0k?e=ecbX6X" TargetMode="External"/><Relationship Id="rId71" Type="http://schemas.openxmlformats.org/officeDocument/2006/relationships/hyperlink" Target="https://1drv.ms/b/c/a8f0902f6b5ae388/IQDm7AGABlj3Rq_YRNuPPNcoAaizC_gkqWoKi8ze-kmTcsU?e=fTcxPr" TargetMode="External"/><Relationship Id="rId92" Type="http://schemas.openxmlformats.org/officeDocument/2006/relationships/hyperlink" Target="https://1drv.ms/b/c/a8f0902f6b5ae388/IQCrIZSIIFcCRaYSwb3QROwPAep0X2z6vfH5s1lm8Nw0QMk?e=NKG3RC" TargetMode="External"/><Relationship Id="rId213" Type="http://schemas.openxmlformats.org/officeDocument/2006/relationships/hyperlink" Target="https://1drv.ms/b/c/a8f0902f6b5ae388/IQDrF7mqLrahQoA27YjFwudrAaveozxiLuDYvYypS1shgqw?e=x2NtKp" TargetMode="External"/><Relationship Id="rId234" Type="http://schemas.openxmlformats.org/officeDocument/2006/relationships/hyperlink" Target="https://1drv.ms/b/c/a8f0902f6b5ae388/IQAfww5_u3A6TIF65QQ6J3LQAUcJR8MB1SZih1j5lJtL7aw?e=QaGbe7" TargetMode="External"/><Relationship Id="rId2" Type="http://schemas.openxmlformats.org/officeDocument/2006/relationships/hyperlink" Target="https://1drv.ms/b/c/a8f0902f6b5ae388/IQDQzsgVBUlDRLjlWbMDya-8AVFCZCSZNKpsDexrlbA357A?e=KIeGHy" TargetMode="External"/><Relationship Id="rId29" Type="http://schemas.openxmlformats.org/officeDocument/2006/relationships/hyperlink" Target="https://1drv.ms/b/c/a8f0902f6b5ae388/IQD7mPaFOrdRT5THNIteXShWAW4Gr0lG1noMQ34e1Ufff6Q?e=thWg2N" TargetMode="External"/><Relationship Id="rId40" Type="http://schemas.openxmlformats.org/officeDocument/2006/relationships/hyperlink" Target="https://1drv.ms/b/c/a8f0902f6b5ae388/IQA4goP1LZ9ARaSfQ5MVIaNqAQWfG8TyzlWnNVLQVOxf43g?e=Xfk5xB" TargetMode="External"/><Relationship Id="rId115" Type="http://schemas.openxmlformats.org/officeDocument/2006/relationships/hyperlink" Target="https://1drv.ms/b/c/a8f0902f6b5ae388/IQDUja24671oQpmVEcrqQMhUAQ4fFrO8xp1Q3kby59f_H0A?e=KrHpbi" TargetMode="External"/><Relationship Id="rId136" Type="http://schemas.openxmlformats.org/officeDocument/2006/relationships/hyperlink" Target="https://1drv.ms/b/c/a8f0902f6b5ae388/IQBmtmGw0R12T47jFN0ZL9vHAQF7EDZIXMxFgdRdqJ_gTjI?e=M4mbOW" TargetMode="External"/><Relationship Id="rId157" Type="http://schemas.openxmlformats.org/officeDocument/2006/relationships/hyperlink" Target="https://1drv.ms/b/c/a8f0902f6b5ae388/IQDderDuMfABTK8mPGcdGwO0ATOXl4MXxBmOQM_iMwOnBtk?e=pMs1PQ" TargetMode="External"/><Relationship Id="rId178" Type="http://schemas.openxmlformats.org/officeDocument/2006/relationships/hyperlink" Target="https://1drv.ms/b/c/a8f0902f6b5ae388/IQDINnmT1a6nQIE7rh6IQ-pHAQSCoSy5Iv19GGvNuGX4Bbg?e=YSq1DL" TargetMode="External"/><Relationship Id="rId61" Type="http://schemas.openxmlformats.org/officeDocument/2006/relationships/hyperlink" Target="https://1drv.ms/b/c/a8f0902f6b5ae388/IQB78FZq8e42T60KxZhblWzQATNV_tauTrZTdJHGnsR_D0I?e=Dmg30B" TargetMode="External"/><Relationship Id="rId82" Type="http://schemas.openxmlformats.org/officeDocument/2006/relationships/hyperlink" Target="https://1drv.ms/b/c/a8f0902f6b5ae388/IQAOBCGfhXQfTrc3HuTI9qEvAVd6ApxMjvQi3qFBkPqjWZ0?e=DnbcU0" TargetMode="External"/><Relationship Id="rId199" Type="http://schemas.openxmlformats.org/officeDocument/2006/relationships/hyperlink" Target="https://1drv.ms/b/c/a8f0902f6b5ae388/IQDqc_SUTTrAQbzx_CA8bISpAYPht4Aw3tbxixvmkWZCI_0?e=HrrJOY" TargetMode="External"/><Relationship Id="rId203" Type="http://schemas.openxmlformats.org/officeDocument/2006/relationships/hyperlink" Target="https://1drv.ms/b/c/a8f0902f6b5ae388/IQBxZQtB0wjNRozSCWBvZgsXAXea6oJtQ1zP2Y2VS4JuP8c?e=PVF2iN" TargetMode="External"/><Relationship Id="rId19" Type="http://schemas.openxmlformats.org/officeDocument/2006/relationships/hyperlink" Target="https://1drv.ms/b/c/a8f0902f6b5ae388/IQCrG59sIiyRR5mViQZ9qz1KAYEOYoy1-eUDz6vve1IeoBM?e=YhZ1bh" TargetMode="External"/><Relationship Id="rId224" Type="http://schemas.openxmlformats.org/officeDocument/2006/relationships/hyperlink" Target="https://1drv.ms/b/c/a8f0902f6b5ae388/IQAcTj0H3N2mSKfibUFdAd4iAebB_vd9p__mi3BQp-UJeMk?e=xTvrRV" TargetMode="External"/><Relationship Id="rId245" Type="http://schemas.openxmlformats.org/officeDocument/2006/relationships/hyperlink" Target="https://1drv.ms/b/c/a8f0902f6b5ae388/IQB-O4_Db34GTJZJ_TZ9UE1JAbTW8NgI6loTy4t5cciug6g?e=LX1QwN" TargetMode="External"/><Relationship Id="rId30" Type="http://schemas.openxmlformats.org/officeDocument/2006/relationships/hyperlink" Target="https://1drv.ms/b/c/a8f0902f6b5ae388/IQDJwiU8EXngSZLeVRwFI1nnAdGXlsL-Xccljt2eWfIY0dQ?e=e50GFK" TargetMode="External"/><Relationship Id="rId105" Type="http://schemas.openxmlformats.org/officeDocument/2006/relationships/hyperlink" Target="https://1drv.ms/b/c/a8f0902f6b5ae388/IQCZ4YUDCFyUSb9aJpfei0RJAZXVRljCgxeboY9-4rWQxQY?e=5XyvI9" TargetMode="External"/><Relationship Id="rId126" Type="http://schemas.openxmlformats.org/officeDocument/2006/relationships/hyperlink" Target="https://1drv.ms/b/c/a8f0902f6b5ae388/IQBSn8gFN_NbSZt9oChYFk_EARpPDMPaI49YFpn3j8w4f0Q?e=JwC3HI" TargetMode="External"/><Relationship Id="rId147" Type="http://schemas.openxmlformats.org/officeDocument/2006/relationships/hyperlink" Target="https://1drv.ms/b/c/a8f0902f6b5ae388/IQDderDuMfABTK8mPGcdGwO0ATOXl4MXxBmOQM_iMwOnBtk?e=pMs1PQ" TargetMode="External"/><Relationship Id="rId168" Type="http://schemas.openxmlformats.org/officeDocument/2006/relationships/hyperlink" Target="https://1drv.ms/b/c/a8f0902f6b5ae388/IQAuPDz1NfwbR64EadSPl5jCAUKpqFsXaReX1Pi1Ag3Ckss?e=6Sv8uf" TargetMode="External"/><Relationship Id="rId51" Type="http://schemas.openxmlformats.org/officeDocument/2006/relationships/hyperlink" Target="https://1drv.ms/b/c/a8f0902f6b5ae388/IQC--d01tQ-KTJBYFh7QJ03hAbnX2t6obNG0HKKFq6JayHQ?e=QXpFXV" TargetMode="External"/><Relationship Id="rId72" Type="http://schemas.openxmlformats.org/officeDocument/2006/relationships/hyperlink" Target="https://1drv.ms/b/c/a8f0902f6b5ae388/IQDm7AGABlj3Rq_YRNuPPNcoAaizC_gkqWoKi8ze-kmTcsU?e=fTcxPr" TargetMode="External"/><Relationship Id="rId93" Type="http://schemas.openxmlformats.org/officeDocument/2006/relationships/hyperlink" Target="https://1drv.ms/b/c/a8f0902f6b5ae388/IQAGwcs_G-Y5T7rm1vNk5Cs5AePCaisHScIaAEXlEKT4Exk?e=MQzhtq" TargetMode="External"/><Relationship Id="rId189" Type="http://schemas.openxmlformats.org/officeDocument/2006/relationships/hyperlink" Target="https://1drv.ms/b/c/a8f0902f6b5ae388/IQBmeLAqha30RIjTQbrEAsEtAatm8qvQk-lPz-a_rCiod0k?e=ecbX6X" TargetMode="External"/><Relationship Id="rId3" Type="http://schemas.openxmlformats.org/officeDocument/2006/relationships/hyperlink" Target="https://1drv.ms/b/c/a8f0902f6b5ae388/IQBmpsInEaLTTY9-uoH8oBZfAfehxLzCtpf6DDIUoqvR1xE?e=W9jga3" TargetMode="External"/><Relationship Id="rId214" Type="http://schemas.openxmlformats.org/officeDocument/2006/relationships/hyperlink" Target="https://1drv.ms/b/c/a8f0902f6b5ae388/IQDrF7mqLrahQoA27YjFwudrAaveozxiLuDYvYypS1shgqw?e=x2NtKp" TargetMode="External"/><Relationship Id="rId235" Type="http://schemas.openxmlformats.org/officeDocument/2006/relationships/hyperlink" Target="https://1drv.ms/b/c/a8f0902f6b5ae388/IQB5VMhCWHpGTp2ZrRoF4RjkAe_5rGO2J4lHkPz7UJuR-Ro?e=3M7sSx" TargetMode="External"/><Relationship Id="rId116" Type="http://schemas.openxmlformats.org/officeDocument/2006/relationships/hyperlink" Target="https://1drv.ms/b/c/a8f0902f6b5ae388/IQDUja24671oQpmVEcrqQMhUAQ4fFrO8xp1Q3kby59f_H0A?e=KrHpbi" TargetMode="External"/><Relationship Id="rId137" Type="http://schemas.openxmlformats.org/officeDocument/2006/relationships/hyperlink" Target="https://1drv.ms/b/c/a8f0902f6b5ae388/IQAx_h7THmPRRqUVhOLwr11uAedttrpoXIC0ZcRZUyX8QOs?e=3agvNp" TargetMode="External"/><Relationship Id="rId158" Type="http://schemas.openxmlformats.org/officeDocument/2006/relationships/hyperlink" Target="https://1drv.ms/b/c/a8f0902f6b5ae388/IQCW6fdWtajpR50M2pcV8BMJAVW7OhsABfwWNHxlHmU4-JE?e=wO7t5G" TargetMode="External"/><Relationship Id="rId20" Type="http://schemas.openxmlformats.org/officeDocument/2006/relationships/hyperlink" Target="https://1drv.ms/b/c/a8f0902f6b5ae388/IQCrG59sIiyRR5mViQZ9qz1KAYEOYoy1-eUDz6vve1IeoBM?e=YhZ1bh" TargetMode="External"/><Relationship Id="rId41" Type="http://schemas.openxmlformats.org/officeDocument/2006/relationships/hyperlink" Target="https://1drv.ms/b/c/a8f0902f6b5ae388/IQA4goP1LZ9ARaSfQ5MVIaNqAQWfG8TyzlWnNVLQVOxf43g?e=Xfk5xB" TargetMode="External"/><Relationship Id="rId62" Type="http://schemas.openxmlformats.org/officeDocument/2006/relationships/hyperlink" Target="https://1drv.ms/b/c/a8f0902f6b5ae388/IQDde1dB9Lm7TpwSW5nFXuirAfHVbfY2sc-hHWv-a3Z06KM?e=DJfsuM" TargetMode="External"/><Relationship Id="rId83" Type="http://schemas.openxmlformats.org/officeDocument/2006/relationships/hyperlink" Target="https://1drv.ms/b/c/a8f0902f6b5ae388/IQAOBCGfhXQfTrc3HuTI9qEvAVd6ApxMjvQi3qFBkPqjWZ0?e=DnbcU0" TargetMode="External"/><Relationship Id="rId179" Type="http://schemas.openxmlformats.org/officeDocument/2006/relationships/hyperlink" Target="https://1drv.ms/b/c/a8f0902f6b5ae388/IQDINnmT1a6nQIE7rh6IQ-pHAQSCoSy5Iv19GGvNuGX4Bbg?e=YSq1DL" TargetMode="External"/><Relationship Id="rId190" Type="http://schemas.openxmlformats.org/officeDocument/2006/relationships/hyperlink" Target="https://1drv.ms/b/c/a8f0902f6b5ae388/IQBmeLAqha30RIjTQbrEAsEtAatm8qvQk-lPz-a_rCiod0k?e=ecbX6X" TargetMode="External"/><Relationship Id="rId204" Type="http://schemas.openxmlformats.org/officeDocument/2006/relationships/hyperlink" Target="https://1drv.ms/b/c/a8f0902f6b5ae388/IQBxZQtB0wjNRozSCWBvZgsXAXea6oJtQ1zP2Y2VS4JuP8c?e=PVF2iN" TargetMode="External"/><Relationship Id="rId225" Type="http://schemas.openxmlformats.org/officeDocument/2006/relationships/hyperlink" Target="https://1drv.ms/b/c/a8f0902f6b5ae388/IQAcTj0H3N2mSKfibUFdAd4iAebB_vd9p__mi3BQp-UJeMk?e=xTvrRV" TargetMode="External"/><Relationship Id="rId106" Type="http://schemas.openxmlformats.org/officeDocument/2006/relationships/hyperlink" Target="https://1drv.ms/b/c/a8f0902f6b5ae388/IQCZ4YUDCFyUSb9aJpfei0RJAZXVRljCgxeboY9-4rWQxQY?e=5XyvI9" TargetMode="External"/><Relationship Id="rId127" Type="http://schemas.openxmlformats.org/officeDocument/2006/relationships/hyperlink" Target="https://1drv.ms/b/c/a8f0902f6b5ae388/IQBSn8gFN_NbSZt9oChYFk_EARpPDMPaI49YFpn3j8w4f0Q?e=JwC3HI"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youtu.be/83a9huRjdvk?t=748" TargetMode="External"/><Relationship Id="rId299" Type="http://schemas.openxmlformats.org/officeDocument/2006/relationships/hyperlink" Target="https://1drv.ms/b/c/a8f0902f6b5ae388/IQDINnmT1a6nQIE7rh6IQ-pHAQSCoSy5Iv19GGvNuGX4Bbg?e=0an2mC" TargetMode="External"/><Relationship Id="rId21" Type="http://schemas.openxmlformats.org/officeDocument/2006/relationships/hyperlink" Target="https://kitakushorinji.sakura.ne.jp/joukyuu/-3tantoufuriage.mp4" TargetMode="External"/><Relationship Id="rId63" Type="http://schemas.openxmlformats.org/officeDocument/2006/relationships/hyperlink" Target="https://kitakushorinji.sakura.ne.jp/joukyuu/-3konohagaeshi.mp4" TargetMode="External"/><Relationship Id="rId159" Type="http://schemas.openxmlformats.org/officeDocument/2006/relationships/hyperlink" Target="https://1drv.ms/b/c/a8f0902f6b5ae388/IQCPPFW4Wm6cQ7Re38nF-N2JAaoges7gjp6gKheraPX3AMw?e=HHkT0p" TargetMode="External"/><Relationship Id="rId170" Type="http://schemas.openxmlformats.org/officeDocument/2006/relationships/hyperlink" Target="https://1drv.ms/b/c/a8f0902f6b5ae388/IQDyCF3M6ZB5QLqMtTnu4cBxAUa2pW60kEn3c-NgIR9hEpc?e=C4ucfe" TargetMode="External"/><Relationship Id="rId226" Type="http://schemas.openxmlformats.org/officeDocument/2006/relationships/hyperlink" Target="https://1drv.ms/b/c/a8f0902f6b5ae388/IQB78FZq8e42T60KxZhblWzQATNV_tauTrZTdJHGnsR_D0I?e=xAWbT1" TargetMode="External"/><Relationship Id="rId268" Type="http://schemas.openxmlformats.org/officeDocument/2006/relationships/hyperlink" Target="https://1drv.ms/b/c/a8f0902f6b5ae388/IQAvYEsKZrs-S5ihvtoMDzptARaWrh0sX9O1KZInraiVfLQ?e=CP3rR7" TargetMode="External"/><Relationship Id="rId32" Type="http://schemas.openxmlformats.org/officeDocument/2006/relationships/hyperlink" Target="https://youtu.be/ZOhqdBiSO9I?t=269" TargetMode="External"/><Relationship Id="rId74" Type="http://schemas.openxmlformats.org/officeDocument/2006/relationships/hyperlink" Target="https://kitakushorinji.sakura.ne.jp/joukyuu/-2uwaukenage.mp4" TargetMode="External"/><Relationship Id="rId128" Type="http://schemas.openxmlformats.org/officeDocument/2006/relationships/hyperlink" Target="https://kitakushorinji.sakura.ne.jp/joukyuu/-4ushirokubinage.m4v" TargetMode="External"/><Relationship Id="rId5" Type="http://schemas.openxmlformats.org/officeDocument/2006/relationships/hyperlink" Target="https://kitakushorinji.sakura.ne.jp/joukyuu/-3keriteniti.mp4" TargetMode="External"/><Relationship Id="rId181" Type="http://schemas.openxmlformats.org/officeDocument/2006/relationships/hyperlink" Target="https://1drv.ms/b/c/a8f0902f6b5ae388/IQDrJQpl75RvQrtn28A_tg1vAYS-O5jFU0xJbdjVPdgH-wY?e=7zTBHS" TargetMode="External"/><Relationship Id="rId237" Type="http://schemas.openxmlformats.org/officeDocument/2006/relationships/hyperlink" Target="https://1drv.ms/b/c/a8f0902f6b5ae388/IQDm7AGABlj3Rq_YRNuPPNcoAaizC_gkqWoKi8ze-kmTcsU?e=jp0Wqh" TargetMode="External"/><Relationship Id="rId279" Type="http://schemas.openxmlformats.org/officeDocument/2006/relationships/hyperlink" Target="https://1drv.ms/b/c/a8f0902f6b5ae388/IQAx_h7THmPRRqUVhOLwr11uAedttrpoXIC0ZcRZUyX8QOs?e=F4Kdhx" TargetMode="External"/><Relationship Id="rId43" Type="http://schemas.openxmlformats.org/officeDocument/2006/relationships/hyperlink" Target="https://kitakushorinji.sakura.ne.jp/joukyuu/-3moroteokurikotenage.mp4" TargetMode="External"/><Relationship Id="rId139" Type="http://schemas.openxmlformats.org/officeDocument/2006/relationships/hyperlink" Target="https://1drv.ms/b/c/a8f0902f6b5ae388/IQASq74qUrQDQJCOEBQqsgg_AabmYrP6fkoVyrcHT_fpp18?e=yuaw41" TargetMode="External"/><Relationship Id="rId290" Type="http://schemas.openxmlformats.org/officeDocument/2006/relationships/hyperlink" Target="https://1drv.ms/b/c/a8f0902f6b5ae388/IQCW6fdWtajpR50M2pcV8BMJAVW7OhsABfwWNHxlHmU4-JE?e=hlQG2k" TargetMode="External"/><Relationship Id="rId304" Type="http://schemas.openxmlformats.org/officeDocument/2006/relationships/printerSettings" Target="../printerSettings/printerSettings1.bin"/><Relationship Id="rId85" Type="http://schemas.openxmlformats.org/officeDocument/2006/relationships/hyperlink" Target="https://kitakushorinji.sakura.ne.jp/joukyuu/-2hikitenbin.mp4" TargetMode="External"/><Relationship Id="rId150" Type="http://schemas.openxmlformats.org/officeDocument/2006/relationships/hyperlink" Target="https://1drv.ms/b/c/a8f0902f6b5ae388/IQBxZQtB0wjNRozSCWBvZgsXAXea6oJtQ1zP2Y2VS4JuP8c?e=KhwTRN" TargetMode="External"/><Relationship Id="rId192" Type="http://schemas.openxmlformats.org/officeDocument/2006/relationships/hyperlink" Target="https://1drv.ms/b/c/a8f0902f6b5ae388/IQBlPkTqZuc8RJpVpa-IeRVPAXwsniFAOOTcH9y5svfpl-k?e=hykeQS" TargetMode="External"/><Relationship Id="rId206" Type="http://schemas.openxmlformats.org/officeDocument/2006/relationships/hyperlink" Target="https://1drv.ms/b/c/a8f0902f6b5ae388/IQDCimVxtuBBTrn2NqPqoQLlAeP49ZWG1dhh28R4iIxwpZk?e=UsU2oW" TargetMode="External"/><Relationship Id="rId248" Type="http://schemas.openxmlformats.org/officeDocument/2006/relationships/hyperlink" Target="https://1drv.ms/b/c/a8f0902f6b5ae388/IQBRAsSBV_-eS5gtp5xw_NxzASq9vDjXFWBLhTMWyA92hyA?e=X4MLBY" TargetMode="External"/><Relationship Id="rId12" Type="http://schemas.openxmlformats.org/officeDocument/2006/relationships/hyperlink" Target="https://kitakushorinji.sakura.ne.jp/joukyuu/-2haraiuketini.mp4" TargetMode="External"/><Relationship Id="rId108" Type="http://schemas.openxmlformats.org/officeDocument/2006/relationships/hyperlink" Target="https://kitakushorinji.sakura.ne.jp/joukyuu/-3sodemakigaeshi.mp4" TargetMode="External"/><Relationship Id="rId54" Type="http://schemas.openxmlformats.org/officeDocument/2006/relationships/hyperlink" Target="https://youtu.be/gO795vfN_pQ?t=910" TargetMode="External"/><Relationship Id="rId96" Type="http://schemas.openxmlformats.org/officeDocument/2006/relationships/hyperlink" Target="https://kitakushorinji.sakura.ne.jp/joukyuu/-2turiagedori.mp4" TargetMode="External"/><Relationship Id="rId161" Type="http://schemas.openxmlformats.org/officeDocument/2006/relationships/hyperlink" Target="https://1drv.ms/b/c/a8f0902f6b5ae388/IQAlQPGHVs6HQrUNVe7cLeL6ARQHXHFGLBRMwOv-HTR8mqU?e=xy44V2" TargetMode="External"/><Relationship Id="rId217" Type="http://schemas.openxmlformats.org/officeDocument/2006/relationships/hyperlink" Target="https://1drv.ms/b/c/a8f0902f6b5ae388/IQDk6i2jAKrzRIoVYomJJZ3NAYaGTyuRQB9JMJ5z-XI_0og?e=KPkgrq" TargetMode="External"/><Relationship Id="rId6" Type="http://schemas.openxmlformats.org/officeDocument/2006/relationships/hyperlink" Target="https://kitakushorinji.sakura.ne.jp/joukyuu/-2haraiukedantuki.mp4" TargetMode="External"/><Relationship Id="rId238" Type="http://schemas.openxmlformats.org/officeDocument/2006/relationships/hyperlink" Target="https://1drv.ms/b/c/a8f0902f6b5ae388/IQDm7AGABlj3Rq_YRNuPPNcoAaizC_gkqWoKi8ze-kmTcsU?e=jp0Wqh" TargetMode="External"/><Relationship Id="rId259" Type="http://schemas.openxmlformats.org/officeDocument/2006/relationships/hyperlink" Target="https://1drv.ms/b/c/a8f0902f6b5ae388/IQDUja24671oQpmVEcrqQMhUAQ4fFrO8xp1Q3kby59f_H0A?e=7cvqrY" TargetMode="External"/><Relationship Id="rId23" Type="http://schemas.openxmlformats.org/officeDocument/2006/relationships/hyperlink" Target="https://youtu.be/CJ_TUFXQiKg?t=65" TargetMode="External"/><Relationship Id="rId119" Type="http://schemas.openxmlformats.org/officeDocument/2006/relationships/hyperlink" Target="https://kitakushorinji.sakura.ne.jp/joukyuu/-4yahasunage.m4v" TargetMode="External"/><Relationship Id="rId270" Type="http://schemas.openxmlformats.org/officeDocument/2006/relationships/hyperlink" Target="https://1drv.ms/b/c/a8f0902f6b5ae388/IQBSn8gFN_NbSZt9oChYFk_EARpPDMPaI49YFpn3j8w4f0Q?e=J5A6BC" TargetMode="External"/><Relationship Id="rId291" Type="http://schemas.openxmlformats.org/officeDocument/2006/relationships/hyperlink" Target="https://1drv.ms/b/c/a8f0902f6b5ae388/IQAuPDz1NfwbR64EadSPl5jCAUKpqFsXaReX1Pi1Ag3Ckss?e=4Jr212" TargetMode="External"/><Relationship Id="rId44" Type="http://schemas.openxmlformats.org/officeDocument/2006/relationships/hyperlink" Target="https://kitakushorinji.sakura.ne.jp/joukyuu/-3konohaokuri.mp4" TargetMode="External"/><Relationship Id="rId65" Type="http://schemas.openxmlformats.org/officeDocument/2006/relationships/hyperlink" Target="https://youtu.be/gYaO9D-3w5g?t=89" TargetMode="External"/><Relationship Id="rId86" Type="http://schemas.openxmlformats.org/officeDocument/2006/relationships/hyperlink" Target="https://kitakushorinji.sakura.ne.jp/joukyuu/-2gyakuhikitenbin.mp4" TargetMode="External"/><Relationship Id="rId130" Type="http://schemas.openxmlformats.org/officeDocument/2006/relationships/hyperlink" Target="https://1drv.ms/b/c/a8f0902f6b5ae388/IQB5VMhCWHpGTp2ZrRoF4RjkAe_5rGO2J4lHkPz7UJuR-Ro?e=gxe7Kw" TargetMode="External"/><Relationship Id="rId151" Type="http://schemas.openxmlformats.org/officeDocument/2006/relationships/hyperlink" Target="https://1drv.ms/b/c/a8f0902f6b5ae388/IQBxZQtB0wjNRozSCWBvZgsXAXea6oJtQ1zP2Y2VS4JuP8c?e=KhwTRN" TargetMode="External"/><Relationship Id="rId172" Type="http://schemas.openxmlformats.org/officeDocument/2006/relationships/hyperlink" Target="https://1drv.ms/b/c/a8f0902f6b5ae388/IQBmpsInEaLTTY9-uoH8oBZfAfehxLzCtpf6DDIUoqvR1xE?e=MG9xcK" TargetMode="External"/><Relationship Id="rId193" Type="http://schemas.openxmlformats.org/officeDocument/2006/relationships/hyperlink" Target="https://1drv.ms/b/c/a8f0902f6b5ae388/IQBlPkTqZuc8RJpVpa-IeRVPAXwsniFAOOTcH9y5svfpl-k?e=hykeQS" TargetMode="External"/><Relationship Id="rId207" Type="http://schemas.openxmlformats.org/officeDocument/2006/relationships/hyperlink" Target="https://1drv.ms/b/c/a8f0902f6b5ae388/IQDCimVxtuBBTrn2NqPqoQLlAeP49ZWG1dhh28R4iIxwpZk?e=UsU2oW" TargetMode="External"/><Relationship Id="rId228" Type="http://schemas.openxmlformats.org/officeDocument/2006/relationships/hyperlink" Target="https://1drv.ms/b/c/a8f0902f6b5ae388/IQDde1dB9Lm7TpwSW5nFXuirAfHVbfY2sc-hHWv-a3Z06KM?e=n1hCf3" TargetMode="External"/><Relationship Id="rId249" Type="http://schemas.openxmlformats.org/officeDocument/2006/relationships/hyperlink" Target="https://1drv.ms/b/c/a8f0902f6b5ae388/IQCrIZSIIFcCRaYSwb3QROwPAep0X2z6vfH5s1lm8Nw0QMk?e=5gGvdW" TargetMode="External"/><Relationship Id="rId13" Type="http://schemas.openxmlformats.org/officeDocument/2006/relationships/hyperlink" Target="https://kitakushorinji.sakura.ne.jp/joukyuu/-2junkeritisan.mp4" TargetMode="External"/><Relationship Id="rId109" Type="http://schemas.openxmlformats.org/officeDocument/2006/relationships/hyperlink" Target="https://youtu.be/x5hFL_p7YiI?t=88" TargetMode="External"/><Relationship Id="rId260" Type="http://schemas.openxmlformats.org/officeDocument/2006/relationships/hyperlink" Target="https://1drv.ms/b/c/a8f0902f6b5ae388/IQDUja24671oQpmVEcrqQMhUAQ4fFrO8xp1Q3kby59f_H0A?e=7cvqrY" TargetMode="External"/><Relationship Id="rId281" Type="http://schemas.openxmlformats.org/officeDocument/2006/relationships/hyperlink" Target="https://1drv.ms/b/c/a8f0902f6b5ae388/IQDderDuMfABTK8mPGcdGwO0ATOXl4MXxBmOQM_iMwOnBtk?e=3BoBSl" TargetMode="External"/><Relationship Id="rId34" Type="http://schemas.openxmlformats.org/officeDocument/2006/relationships/hyperlink" Target="https://youtu.be/gYaO9D-3w5g?t=60" TargetMode="External"/><Relationship Id="rId55" Type="http://schemas.openxmlformats.org/officeDocument/2006/relationships/hyperlink" Target="https://kitakushorinji.sakura.ne.jp/joukyuu/-2nukiutioshikote.mp4" TargetMode="External"/><Relationship Id="rId76" Type="http://schemas.openxmlformats.org/officeDocument/2006/relationships/hyperlink" Target="https://kitakushorinji.sakura.ne.jp/joukyuu/-3katatenage.mp4" TargetMode="External"/><Relationship Id="rId97" Type="http://schemas.openxmlformats.org/officeDocument/2006/relationships/hyperlink" Target="https://kitakushorinji.sakura.ne.jp/joukyuu/-3konohagatame.mp4" TargetMode="External"/><Relationship Id="rId120" Type="http://schemas.openxmlformats.org/officeDocument/2006/relationships/hyperlink" Target="https://kitakushorinji.sakura.ne.jp/joukyuu/-4kubijimenage.m4v" TargetMode="External"/><Relationship Id="rId141" Type="http://schemas.openxmlformats.org/officeDocument/2006/relationships/hyperlink" Target="https://1drv.ms/b/c/a8f0902f6b5ae388/IQDrF7mqLrahQoA27YjFwudrAaveozxiLuDYvYypS1shgqw?e=dXsGZE" TargetMode="External"/><Relationship Id="rId7" Type="http://schemas.openxmlformats.org/officeDocument/2006/relationships/hyperlink" Target="https://kitakushorinji.sakura.ne.jp/joukyuu/-3hangetukaeshisukuinage.mp4" TargetMode="External"/><Relationship Id="rId162" Type="http://schemas.openxmlformats.org/officeDocument/2006/relationships/hyperlink" Target="https://1drv.ms/b/c/a8f0902f6b5ae388/IQAlQPGHVs6HQrUNVe7cLeL6ARQHXHFGLBRMwOv-HTR8mqU?e=xy44V2" TargetMode="External"/><Relationship Id="rId183" Type="http://schemas.openxmlformats.org/officeDocument/2006/relationships/hyperlink" Target="https://1drv.ms/b/c/a8f0902f6b5ae388/IQDrJQpl75RvQrtn28A_tg1vAYS-O5jFU0xJbdjVPdgH-wY?e=7zTBHS" TargetMode="External"/><Relationship Id="rId218" Type="http://schemas.openxmlformats.org/officeDocument/2006/relationships/hyperlink" Target="https://1drv.ms/b/c/a8f0902f6b5ae388/IQDk6i2jAKrzRIoVYomJJZ3NAYaGTyuRQB9JMJ5z-XI_0og?e=KPkgrq" TargetMode="External"/><Relationship Id="rId239" Type="http://schemas.openxmlformats.org/officeDocument/2006/relationships/hyperlink" Target="https://1drv.ms/b/c/a8f0902f6b5ae388/IQDm7AGABlj3Rq_YRNuPPNcoAaizC_gkqWoKi8ze-kmTcsU?e=jp0Wqh" TargetMode="External"/><Relationship Id="rId250" Type="http://schemas.openxmlformats.org/officeDocument/2006/relationships/hyperlink" Target="https://1drv.ms/b/c/a8f0902f6b5ae388/IQCrIZSIIFcCRaYSwb3QROwPAep0X2z6vfH5s1lm8Nw0QMk?e=5gGvdW" TargetMode="External"/><Relationship Id="rId271" Type="http://schemas.openxmlformats.org/officeDocument/2006/relationships/hyperlink" Target="https://1drv.ms/b/c/a8f0902f6b5ae388/IQBSn8gFN_NbSZt9oChYFk_EARpPDMPaI49YFpn3j8w4f0Q?e=J5A6BC" TargetMode="External"/><Relationship Id="rId292" Type="http://schemas.openxmlformats.org/officeDocument/2006/relationships/hyperlink" Target="https://1drv.ms/b/c/a8f0902f6b5ae388/IQAuPDz1NfwbR64EadSPl5jCAUKpqFsXaReX1Pi1Ag3Ckss?e=4Jr212" TargetMode="External"/><Relationship Id="rId24" Type="http://schemas.openxmlformats.org/officeDocument/2006/relationships/hyperlink" Target="https://kitakushorinji.sakura.ne.jp/joukyuu/-2sokutoukerihizauke.mp4" TargetMode="External"/><Relationship Id="rId45" Type="http://schemas.openxmlformats.org/officeDocument/2006/relationships/hyperlink" Target="https://kitakushorinji.sakura.ne.jp/joukyuu/-3okuriyubigaeshi.mp4" TargetMode="External"/><Relationship Id="rId66" Type="http://schemas.openxmlformats.org/officeDocument/2006/relationships/hyperlink" Target="https://youtu.be/gO795vfN_pQ?t=244" TargetMode="External"/><Relationship Id="rId87" Type="http://schemas.openxmlformats.org/officeDocument/2006/relationships/hyperlink" Target="https://kitakushorinji.sakura.ne.jp/joukyuu/-3gasshouhikitenbin.mp4" TargetMode="External"/><Relationship Id="rId110" Type="http://schemas.openxmlformats.org/officeDocument/2006/relationships/hyperlink" Target="https://youtu.be/83a9huRjdvk?t=1085" TargetMode="External"/><Relationship Id="rId131" Type="http://schemas.openxmlformats.org/officeDocument/2006/relationships/hyperlink" Target="https://1drv.ms/b/c/a8f0902f6b5ae388/IQB5VMhCWHpGTp2ZrRoF4RjkAe_5rGO2J4lHkPz7UJuR-Ro?e=gxe7Kw" TargetMode="External"/><Relationship Id="rId152" Type="http://schemas.openxmlformats.org/officeDocument/2006/relationships/hyperlink" Target="https://1drv.ms/b/c/a8f0902f6b5ae388/IQBxZQtB0wjNRozSCWBvZgsXAXea6oJtQ1zP2Y2VS4JuP8c?e=KhwTRN" TargetMode="External"/><Relationship Id="rId173" Type="http://schemas.openxmlformats.org/officeDocument/2006/relationships/hyperlink" Target="https://1drv.ms/b/c/a8f0902f6b5ae388/IQBmpsInEaLTTY9-uoH8oBZfAfehxLzCtpf6DDIUoqvR1xE?e=MG9xcK" TargetMode="External"/><Relationship Id="rId194" Type="http://schemas.openxmlformats.org/officeDocument/2006/relationships/hyperlink" Target="https://1drv.ms/b/c/a8f0902f6b5ae388/IQBlPkTqZuc8RJpVpa-IeRVPAXwsniFAOOTcH9y5svfpl-k?e=hykeQS" TargetMode="External"/><Relationship Id="rId208" Type="http://schemas.openxmlformats.org/officeDocument/2006/relationships/hyperlink" Target="https://1drv.ms/b/c/a8f0902f6b5ae388/IQDCimVxtuBBTrn2NqPqoQLlAeP49ZWG1dhh28R4iIxwpZk?e=UsU2oW" TargetMode="External"/><Relationship Id="rId229" Type="http://schemas.openxmlformats.org/officeDocument/2006/relationships/hyperlink" Target="https://1drv.ms/b/c/a8f0902f6b5ae388/IQDde1dB9Lm7TpwSW5nFXuirAfHVbfY2sc-hHWv-a3Z06KM?e=n1hCf3" TargetMode="External"/><Relationship Id="rId240" Type="http://schemas.openxmlformats.org/officeDocument/2006/relationships/hyperlink" Target="https://1drv.ms/b/c/a8f0902f6b5ae388/IQDm7AGABlj3Rq_YRNuPPNcoAaizC_gkqWoKi8ze-kmTcsU?e=jp0Wqh" TargetMode="External"/><Relationship Id="rId261" Type="http://schemas.openxmlformats.org/officeDocument/2006/relationships/hyperlink" Target="https://1drv.ms/b/c/a8f0902f6b5ae388/IQDUja24671oQpmVEcrqQMhUAQ4fFrO8xp1Q3kby59f_H0A?e=7cvqrY" TargetMode="External"/><Relationship Id="rId14" Type="http://schemas.openxmlformats.org/officeDocument/2006/relationships/hyperlink" Target="https://kitakushorinji.sakura.ne.jp/joukyuu/-2gyakukeritisan.mp4" TargetMode="External"/><Relationship Id="rId35" Type="http://schemas.openxmlformats.org/officeDocument/2006/relationships/hyperlink" Target="https://kitakushorinji.sakura.ne.jp/joukyuu/-2gyakutenage.mp4" TargetMode="External"/><Relationship Id="rId56" Type="http://schemas.openxmlformats.org/officeDocument/2006/relationships/hyperlink" Target="https://kitakushorinji.sakura.ne.jp/joukyuu/-2kirikaeshimakitenbin.mp4" TargetMode="External"/><Relationship Id="rId77" Type="http://schemas.openxmlformats.org/officeDocument/2006/relationships/hyperlink" Target="https://kitakushorinji.sakura.ne.jp/joukyuu/-3okurikatatenage.mp4" TargetMode="External"/><Relationship Id="rId100" Type="http://schemas.openxmlformats.org/officeDocument/2006/relationships/hyperlink" Target="https://kitakushorinji.sakura.ne.jp/joukyuu/-2kumogarami.mp4" TargetMode="External"/><Relationship Id="rId282" Type="http://schemas.openxmlformats.org/officeDocument/2006/relationships/hyperlink" Target="https://1drv.ms/b/c/a8f0902f6b5ae388/IQDderDuMfABTK8mPGcdGwO0ATOXl4MXxBmOQM_iMwOnBtk?e=3BoBSl" TargetMode="External"/><Relationship Id="rId8" Type="http://schemas.openxmlformats.org/officeDocument/2006/relationships/hyperlink" Target="https://kitakushorinji.sakura.ne.jp/joukyuu/-3suigetugaeshi.mp4" TargetMode="External"/><Relationship Id="rId98" Type="http://schemas.openxmlformats.org/officeDocument/2006/relationships/hyperlink" Target="https://kitakushorinji.sakura.ne.jp/joukyuu/4sankakugatame.jpeg" TargetMode="External"/><Relationship Id="rId121" Type="http://schemas.openxmlformats.org/officeDocument/2006/relationships/hyperlink" Target="https://kitakushorinji.sakura.ne.jp/joukyuu/-4kubijimeshuhou.m4v" TargetMode="External"/><Relationship Id="rId142" Type="http://schemas.openxmlformats.org/officeDocument/2006/relationships/hyperlink" Target="https://1drv.ms/b/c/a8f0902f6b5ae388/IQDrF7mqLrahQoA27YjFwudrAaveozxiLuDYvYypS1shgqw?e=dXsGZE" TargetMode="External"/><Relationship Id="rId163" Type="http://schemas.openxmlformats.org/officeDocument/2006/relationships/hyperlink" Target="https://1drv.ms/b/c/a8f0902f6b5ae388/IQDmUdXfzjnBRZtXzvWtPFMSAYZDmhu8A51Vk3CLUfDMqDk?e=xlGl0L" TargetMode="External"/><Relationship Id="rId184" Type="http://schemas.openxmlformats.org/officeDocument/2006/relationships/hyperlink" Target="https://1drv.ms/b/c/a8f0902f6b5ae388/IQDrJQpl75RvQrtn28A_tg1vAYS-O5jFU0xJbdjVPdgH-wY?e=7zTBHS" TargetMode="External"/><Relationship Id="rId219" Type="http://schemas.openxmlformats.org/officeDocument/2006/relationships/hyperlink" Target="https://1drv.ms/b/c/a8f0902f6b5ae388/IQC--d01tQ-KTJBYFh7QJ03hAbnX2t6obNG0HKKFq6JayHQ?e=mqCMmh" TargetMode="External"/><Relationship Id="rId230" Type="http://schemas.openxmlformats.org/officeDocument/2006/relationships/hyperlink" Target="https://1drv.ms/b/c/a8f0902f6b5ae388/IQDde1dB9Lm7TpwSW5nFXuirAfHVbfY2sc-hHWv-a3Z06KM?e=n1hCf3" TargetMode="External"/><Relationship Id="rId251" Type="http://schemas.openxmlformats.org/officeDocument/2006/relationships/hyperlink" Target="https://1drv.ms/b/c/a8f0902f6b5ae388/IQCrIZSIIFcCRaYSwb3QROwPAep0X2z6vfH5s1lm8Nw0QMk?e=5gGvdW" TargetMode="External"/><Relationship Id="rId25" Type="http://schemas.openxmlformats.org/officeDocument/2006/relationships/hyperlink" Target="https://kitakushorinji.sakura.ne.jp/joukyuu/-2mawashikerisanbouuke.mp4" TargetMode="External"/><Relationship Id="rId46" Type="http://schemas.openxmlformats.org/officeDocument/2006/relationships/hyperlink" Target="https://kitakushorinji.sakura.ne.jp/joukyuu/-3okuritukitaoshi.mp4" TargetMode="External"/><Relationship Id="rId67" Type="http://schemas.openxmlformats.org/officeDocument/2006/relationships/hyperlink" Target="https://youtu.be/gO795vfN_pQ?t=509" TargetMode="External"/><Relationship Id="rId272" Type="http://schemas.openxmlformats.org/officeDocument/2006/relationships/hyperlink" Target="https://1drv.ms/b/c/a8f0902f6b5ae388/IQBSn8gFN_NbSZt9oChYFk_EARpPDMPaI49YFpn3j8w4f0Q?e=J5A6BC" TargetMode="External"/><Relationship Id="rId293" Type="http://schemas.openxmlformats.org/officeDocument/2006/relationships/hyperlink" Target="https://1drv.ms/b/c/a8f0902f6b5ae388/IQAuPDz1NfwbR64EadSPl5jCAUKpqFsXaReX1Pi1Ag3Ckss?e=4Jr212" TargetMode="External"/><Relationship Id="rId88" Type="http://schemas.openxmlformats.org/officeDocument/2006/relationships/hyperlink" Target="https://youtu.be/VW7-Qjfegok?t=838" TargetMode="External"/><Relationship Id="rId111" Type="http://schemas.openxmlformats.org/officeDocument/2006/relationships/hyperlink" Target="https://kitakushorinji.sakura.ne.jp/joukyuu/-2hikimuneotoshi.mp4" TargetMode="External"/><Relationship Id="rId132" Type="http://schemas.openxmlformats.org/officeDocument/2006/relationships/hyperlink" Target="https://1drv.ms/b/c/a8f0902f6b5ae388/IQB5VMhCWHpGTp2ZrRoF4RjkAe_5rGO2J4lHkPz7UJuR-Ro?e=c7PksG" TargetMode="External"/><Relationship Id="rId153" Type="http://schemas.openxmlformats.org/officeDocument/2006/relationships/hyperlink" Target="https://1drv.ms/b/c/a8f0902f6b5ae388/IQAv9spTGTE-QpiLiY5Ik42tAXnkJIV2TET5z0wR4t9VnSQ?e=Fo9x7x" TargetMode="External"/><Relationship Id="rId174" Type="http://schemas.openxmlformats.org/officeDocument/2006/relationships/hyperlink" Target="https://1drv.ms/b/c/a8f0902f6b5ae388/IQBmpsInEaLTTY9-uoH8oBZfAfehxLzCtpf6DDIUoqvR1xE?e=MG9xcK" TargetMode="External"/><Relationship Id="rId195" Type="http://schemas.openxmlformats.org/officeDocument/2006/relationships/hyperlink" Target="https://1drv.ms/b/c/a8f0902f6b5ae388/IQBlPkTqZuc8RJpVpa-IeRVPAXwsniFAOOTcH9y5svfpl-k?e=hykeQS" TargetMode="External"/><Relationship Id="rId209" Type="http://schemas.openxmlformats.org/officeDocument/2006/relationships/hyperlink" Target="https://1drv.ms/b/c/a8f0902f6b5ae388/IQA4goP1LZ9ARaSfQ5MVIaNqAQWfG8TyzlWnNVLQVOxf43g?e=UYcvMM" TargetMode="External"/><Relationship Id="rId220" Type="http://schemas.openxmlformats.org/officeDocument/2006/relationships/hyperlink" Target="https://1drv.ms/b/c/a8f0902f6b5ae388/IQC--d01tQ-KTJBYFh7QJ03hAbnX2t6obNG0HKKFq6JayHQ?e=mqCMmh" TargetMode="External"/><Relationship Id="rId241" Type="http://schemas.openxmlformats.org/officeDocument/2006/relationships/hyperlink" Target="https://1drv.ms/b/c/a8f0902f6b5ae388/IQDeSDV4bSWEQ6n91g_449XhAfBXPCSlvB-guhhsBtVlH2g?e=rehFvN" TargetMode="External"/><Relationship Id="rId15" Type="http://schemas.openxmlformats.org/officeDocument/2006/relationships/hyperlink" Target="https://kitakushorinji.sakura.ne.jp/joukyuu/-2kaishintukiomote.mp4" TargetMode="External"/><Relationship Id="rId36" Type="http://schemas.openxmlformats.org/officeDocument/2006/relationships/hyperlink" Target="https://kitakushorinji.sakura.ne.jp/joukyuu/-2shitaukekerikotenage.mp4" TargetMode="External"/><Relationship Id="rId57" Type="http://schemas.openxmlformats.org/officeDocument/2006/relationships/hyperlink" Target="https://kitakushorinji.sakura.ne.jp/joukyuu/-2kirikaeshitenbin.mp4" TargetMode="External"/><Relationship Id="rId262" Type="http://schemas.openxmlformats.org/officeDocument/2006/relationships/hyperlink" Target="https://1drv.ms/b/c/a8f0902f6b5ae388/IQDUja24671oQpmVEcrqQMhUAQ4fFrO8xp1Q3kby59f_H0A?e=7cvqrY" TargetMode="External"/><Relationship Id="rId283" Type="http://schemas.openxmlformats.org/officeDocument/2006/relationships/hyperlink" Target="https://1drv.ms/b/c/a8f0902f6b5ae388/IQDderDuMfABTK8mPGcdGwO0ATOXl4MXxBmOQM_iMwOnBtk?e=3BoBSl" TargetMode="External"/><Relationship Id="rId78" Type="http://schemas.openxmlformats.org/officeDocument/2006/relationships/hyperlink" Target="https://kitakushorinji.sakura.ne.jp/joukyuu/-3gyakukatatenage.mp4" TargetMode="External"/><Relationship Id="rId99" Type="http://schemas.openxmlformats.org/officeDocument/2006/relationships/hyperlink" Target="https://kitakushorinji.sakura.ne.jp/joukyuu/-2turiageuragatame.mp4" TargetMode="External"/><Relationship Id="rId101" Type="http://schemas.openxmlformats.org/officeDocument/2006/relationships/hyperlink" Target="https://kitakushorinji.sakura.ne.jp/tyuukyuu/-2uragasshou.mp4" TargetMode="External"/><Relationship Id="rId122" Type="http://schemas.openxmlformats.org/officeDocument/2006/relationships/hyperlink" Target="https://kitakushorinji.sakura.ne.jp/joukyuu/-4omotenage.m4v" TargetMode="External"/><Relationship Id="rId143" Type="http://schemas.openxmlformats.org/officeDocument/2006/relationships/hyperlink" Target="https://1drv.ms/b/c/a8f0902f6b5ae388/IQDrF7mqLrahQoA27YjFwudrAaveozxiLuDYvYypS1shgqw?e=dXsGZE" TargetMode="External"/><Relationship Id="rId164" Type="http://schemas.openxmlformats.org/officeDocument/2006/relationships/hyperlink" Target="https://1drv.ms/b/c/a8f0902f6b5ae388/IQDmUdXfzjnBRZtXzvWtPFMSAYZDmhu8A51Vk3CLUfDMqDk?e=xlGl0L" TargetMode="External"/><Relationship Id="rId185" Type="http://schemas.openxmlformats.org/officeDocument/2006/relationships/hyperlink" Target="https://1drv.ms/b/c/a8f0902f6b5ae388/IQCrG59sIiyRR5mViQZ9qz1KAYEOYoy1-eUDz6vve1IeoBM?e=3uQ1hd" TargetMode="External"/><Relationship Id="rId9" Type="http://schemas.openxmlformats.org/officeDocument/2006/relationships/hyperlink" Target="https://kitakushorinji.sakura.ne.jp/joukyuu/-3mikadukikaeshi.mp4" TargetMode="External"/><Relationship Id="rId210" Type="http://schemas.openxmlformats.org/officeDocument/2006/relationships/hyperlink" Target="https://1drv.ms/b/c/a8f0902f6b5ae388/IQA4goP1LZ9ARaSfQ5MVIaNqAQWfG8TyzlWnNVLQVOxf43g?e=UYcvMM" TargetMode="External"/><Relationship Id="rId26" Type="http://schemas.openxmlformats.org/officeDocument/2006/relationships/hyperlink" Target="https://kitakushorinji.sakura.ne.jp/joukyuu/-2dankerisanbouuke.mp4" TargetMode="External"/><Relationship Id="rId231" Type="http://schemas.openxmlformats.org/officeDocument/2006/relationships/hyperlink" Target="https://1drv.ms/b/c/a8f0902f6b5ae388/IQDLWIxtgMQiSomYtX1cavYuAUOL36gSmWjxNgkiftdRQBg?e=gGcT7B" TargetMode="External"/><Relationship Id="rId252" Type="http://schemas.openxmlformats.org/officeDocument/2006/relationships/hyperlink" Target="https://1drv.ms/b/c/a8f0902f6b5ae388/IQCrIZSIIFcCRaYSwb3QROwPAep0X2z6vfH5s1lm8Nw0QMk?e=5gGvdW" TargetMode="External"/><Relationship Id="rId273" Type="http://schemas.openxmlformats.org/officeDocument/2006/relationships/hyperlink" Target="https://1drv.ms/b/c/a8f0902f6b5ae388/IQCdfXjxbZm0SZta_h4yK3f1AUp33zuArX6a5l2OfhoZfVw?e=Qu0JmR" TargetMode="External"/><Relationship Id="rId294" Type="http://schemas.openxmlformats.org/officeDocument/2006/relationships/hyperlink" Target="https://1drv.ms/b/c/a8f0902f6b5ae388/IQAuPDz1NfwbR64EadSPl5jCAUKpqFsXaReX1Pi1Ag3Ckss?e=4Jr212" TargetMode="External"/><Relationship Id="rId47" Type="http://schemas.openxmlformats.org/officeDocument/2006/relationships/hyperlink" Target="https://kitakushorinji.sakura.ne.jp/joukyuu/-3okurishishidori.mp4" TargetMode="External"/><Relationship Id="rId68" Type="http://schemas.openxmlformats.org/officeDocument/2006/relationships/hyperlink" Target="https://youtu.be/gO795vfN_pQ?t=1064" TargetMode="External"/><Relationship Id="rId89" Type="http://schemas.openxmlformats.org/officeDocument/2006/relationships/hyperlink" Target="https://kitakushorinji.sakura.ne.jp/joukyuu/-2okuritenbindori.mp4" TargetMode="External"/><Relationship Id="rId112" Type="http://schemas.openxmlformats.org/officeDocument/2006/relationships/hyperlink" Target="https://kitakushorinji.sakura.ne.jp/joukyuu/-2ryoumunaotoshi.mp4" TargetMode="External"/><Relationship Id="rId133" Type="http://schemas.openxmlformats.org/officeDocument/2006/relationships/hyperlink" Target="https://1drv.ms/b/c/a8f0902f6b5ae388/IQB5VMhCWHpGTp2ZrRoF4RjkAe_5rGO2J4lHkPz7UJuR-Ro?e=c7PksG" TargetMode="External"/><Relationship Id="rId154" Type="http://schemas.openxmlformats.org/officeDocument/2006/relationships/hyperlink" Target="https://1drv.ms/b/c/a8f0902f6b5ae388/IQAv9spTGTE-QpiLiY5Ik42tAXnkJIV2TET5z0wR4t9VnSQ?e=Fo9x7x" TargetMode="External"/><Relationship Id="rId175" Type="http://schemas.openxmlformats.org/officeDocument/2006/relationships/hyperlink" Target="https://1drv.ms/b/c/a8f0902f6b5ae388/IQBeIcbAKv6VT7m_VgLxjQfAAe4Hpe9J27oIOgAz1VHYZVI?e=cYaN2n" TargetMode="External"/><Relationship Id="rId196" Type="http://schemas.openxmlformats.org/officeDocument/2006/relationships/hyperlink" Target="https://1drv.ms/b/c/a8f0902f6b5ae388/IQAUdLowiMrtTYFkRz1bda6-AS4Ou7s1HtEa9GoAgDPW20Y?e=vZRG9u" TargetMode="External"/><Relationship Id="rId200" Type="http://schemas.openxmlformats.org/officeDocument/2006/relationships/hyperlink" Target="https://1drv.ms/b/c/a8f0902f6b5ae388/IQDJwiU8EXngSZLeVRwFI1nnAdGXlsL-Xccljt2eWfIY0dQ?e=EleLym" TargetMode="External"/><Relationship Id="rId16" Type="http://schemas.openxmlformats.org/officeDocument/2006/relationships/hyperlink" Target="https://kitakushorinji.sakura.ne.jp/joukyuu/-2kaishintukiura.mp4" TargetMode="External"/><Relationship Id="rId221" Type="http://schemas.openxmlformats.org/officeDocument/2006/relationships/hyperlink" Target="https://1drv.ms/b/c/a8f0902f6b5ae388/IQC--d01tQ-KTJBYFh7QJ03hAbnX2t6obNG0HKKFq6JayHQ?e=mqCMmh" TargetMode="External"/><Relationship Id="rId242" Type="http://schemas.openxmlformats.org/officeDocument/2006/relationships/hyperlink" Target="https://1drv.ms/b/c/a8f0902f6b5ae388/IQDeSDV4bSWEQ6n91g_449XhAfBXPCSlvB-guhhsBtVlH2g?e=rehFvN" TargetMode="External"/><Relationship Id="rId263" Type="http://schemas.openxmlformats.org/officeDocument/2006/relationships/hyperlink" Target="https://1drv.ms/b/c/a8f0902f6b5ae388/IQDUja24671oQpmVEcrqQMhUAQ4fFrO8xp1Q3kby59f_H0A?e=7cvqrY" TargetMode="External"/><Relationship Id="rId284" Type="http://schemas.openxmlformats.org/officeDocument/2006/relationships/hyperlink" Target="https://1drv.ms/b/c/a8f0902f6b5ae388/IQDderDuMfABTK8mPGcdGwO0ATOXl4MXxBmOQM_iMwOnBtk?e=3BoBSl" TargetMode="External"/><Relationship Id="rId37" Type="http://schemas.openxmlformats.org/officeDocument/2006/relationships/hyperlink" Target="https://kitakushorinji.sakura.ne.jp/joukyuu/-2ryuunage.mp4" TargetMode="External"/><Relationship Id="rId58" Type="http://schemas.openxmlformats.org/officeDocument/2006/relationships/hyperlink" Target="https://kitakushorinji.sakura.ne.jp/joukyuu/-3furisuteomotenage.mp4" TargetMode="External"/><Relationship Id="rId79" Type="http://schemas.openxmlformats.org/officeDocument/2006/relationships/hyperlink" Target="https://kitakushorinji.sakura.ne.jp/joukyuu/-3ryoutekatatenage.mp4" TargetMode="External"/><Relationship Id="rId102" Type="http://schemas.openxmlformats.org/officeDocument/2006/relationships/hyperlink" Target="https://kitakushorinji.sakura.ne.jp/joukyuu/-2urahijigatame.mp4" TargetMode="External"/><Relationship Id="rId123" Type="http://schemas.openxmlformats.org/officeDocument/2006/relationships/hyperlink" Target="https://kitakushorinji.sakura.ne.jp/joukyuu/-4uranage.m4v" TargetMode="External"/><Relationship Id="rId144" Type="http://schemas.openxmlformats.org/officeDocument/2006/relationships/hyperlink" Target="https://1drv.ms/b/c/a8f0902f6b5ae388/IQDrF7mqLrahQoA27YjFwudrAaveozxiLuDYvYypS1shgqw?e=dXsGZE" TargetMode="External"/><Relationship Id="rId90" Type="http://schemas.openxmlformats.org/officeDocument/2006/relationships/hyperlink" Target="https://kitakushorinji.sakura.ne.jp/joukyuu/-2okuritenbindoriokurikote.mp4" TargetMode="External"/><Relationship Id="rId165" Type="http://schemas.openxmlformats.org/officeDocument/2006/relationships/hyperlink" Target="https://1drv.ms/b/c/a8f0902f6b5ae388/IQBmeLAqha30RIjTQbrEAsEtAatm8qvQk-lPz-a_rCiod0k?e=qQTdJk" TargetMode="External"/><Relationship Id="rId186" Type="http://schemas.openxmlformats.org/officeDocument/2006/relationships/hyperlink" Target="https://1drv.ms/b/c/a8f0902f6b5ae388/IQCrG59sIiyRR5mViQZ9qz1KAYEOYoy1-eUDz6vve1IeoBM?e=3uQ1hd" TargetMode="External"/><Relationship Id="rId211" Type="http://schemas.openxmlformats.org/officeDocument/2006/relationships/hyperlink" Target="https://1drv.ms/b/c/a8f0902f6b5ae388/IQDk6i2jAKrzRIoVYomJJZ3NAYaGTyuRQB9JMJ5z-XI_0og?e=KPkgrq" TargetMode="External"/><Relationship Id="rId232" Type="http://schemas.openxmlformats.org/officeDocument/2006/relationships/hyperlink" Target="https://1drv.ms/b/c/a8f0902f6b5ae388/IQDLWIxtgMQiSomYtX1cavYuAUOL36gSmWjxNgkiftdRQBg?e=gGcT7B" TargetMode="External"/><Relationship Id="rId253" Type="http://schemas.openxmlformats.org/officeDocument/2006/relationships/hyperlink" Target="https://1drv.ms/b/c/a8f0902f6b5ae388/IQCrIZSIIFcCRaYSwb3QROwPAep0X2z6vfH5s1lm8Nw0QMk?e=5gGvdW" TargetMode="External"/><Relationship Id="rId274" Type="http://schemas.openxmlformats.org/officeDocument/2006/relationships/hyperlink" Target="https://1drv.ms/b/c/a8f0902f6b5ae388/IQCdfXjxbZm0SZta_h4yK3f1AUp33zuArX6a5l2OfhoZfVw?e=Qu0JmR" TargetMode="External"/><Relationship Id="rId295" Type="http://schemas.openxmlformats.org/officeDocument/2006/relationships/hyperlink" Target="https://1drv.ms/b/c/a8f0902f6b5ae388/IQAuPDz1NfwbR64EadSPl5jCAUKpqFsXaReX1Pi1Ag3Ckss?e=4Jr212" TargetMode="External"/><Relationship Id="rId27" Type="http://schemas.openxmlformats.org/officeDocument/2006/relationships/hyperlink" Target="https://youtu.be/ZOhqdBiSO9I?t=110" TargetMode="External"/><Relationship Id="rId48" Type="http://schemas.openxmlformats.org/officeDocument/2006/relationships/hyperlink" Target="https://kitakushorinji.sakura.ne.jp/joukyuu/-4gyakugasshounage.m4v" TargetMode="External"/><Relationship Id="rId69" Type="http://schemas.openxmlformats.org/officeDocument/2006/relationships/hyperlink" Target="https://kitakushorinji.sakura.ne.jp/joukyuu/-4gasshoutyouji.m4v" TargetMode="External"/><Relationship Id="rId113" Type="http://schemas.openxmlformats.org/officeDocument/2006/relationships/hyperlink" Target="https://kitakushorinji.sakura.ne.jp/joukyuu/-2makiotoshi.mp4" TargetMode="External"/><Relationship Id="rId134" Type="http://schemas.openxmlformats.org/officeDocument/2006/relationships/hyperlink" Target="https://1drv.ms/b/c/a8f0902f6b5ae388/IQB-O4_Db34GTJZJ_TZ9UE1JAbTW8NgI6loTy4t5cciug6g?e=yhUqbZ" TargetMode="External"/><Relationship Id="rId80" Type="http://schemas.openxmlformats.org/officeDocument/2006/relationships/hyperlink" Target="https://kitakushorinji.sakura.ne.jp/joukyuu/-3morotekatatenage.mp4" TargetMode="External"/><Relationship Id="rId155" Type="http://schemas.openxmlformats.org/officeDocument/2006/relationships/hyperlink" Target="https://1drv.ms/b/c/a8f0902f6b5ae388/IQD3Fx_jdbT6TaYgSu1H2jpnAd6nPowys4WiYV99yWcb65g?e=bVt9MS" TargetMode="External"/><Relationship Id="rId176" Type="http://schemas.openxmlformats.org/officeDocument/2006/relationships/hyperlink" Target="https://1drv.ms/b/c/a8f0902f6b5ae388/IQBeIcbAKv6VT7m_VgLxjQfAAe4Hpe9J27oIOgAz1VHYZVI?e=cYaN2n" TargetMode="External"/><Relationship Id="rId197" Type="http://schemas.openxmlformats.org/officeDocument/2006/relationships/hyperlink" Target="https://1drv.ms/b/c/a8f0902f6b5ae388/IQD7mPaFOrdRT5THNIteXShWAW4Gr0lG1noMQ34e1Ufff6Q?e=y67xxY" TargetMode="External"/><Relationship Id="rId201" Type="http://schemas.openxmlformats.org/officeDocument/2006/relationships/hyperlink" Target="https://1drv.ms/b/c/a8f0902f6b5ae388/IQDJwiU8EXngSZLeVRwFI1nnAdGXlsL-Xccljt2eWfIY0dQ?e=EleLym" TargetMode="External"/><Relationship Id="rId222" Type="http://schemas.openxmlformats.org/officeDocument/2006/relationships/hyperlink" Target="https://1drv.ms/b/c/a8f0902f6b5ae388/IQBrYvsfhyODR7EpKcgzOjBuAdF5mnWq5OLOMj-UI6vVWZM?e=eALOCN" TargetMode="External"/><Relationship Id="rId243" Type="http://schemas.openxmlformats.org/officeDocument/2006/relationships/hyperlink" Target="https://1drv.ms/b/c/a8f0902f6b5ae388/IQAOBCGfhXQfTrc3HuTI9qEvAVd6ApxMjvQi3qFBkPqjWZ0?e=hqjBgV" TargetMode="External"/><Relationship Id="rId264" Type="http://schemas.openxmlformats.org/officeDocument/2006/relationships/hyperlink" Target="https://1drv.ms/b/c/a8f0902f6b5ae388/IQAvYEsKZrs-S5ihvtoMDzptARaWrh0sX9O1KZInraiVfLQ?e=CP3rR7" TargetMode="External"/><Relationship Id="rId285" Type="http://schemas.openxmlformats.org/officeDocument/2006/relationships/hyperlink" Target="https://1drv.ms/b/c/a8f0902f6b5ae388/IQDderDuMfABTK8mPGcdGwO0ATOXl4MXxBmOQM_iMwOnBtk?e=3BoBSl" TargetMode="External"/><Relationship Id="rId17" Type="http://schemas.openxmlformats.org/officeDocument/2006/relationships/hyperlink" Target="https://kitakushorinji.sakura.ne.jp/joukyuu/-3shitauketuki.mp4" TargetMode="External"/><Relationship Id="rId38" Type="http://schemas.openxmlformats.org/officeDocument/2006/relationships/hyperlink" Target="https://kitakushorinji.sakura.ne.jp/joukyuu/-2sotomakitenbin.mp4" TargetMode="External"/><Relationship Id="rId59" Type="http://schemas.openxmlformats.org/officeDocument/2006/relationships/hyperlink" Target="https://kitakushorinji.sakura.ne.jp/joukyuu/-3koshikujiki.mp4" TargetMode="External"/><Relationship Id="rId103" Type="http://schemas.openxmlformats.org/officeDocument/2006/relationships/hyperlink" Target="https://kitakushorinji.sakura.ne.jp/joukyuu/-2ryuugatame.mp4" TargetMode="External"/><Relationship Id="rId124" Type="http://schemas.openxmlformats.org/officeDocument/2006/relationships/hyperlink" Target="https://youtu.be/x5hFL_p7YiI?t=272" TargetMode="External"/><Relationship Id="rId70" Type="http://schemas.openxmlformats.org/officeDocument/2006/relationships/hyperlink" Target="https://kitakushorinji.sakura.ne.jp/joukyuu/-4gasshoutukiotoshi.m4v" TargetMode="External"/><Relationship Id="rId91" Type="http://schemas.openxmlformats.org/officeDocument/2006/relationships/hyperlink" Target="https://kitakushorinji.sakura.ne.jp/joukyuu/-4kannukiokuri.m4v" TargetMode="External"/><Relationship Id="rId145" Type="http://schemas.openxmlformats.org/officeDocument/2006/relationships/hyperlink" Target="https://1drv.ms/b/c/a8f0902f6b5ae388/IQDrF7mqLrahQoA27YjFwudrAaveozxiLuDYvYypS1shgqw?e=dXsGZE" TargetMode="External"/><Relationship Id="rId166" Type="http://schemas.openxmlformats.org/officeDocument/2006/relationships/hyperlink" Target="https://1drv.ms/b/c/a8f0902f6b5ae388/IQBmeLAqha30RIjTQbrEAsEtAatm8qvQk-lPz-a_rCiod0k?e=qQTdJk" TargetMode="External"/><Relationship Id="rId187" Type="http://schemas.openxmlformats.org/officeDocument/2006/relationships/hyperlink" Target="https://1drv.ms/b/c/a8f0902f6b5ae388/IQCrG59sIiyRR5mViQZ9qz1KAYEOYoy1-eUDz6vve1IeoBM?e=3uQ1hd" TargetMode="External"/><Relationship Id="rId1" Type="http://schemas.openxmlformats.org/officeDocument/2006/relationships/hyperlink" Target="https://kitakushorinji.sakura.ne.jp/joukyuu/-3tyuudankaeshi.mp4" TargetMode="External"/><Relationship Id="rId212" Type="http://schemas.openxmlformats.org/officeDocument/2006/relationships/hyperlink" Target="https://1drv.ms/b/c/a8f0902f6b5ae388/IQDk6i2jAKrzRIoVYomJJZ3NAYaGTyuRQB9JMJ5z-XI_0og?e=KPkgrq" TargetMode="External"/><Relationship Id="rId233" Type="http://schemas.openxmlformats.org/officeDocument/2006/relationships/hyperlink" Target="https://1drv.ms/b/c/a8f0902f6b5ae388/IQDLWIxtgMQiSomYtX1cavYuAUOL36gSmWjxNgkiftdRQBg?e=gGcT7B" TargetMode="External"/><Relationship Id="rId254" Type="http://schemas.openxmlformats.org/officeDocument/2006/relationships/hyperlink" Target="https://1drv.ms/b/c/a8f0902f6b5ae388/IQAGwcs_G-Y5T7rm1vNk5Cs5AePCaisHScIaAEXlEKT4Exk?e=xyuLJG" TargetMode="External"/><Relationship Id="rId28" Type="http://schemas.openxmlformats.org/officeDocument/2006/relationships/hyperlink" Target="https://youtu.be/ZOhqdBiSO9I?t=189" TargetMode="External"/><Relationship Id="rId49" Type="http://schemas.openxmlformats.org/officeDocument/2006/relationships/hyperlink" Target="https://kitakushorinji.sakura.ne.jp/joukyuu/-4okurigasshou.m4v" TargetMode="External"/><Relationship Id="rId114" Type="http://schemas.openxmlformats.org/officeDocument/2006/relationships/hyperlink" Target="https://kitakushorinji.sakura.ne.jp/joukyuu/-2sotomakiotoshi.mp4" TargetMode="External"/><Relationship Id="rId275" Type="http://schemas.openxmlformats.org/officeDocument/2006/relationships/hyperlink" Target="https://1drv.ms/b/c/a8f0902f6b5ae388/IQCdfXjxbZm0SZta_h4yK3f1AUp33zuArX6a5l2OfhoZfVw?e=Qu0JmR" TargetMode="External"/><Relationship Id="rId296" Type="http://schemas.openxmlformats.org/officeDocument/2006/relationships/hyperlink" Target="https://1drv.ms/b/c/a8f0902f6b5ae388/IQC985puHVBCQ5a8kI8vfjlfAd3WluDDQ-C5eR0g6Fpda9U?e=iWrLr9" TargetMode="External"/><Relationship Id="rId300" Type="http://schemas.openxmlformats.org/officeDocument/2006/relationships/hyperlink" Target="https://1drv.ms/b/c/a8f0902f6b5ae388/IQDINnmT1a6nQIE7rh6IQ-pHAQSCoSy5Iv19GGvNuGX4Bbg?e=0an2mC" TargetMode="External"/><Relationship Id="rId60" Type="http://schemas.openxmlformats.org/officeDocument/2006/relationships/hyperlink" Target="https://kitakushorinji.sakura.ne.jp/joukyuu/-3kirikaeshigote.mp4" TargetMode="External"/><Relationship Id="rId81" Type="http://schemas.openxmlformats.org/officeDocument/2006/relationships/hyperlink" Target="https://kitakushorinji.sakura.ne.jp/joukyuu/-4oshiukenage.m4v" TargetMode="External"/><Relationship Id="rId135" Type="http://schemas.openxmlformats.org/officeDocument/2006/relationships/hyperlink" Target="https://1drv.ms/b/c/a8f0902f6b5ae388/IQB-O4_Db34GTJZJ_TZ9UE1JAbTW8NgI6loTy4t5cciug6g?e=yhUqbZ" TargetMode="External"/><Relationship Id="rId156" Type="http://schemas.openxmlformats.org/officeDocument/2006/relationships/hyperlink" Target="https://1drv.ms/b/c/a8f0902f6b5ae388/IQD3Fx_jdbT6TaYgSu1H2jpnAd6nPowys4WiYV99yWcb65g?e=bVt9MS" TargetMode="External"/><Relationship Id="rId177" Type="http://schemas.openxmlformats.org/officeDocument/2006/relationships/hyperlink" Target="https://1drv.ms/b/c/a8f0902f6b5ae388/IQBeIcbAKv6VT7m_VgLxjQfAAe4Hpe9J27oIOgAz1VHYZVI?e=cYaN2n" TargetMode="External"/><Relationship Id="rId198" Type="http://schemas.openxmlformats.org/officeDocument/2006/relationships/hyperlink" Target="https://1drv.ms/b/c/a8f0902f6b5ae388/IQD7mPaFOrdRT5THNIteXShWAW4Gr0lG1noMQ34e1Ufff6Q?e=y67xxY" TargetMode="External"/><Relationship Id="rId202" Type="http://schemas.openxmlformats.org/officeDocument/2006/relationships/hyperlink" Target="https://1drv.ms/b/c/a8f0902f6b5ae388/IQDJwiU8EXngSZLeVRwFI1nnAdGXlsL-Xccljt2eWfIY0dQ?e=EleLym" TargetMode="External"/><Relationship Id="rId223" Type="http://schemas.openxmlformats.org/officeDocument/2006/relationships/hyperlink" Target="https://1drv.ms/b/c/a8f0902f6b5ae388/IQBrYvsfhyODR7EpKcgzOjBuAdF5mnWq5OLOMj-UI6vVWZM?e=eALOCN" TargetMode="External"/><Relationship Id="rId244" Type="http://schemas.openxmlformats.org/officeDocument/2006/relationships/hyperlink" Target="https://1drv.ms/b/c/a8f0902f6b5ae388/IQAOBCGfhXQfTrc3HuTI9qEvAVd6ApxMjvQi3qFBkPqjWZ0?e=hqjBgV" TargetMode="External"/><Relationship Id="rId18" Type="http://schemas.openxmlformats.org/officeDocument/2006/relationships/hyperlink" Target="https://kitakushorinji.sakura.ne.jp/joukyuu/-3shitaukedantuki.mp4" TargetMode="External"/><Relationship Id="rId39" Type="http://schemas.openxmlformats.org/officeDocument/2006/relationships/hyperlink" Target="https://kitakushorinji.sakura.ne.jp/joukyuu/-2moroteokurikotebakuhou.mp4" TargetMode="External"/><Relationship Id="rId265" Type="http://schemas.openxmlformats.org/officeDocument/2006/relationships/hyperlink" Target="https://1drv.ms/b/c/a8f0902f6b5ae388/IQAvYEsKZrs-S5ihvtoMDzptARaWrh0sX9O1KZInraiVfLQ?e=CP3rR7" TargetMode="External"/><Relationship Id="rId286" Type="http://schemas.openxmlformats.org/officeDocument/2006/relationships/hyperlink" Target="https://1drv.ms/b/c/a8f0902f6b5ae388/IQDderDuMfABTK8mPGcdGwO0ATOXl4MXxBmOQM_iMwOnBtk?e=3BoBSl" TargetMode="External"/><Relationship Id="rId50" Type="http://schemas.openxmlformats.org/officeDocument/2006/relationships/hyperlink" Target="https://kitakushorinji.sakura.ne.jp/joukyuu/-4kumadegaeshi.m4v" TargetMode="External"/><Relationship Id="rId104" Type="http://schemas.openxmlformats.org/officeDocument/2006/relationships/hyperlink" Target="https://kitakushorinji.sakura.ne.jp/joukyuu/-3gasshouokuridori.mp4" TargetMode="External"/><Relationship Id="rId125" Type="http://schemas.openxmlformats.org/officeDocument/2006/relationships/hyperlink" Target="https://youtu.be/x5hFL_p7YiI?t=452" TargetMode="External"/><Relationship Id="rId146" Type="http://schemas.openxmlformats.org/officeDocument/2006/relationships/hyperlink" Target="https://1drv.ms/f/c/a8f0902f6b5ae388/IgBC3lTTas4gTalrzuVG9ZG7Ab7hbjvnYrR6D6WqSdIQ5HM?e=BtOh7G" TargetMode="External"/><Relationship Id="rId167" Type="http://schemas.openxmlformats.org/officeDocument/2006/relationships/hyperlink" Target="https://1drv.ms/b/c/a8f0902f6b5ae388/IQBmeLAqha30RIjTQbrEAsEtAatm8qvQk-lPz-a_rCiod0k?e=qQTdJk" TargetMode="External"/><Relationship Id="rId188" Type="http://schemas.openxmlformats.org/officeDocument/2006/relationships/hyperlink" Target="https://1drv.ms/b/c/a8f0902f6b5ae388/IQCrG59sIiyRR5mViQZ9qz1KAYEOYoy1-eUDz6vve1IeoBM?e=3uQ1hd" TargetMode="External"/><Relationship Id="rId71" Type="http://schemas.openxmlformats.org/officeDocument/2006/relationships/hyperlink" Target="https://kitakushorinji.sakura.ne.jp/joukyuu/-3idoriokurigote.mp4" TargetMode="External"/><Relationship Id="rId92" Type="http://schemas.openxmlformats.org/officeDocument/2006/relationships/hyperlink" Target="https://kitakushorinji.sakura.ne.jp/joukyuu/-3osaeyubi.mp4" TargetMode="External"/><Relationship Id="rId213" Type="http://schemas.openxmlformats.org/officeDocument/2006/relationships/hyperlink" Target="https://1drv.ms/b/c/a8f0902f6b5ae388/IQDk6i2jAKrzRIoVYomJJZ3NAYaGTyuRQB9JMJ5z-XI_0og?e=KPkgrq" TargetMode="External"/><Relationship Id="rId234" Type="http://schemas.openxmlformats.org/officeDocument/2006/relationships/hyperlink" Target="https://1drv.ms/b/c/a8f0902f6b5ae388/IQDLWIxtgMQiSomYtX1cavYuAUOL36gSmWjxNgkiftdRQBg?e=gGcT7B" TargetMode="External"/><Relationship Id="rId2" Type="http://schemas.openxmlformats.org/officeDocument/2006/relationships/hyperlink" Target="https://youtu.be/wkycRfMQ-9s?t=295" TargetMode="External"/><Relationship Id="rId29" Type="http://schemas.openxmlformats.org/officeDocument/2006/relationships/hyperlink" Target="https://kitakushorinji.sakura.ne.jp/joukyuu/-2utinukikatate.mp4" TargetMode="External"/><Relationship Id="rId255" Type="http://schemas.openxmlformats.org/officeDocument/2006/relationships/hyperlink" Target="https://1drv.ms/b/c/a8f0902f6b5ae388/IQDgbMqRb3l-QZ1ly2T7Xz6CAWLh8Cjt6Vw7nogaHz_hE4E?e=Mpzvjn" TargetMode="External"/><Relationship Id="rId276" Type="http://schemas.openxmlformats.org/officeDocument/2006/relationships/hyperlink" Target="https://1drv.ms/b/c/a8f0902f6b5ae388/IQAx_h7THmPRRqUVhOLwr11uAedttrpoXIC0ZcRZUyX8QOs?e=F4Kdhx" TargetMode="External"/><Relationship Id="rId297" Type="http://schemas.openxmlformats.org/officeDocument/2006/relationships/hyperlink" Target="https://1drv.ms/b/c/a8f0902f6b5ae388/IQC985puHVBCQ5a8kI8vfjlfAd3WluDDQ-C5eR0g6Fpda9U?e=iWrLr9" TargetMode="External"/><Relationship Id="rId40" Type="http://schemas.openxmlformats.org/officeDocument/2006/relationships/hyperlink" Target="https://kitakushorinji.sakura.ne.jp/joukyuu/-2turiotoshi.mp4" TargetMode="External"/><Relationship Id="rId115" Type="http://schemas.openxmlformats.org/officeDocument/2006/relationships/hyperlink" Target="https://youtu.be/83a9huRjdvk?t=392" TargetMode="External"/><Relationship Id="rId136" Type="http://schemas.openxmlformats.org/officeDocument/2006/relationships/hyperlink" Target="https://1drv.ms/b/c/a8f0902f6b5ae388/IQB-O4_Db34GTJZJ_TZ9UE1JAbTW8NgI6loTy4t5cciug6g?e=yhUqbZ" TargetMode="External"/><Relationship Id="rId157" Type="http://schemas.openxmlformats.org/officeDocument/2006/relationships/hyperlink" Target="https://1drv.ms/b/c/a8f0902f6b5ae388/IQCPPFW4Wm6cQ7Re38nF-N2JAaoges7gjp6gKheraPX3AMw?e=HHkT0p" TargetMode="External"/><Relationship Id="rId178" Type="http://schemas.openxmlformats.org/officeDocument/2006/relationships/hyperlink" Target="https://1drv.ms/b/c/a8f0902f6b5ae388/IQBeIcbAKv6VT7m_VgLxjQfAAe4Hpe9J27oIOgAz1VHYZVI?e=cYaN2n" TargetMode="External"/><Relationship Id="rId301" Type="http://schemas.openxmlformats.org/officeDocument/2006/relationships/hyperlink" Target="https://kitakushorinji.sakura.ne.jp/joukyuu/-4gasshougyakugote.m4v" TargetMode="External"/><Relationship Id="rId61" Type="http://schemas.openxmlformats.org/officeDocument/2006/relationships/hyperlink" Target="https://kitakushorinji.sakura.ne.jp/joukyuu/-3kirikaeshinage.mp4" TargetMode="External"/><Relationship Id="rId82" Type="http://schemas.openxmlformats.org/officeDocument/2006/relationships/hyperlink" Target="https://kitakushorinji.sakura.ne.jp/joukyuu/-4oshiukemakinage.m4v" TargetMode="External"/><Relationship Id="rId199" Type="http://schemas.openxmlformats.org/officeDocument/2006/relationships/hyperlink" Target="https://1drv.ms/b/c/a8f0902f6b5ae388/IQDJwiU8EXngSZLeVRwFI1nnAdGXlsL-Xccljt2eWfIY0dQ?e=EleLym" TargetMode="External"/><Relationship Id="rId203" Type="http://schemas.openxmlformats.org/officeDocument/2006/relationships/hyperlink" Target="https://1drv.ms/b/c/a8f0902f6b5ae388/IQDJwiU8EXngSZLeVRwFI1nnAdGXlsL-Xccljt2eWfIY0dQ?e=EleLym" TargetMode="External"/><Relationship Id="rId19" Type="http://schemas.openxmlformats.org/officeDocument/2006/relationships/hyperlink" Target="https://kitakushorinji.sakura.ne.jp/joukyuu/-3sotoukedantuki.mp4" TargetMode="External"/><Relationship Id="rId224" Type="http://schemas.openxmlformats.org/officeDocument/2006/relationships/hyperlink" Target="https://1drv.ms/b/c/a8f0902f6b5ae388/IQBrYvsfhyODR7EpKcgzOjBuAdF5mnWq5OLOMj-UI6vVWZM?e=eALOCN" TargetMode="External"/><Relationship Id="rId245" Type="http://schemas.openxmlformats.org/officeDocument/2006/relationships/hyperlink" Target="https://1drv.ms/b/c/a8f0902f6b5ae388/IQAOBCGfhXQfTrc3HuTI9qEvAVd6ApxMjvQi3qFBkPqjWZ0?e=hqjBgV" TargetMode="External"/><Relationship Id="rId266" Type="http://schemas.openxmlformats.org/officeDocument/2006/relationships/hyperlink" Target="https://1drv.ms/b/c/a8f0902f6b5ae388/IQAvYEsKZrs-S5ihvtoMDzptARaWrh0sX9O1KZInraiVfLQ?e=CP3rR7" TargetMode="External"/><Relationship Id="rId287" Type="http://schemas.openxmlformats.org/officeDocument/2006/relationships/hyperlink" Target="https://1drv.ms/b/c/a8f0902f6b5ae388/IQDderDuMfABTK8mPGcdGwO0ATOXl4MXxBmOQM_iMwOnBtk?e=3BoBSl" TargetMode="External"/><Relationship Id="rId30" Type="http://schemas.openxmlformats.org/officeDocument/2006/relationships/hyperlink" Target="https://kitakushorinji.sakura.ne.jp/joukyuu/-2utinukiryoute.mp4" TargetMode="External"/><Relationship Id="rId105" Type="http://schemas.openxmlformats.org/officeDocument/2006/relationships/hyperlink" Target="https://kitakushorinji.sakura.ne.jp/joukyuu/-3gyakutegatame.mp4" TargetMode="External"/><Relationship Id="rId126" Type="http://schemas.openxmlformats.org/officeDocument/2006/relationships/hyperlink" Target="https://youtu.be/x5hFL_p7YiI?t=1351" TargetMode="External"/><Relationship Id="rId147" Type="http://schemas.openxmlformats.org/officeDocument/2006/relationships/hyperlink" Target="https://1drv.ms/b/c/a8f0902f6b5ae388/IQBmGjEjSFKdQp0hZMrteBPmAeXT7JqGwFU6s7XtSLAhWjk?e=pikCTV" TargetMode="External"/><Relationship Id="rId168" Type="http://schemas.openxmlformats.org/officeDocument/2006/relationships/hyperlink" Target="https://1drv.ms/b/c/a8f0902f6b5ae388/IQBmeLAqha30RIjTQbrEAsEtAatm8qvQk-lPz-a_rCiod0k?e=qQTdJk" TargetMode="External"/><Relationship Id="rId51" Type="http://schemas.openxmlformats.org/officeDocument/2006/relationships/hyperlink" Target="https://kitakushorinji.sakura.ne.jp/joukyuu/-4kumadegaeshi.m4v" TargetMode="External"/><Relationship Id="rId72" Type="http://schemas.openxmlformats.org/officeDocument/2006/relationships/hyperlink" Target="https://kitakushorinji.sakura.ne.jp/joukyuu/-3idorigyakugote.mp4" TargetMode="External"/><Relationship Id="rId93" Type="http://schemas.openxmlformats.org/officeDocument/2006/relationships/hyperlink" Target="https://kitakushorinji.sakura.ne.jp/joukyuu/-4maeudegatame.jpeg" TargetMode="External"/><Relationship Id="rId189" Type="http://schemas.openxmlformats.org/officeDocument/2006/relationships/hyperlink" Target="https://1drv.ms/b/c/a8f0902f6b5ae388/IQCrG59sIiyRR5mViQZ9qz1KAYEOYoy1-eUDz6vve1IeoBM?e=3uQ1hd" TargetMode="External"/><Relationship Id="rId3" Type="http://schemas.openxmlformats.org/officeDocument/2006/relationships/hyperlink" Target="https://kitakushorinji.sakura.ne.jp/joukyuu/-2gyakutenshinkeri.mp4" TargetMode="External"/><Relationship Id="rId214" Type="http://schemas.openxmlformats.org/officeDocument/2006/relationships/hyperlink" Target="https://1drv.ms/b/c/a8f0902f6b5ae388/IQDk6i2jAKrzRIoVYomJJZ3NAYaGTyuRQB9JMJ5z-XI_0og?e=KPkgrq" TargetMode="External"/><Relationship Id="rId235" Type="http://schemas.openxmlformats.org/officeDocument/2006/relationships/hyperlink" Target="https://1drv.ms/b/c/a8f0902f6b5ae388/IQDLWIxtgMQiSomYtX1cavYuAUOL36gSmWjxNgkiftdRQBg?e=gGcT7B" TargetMode="External"/><Relationship Id="rId256" Type="http://schemas.openxmlformats.org/officeDocument/2006/relationships/hyperlink" Target="https://1drv.ms/b/c/a8f0902f6b5ae388/IQCZ4YUDCFyUSb9aJpfei0RJAZXVRljCgxeboY9-4rWQxQY?e=l38w2s" TargetMode="External"/><Relationship Id="rId277" Type="http://schemas.openxmlformats.org/officeDocument/2006/relationships/hyperlink" Target="https://1drv.ms/b/c/a8f0902f6b5ae388/IQAx_h7THmPRRqUVhOLwr11uAedttrpoXIC0ZcRZUyX8QOs?e=F4Kdhx" TargetMode="External"/><Relationship Id="rId298" Type="http://schemas.openxmlformats.org/officeDocument/2006/relationships/hyperlink" Target="https://1drv.ms/b/c/a8f0902f6b5ae388/IQC985puHVBCQ5a8kI8vfjlfAd3WluDDQ-C5eR0g6Fpda9U?e=iWrLr9" TargetMode="External"/><Relationship Id="rId116" Type="http://schemas.openxmlformats.org/officeDocument/2006/relationships/hyperlink" Target="https://kitakushorinji.sakura.ne.jp/joukyuu/-4ushiroeridoriomote.m4v" TargetMode="External"/><Relationship Id="rId137" Type="http://schemas.openxmlformats.org/officeDocument/2006/relationships/hyperlink" Target="https://1drv.ms/b/c/a8f0902f6b5ae388/IQASq74qUrQDQJCOEBQqsgg_AabmYrP6fkoVyrcHT_fpp18?e=yuaw41" TargetMode="External"/><Relationship Id="rId158" Type="http://schemas.openxmlformats.org/officeDocument/2006/relationships/hyperlink" Target="https://1drv.ms/b/c/a8f0902f6b5ae388/IQCPPFW4Wm6cQ7Re38nF-N2JAaoges7gjp6gKheraPX3AMw?e=G0AM8A" TargetMode="External"/><Relationship Id="rId302" Type="http://schemas.openxmlformats.org/officeDocument/2006/relationships/hyperlink" Target="https://kitakushorinji.sakura.ne.jp/joukyuu/-2morotegyakukotekumogarami.mp4" TargetMode="External"/><Relationship Id="rId20" Type="http://schemas.openxmlformats.org/officeDocument/2006/relationships/hyperlink" Target="https://kitakushorinji.sakura.ne.jp/joukyuu/-3tantoutukikomi.mp4" TargetMode="External"/><Relationship Id="rId41" Type="http://schemas.openxmlformats.org/officeDocument/2006/relationships/hyperlink" Target="https://kitakushorinji.sakura.ne.jp/joukyuu/-2okurihijizeme.mp4" TargetMode="External"/><Relationship Id="rId62" Type="http://schemas.openxmlformats.org/officeDocument/2006/relationships/hyperlink" Target="https://kitakushorinji.sakura.ne.jp/joukyuu/-3morotekirikaeshinage.mp4" TargetMode="External"/><Relationship Id="rId83" Type="http://schemas.openxmlformats.org/officeDocument/2006/relationships/hyperlink" Target="https://kitakushorinji.sakura.ne.jp/joukyuu/-4gasshoukatatenage.mp4" TargetMode="External"/><Relationship Id="rId179" Type="http://schemas.openxmlformats.org/officeDocument/2006/relationships/hyperlink" Target="https://1drv.ms/b/c/a8f0902f6b5ae388/IQBeIcbAKv6VT7m_VgLxjQfAAe4Hpe9J27oIOgAz1VHYZVI?e=cYaN2n" TargetMode="External"/><Relationship Id="rId190" Type="http://schemas.openxmlformats.org/officeDocument/2006/relationships/hyperlink" Target="https://1drv.ms/b/c/a8f0902f6b5ae388/IQBlPkTqZuc8RJpVpa-IeRVPAXwsniFAOOTcH9y5svfpl-k?e=hykeQS" TargetMode="External"/><Relationship Id="rId204" Type="http://schemas.openxmlformats.org/officeDocument/2006/relationships/hyperlink" Target="https://1drv.ms/b/c/a8f0902f6b5ae388/IQDJwiU8EXngSZLeVRwFI1nnAdGXlsL-Xccljt2eWfIY0dQ?e=EleLym" TargetMode="External"/><Relationship Id="rId225" Type="http://schemas.openxmlformats.org/officeDocument/2006/relationships/hyperlink" Target="https://1drv.ms/b/c/a8f0902f6b5ae388/IQB78FZq8e42T60KxZhblWzQATNV_tauTrZTdJHGnsR_D0I?e=xAWbT1" TargetMode="External"/><Relationship Id="rId246" Type="http://schemas.openxmlformats.org/officeDocument/2006/relationships/hyperlink" Target="https://1drv.ms/b/c/a8f0902f6b5ae388/IQBRAsSBV_-eS5gtp5xw_NxzASq9vDjXFWBLhTMWyA92hyA?e=X4MLBY" TargetMode="External"/><Relationship Id="rId267" Type="http://schemas.openxmlformats.org/officeDocument/2006/relationships/hyperlink" Target="https://1drv.ms/b/c/a8f0902f6b5ae388/IQAvYEsKZrs-S5ihvtoMDzptARaWrh0sX9O1KZInraiVfLQ?e=CP3rR7" TargetMode="External"/><Relationship Id="rId288" Type="http://schemas.openxmlformats.org/officeDocument/2006/relationships/hyperlink" Target="https://1drv.ms/b/c/a8f0902f6b5ae388/IQCW6fdWtajpR50M2pcV8BMJAVW7OhsABfwWNHxlHmU4-JE?e=hlQG2k" TargetMode="External"/><Relationship Id="rId106" Type="http://schemas.openxmlformats.org/officeDocument/2006/relationships/hyperlink" Target="https://kitakushorinji.sakura.ne.jp/joukyuu/-3sodegutidori.mp4" TargetMode="External"/><Relationship Id="rId127" Type="http://schemas.openxmlformats.org/officeDocument/2006/relationships/hyperlink" Target="https://youtu.be/VW7-Qjfegok?t=603" TargetMode="External"/><Relationship Id="rId10" Type="http://schemas.openxmlformats.org/officeDocument/2006/relationships/hyperlink" Target="https://kitakushorinji.sakura.ne.jp/joukyuu/-2junkeritiiti.mp4" TargetMode="External"/><Relationship Id="rId31" Type="http://schemas.openxmlformats.org/officeDocument/2006/relationships/hyperlink" Target="https://youtu.be/ZOhqdBiSO9I?t=269" TargetMode="External"/><Relationship Id="rId52" Type="http://schemas.openxmlformats.org/officeDocument/2006/relationships/hyperlink" Target="https://youtu.be/83a9huRjdvk?t=270" TargetMode="External"/><Relationship Id="rId73" Type="http://schemas.openxmlformats.org/officeDocument/2006/relationships/hyperlink" Target="https://kitakushorinji.sakura.ne.jp/joukyuu/-3idorioshigote.mp4" TargetMode="External"/><Relationship Id="rId94" Type="http://schemas.openxmlformats.org/officeDocument/2006/relationships/hyperlink" Target="https://kitakushorinji.sakura.ne.jp/joukyuu/-2tatiitiji.mp4" TargetMode="External"/><Relationship Id="rId148" Type="http://schemas.openxmlformats.org/officeDocument/2006/relationships/hyperlink" Target="https://1drv.ms/b/c/a8f0902f6b5ae388/IQBmGjEjSFKdQp0hZMrteBPmAeXT7JqGwFU6s7XtSLAhWjk?e=D9oEaP" TargetMode="External"/><Relationship Id="rId169" Type="http://schemas.openxmlformats.org/officeDocument/2006/relationships/hyperlink" Target="https://1drv.ms/b/c/a8f0902f6b5ae388/IQBmeLAqha30RIjTQbrEAsEtAatm8qvQk-lPz-a_rCiod0k?e=qQTdJk" TargetMode="External"/><Relationship Id="rId4" Type="http://schemas.openxmlformats.org/officeDocument/2006/relationships/hyperlink" Target="https://kitakushorinji.sakura.ne.jp/joukyuu/-2taiten1.mp4" TargetMode="External"/><Relationship Id="rId180" Type="http://schemas.openxmlformats.org/officeDocument/2006/relationships/hyperlink" Target="https://1drv.ms/b/c/a8f0902f6b5ae388/IQDrJQpl75RvQrtn28A_tg1vAYS-O5jFU0xJbdjVPdgH-wY?e=7zTBHS" TargetMode="External"/><Relationship Id="rId215" Type="http://schemas.openxmlformats.org/officeDocument/2006/relationships/hyperlink" Target="https://1drv.ms/b/c/a8f0902f6b5ae388/IQDk6i2jAKrzRIoVYomJJZ3NAYaGTyuRQB9JMJ5z-XI_0og?e=KPkgrq" TargetMode="External"/><Relationship Id="rId236" Type="http://schemas.openxmlformats.org/officeDocument/2006/relationships/hyperlink" Target="https://1drv.ms/b/c/a8f0902f6b5ae388/IQDLWIxtgMQiSomYtX1cavYuAUOL36gSmWjxNgkiftdRQBg?e=gGcT7B" TargetMode="External"/><Relationship Id="rId257" Type="http://schemas.openxmlformats.org/officeDocument/2006/relationships/hyperlink" Target="https://1drv.ms/b/c/a8f0902f6b5ae388/IQCZ4YUDCFyUSb9aJpfei0RJAZXVRljCgxeboY9-4rWQxQY?e=l38w2s" TargetMode="External"/><Relationship Id="rId278" Type="http://schemas.openxmlformats.org/officeDocument/2006/relationships/hyperlink" Target="https://1drv.ms/b/c/a8f0902f6b5ae388/IQAx_h7THmPRRqUVhOLwr11uAedttrpoXIC0ZcRZUyX8QOs?e=F4Kdhx" TargetMode="External"/><Relationship Id="rId303" Type="http://schemas.openxmlformats.org/officeDocument/2006/relationships/hyperlink" Target="https://youtu.be/uqgHcIkLW9g?t=184" TargetMode="External"/><Relationship Id="rId42" Type="http://schemas.openxmlformats.org/officeDocument/2006/relationships/hyperlink" Target="https://kitakushorinji.sakura.ne.jp/joukyuu/-3nigirigaeshi.mp4" TargetMode="External"/><Relationship Id="rId84" Type="http://schemas.openxmlformats.org/officeDocument/2006/relationships/hyperlink" Target="https://kitakushorinji.sakura.ne.jp/joukyuu/-4kannukigaitenbin.m4v" TargetMode="External"/><Relationship Id="rId138" Type="http://schemas.openxmlformats.org/officeDocument/2006/relationships/hyperlink" Target="https://1drv.ms/b/c/a8f0902f6b5ae388/IQASq74qUrQDQJCOEBQqsgg_AabmYrP6fkoVyrcHT_fpp18?e=yuaw41" TargetMode="External"/><Relationship Id="rId191" Type="http://schemas.openxmlformats.org/officeDocument/2006/relationships/hyperlink" Target="https://1drv.ms/b/c/a8f0902f6b5ae388/IQBlPkTqZuc8RJpVpa-IeRVPAXwsniFAOOTcH9y5svfpl-k?e=hykeQS" TargetMode="External"/><Relationship Id="rId205" Type="http://schemas.openxmlformats.org/officeDocument/2006/relationships/hyperlink" Target="https://1drv.ms/b/c/a8f0902f6b5ae388/IQDCimVxtuBBTrn2NqPqoQLlAeP49ZWG1dhh28R4iIxwpZk?e=UsU2oW" TargetMode="External"/><Relationship Id="rId247" Type="http://schemas.openxmlformats.org/officeDocument/2006/relationships/hyperlink" Target="https://1drv.ms/b/c/a8f0902f6b5ae388/IQBRAsSBV_-eS5gtp5xw_NxzASq9vDjXFWBLhTMWyA92hyA?e=X4MLBY" TargetMode="External"/><Relationship Id="rId107" Type="http://schemas.openxmlformats.org/officeDocument/2006/relationships/hyperlink" Target="https://kitakushorinji.sakura.ne.jp/joukyuu/-3sodegutimaki.mp4" TargetMode="External"/><Relationship Id="rId289" Type="http://schemas.openxmlformats.org/officeDocument/2006/relationships/hyperlink" Target="https://1drv.ms/b/c/a8f0902f6b5ae388/IQCW6fdWtajpR50M2pcV8BMJAVW7OhsABfwWNHxlHmU4-JE?e=hlQG2k" TargetMode="External"/><Relationship Id="rId11" Type="http://schemas.openxmlformats.org/officeDocument/2006/relationships/hyperlink" Target="https://kitakushorinji.sakura.ne.jp/joukyuu/-2gyakukeritiiti.mp4" TargetMode="External"/><Relationship Id="rId53" Type="http://schemas.openxmlformats.org/officeDocument/2006/relationships/hyperlink" Target="https://youtu.be/gO795vfN_pQ?t=769" TargetMode="External"/><Relationship Id="rId149" Type="http://schemas.openxmlformats.org/officeDocument/2006/relationships/hyperlink" Target="https://1drv.ms/b/c/a8f0902f6b5ae388/IQBxZQtB0wjNRozSCWBvZgsXAXea6oJtQ1zP2Y2VS4JuP8c?e=KhwTRN" TargetMode="External"/><Relationship Id="rId95" Type="http://schemas.openxmlformats.org/officeDocument/2006/relationships/hyperlink" Target="https://kitakushorinji.sakura.ne.jp/joukyuu/-2sekoshiitiji.mp4" TargetMode="External"/><Relationship Id="rId160" Type="http://schemas.openxmlformats.org/officeDocument/2006/relationships/hyperlink" Target="https://1drv.ms/b/c/a8f0902f6b5ae388/IQAlQPGHVs6HQrUNVe7cLeL6ARQHXHFGLBRMwOv-HTR8mqU?e=xy44V2" TargetMode="External"/><Relationship Id="rId216" Type="http://schemas.openxmlformats.org/officeDocument/2006/relationships/hyperlink" Target="https://1drv.ms/b/c/a8f0902f6b5ae388/IQDk6i2jAKrzRIoVYomJJZ3NAYaGTyuRQB9JMJ5z-XI_0og?e=KPkgrq" TargetMode="External"/><Relationship Id="rId258" Type="http://schemas.openxmlformats.org/officeDocument/2006/relationships/hyperlink" Target="https://1drv.ms/b/c/a8f0902f6b5ae388/IQCZ4YUDCFyUSb9aJpfei0RJAZXVRljCgxeboY9-4rWQxQY?e=l38w2s" TargetMode="External"/><Relationship Id="rId22" Type="http://schemas.openxmlformats.org/officeDocument/2006/relationships/hyperlink" Target="https://youtu.be/wkycRfMQ-9s?t=620" TargetMode="External"/><Relationship Id="rId64" Type="http://schemas.openxmlformats.org/officeDocument/2006/relationships/hyperlink" Target="https://kitakushorinji.sakura.ne.jp/joukyuu/-4katatenagekirikaeshi.m4v" TargetMode="External"/><Relationship Id="rId118" Type="http://schemas.openxmlformats.org/officeDocument/2006/relationships/hyperlink" Target="https://kitakushorinji.sakura.ne.jp/joukyuu/-3sukuikubinage.mp4" TargetMode="External"/><Relationship Id="rId171" Type="http://schemas.openxmlformats.org/officeDocument/2006/relationships/hyperlink" Target="https://1drv.ms/b/c/a8f0902f6b5ae388/IQDQzsgVBUlDRLjlWbMDya-8AVFCZCSZNKpsDexrlbA357A?e=RDhLpU" TargetMode="External"/><Relationship Id="rId227" Type="http://schemas.openxmlformats.org/officeDocument/2006/relationships/hyperlink" Target="https://1drv.ms/b/c/a8f0902f6b5ae388/IQB78FZq8e42T60KxZhblWzQATNV_tauTrZTdJHGnsR_D0I?e=xAWbT1" TargetMode="External"/><Relationship Id="rId269" Type="http://schemas.openxmlformats.org/officeDocument/2006/relationships/hyperlink" Target="https://1drv.ms/b/c/a8f0902f6b5ae388/IQBSn8gFN_NbSZt9oChYFk_EARpPDMPaI49YFpn3j8w4f0Q?e=J5A6BC" TargetMode="External"/><Relationship Id="rId33" Type="http://schemas.openxmlformats.org/officeDocument/2006/relationships/hyperlink" Target="https://youtu.be/gYaO9D-3w5g?t=24" TargetMode="External"/><Relationship Id="rId129" Type="http://schemas.openxmlformats.org/officeDocument/2006/relationships/hyperlink" Target="https://kitakushorinji.sakura.ne.jp/joukyuu/-3katautinage.jpeg" TargetMode="External"/><Relationship Id="rId280" Type="http://schemas.openxmlformats.org/officeDocument/2006/relationships/hyperlink" Target="https://1drv.ms/b/c/a8f0902f6b5ae388/IQAvDF4_YH49S6Xc7C1aydneAdI8_4oWS6N0e7-YF3gcDj8?e=WQA0O1" TargetMode="External"/><Relationship Id="rId75" Type="http://schemas.openxmlformats.org/officeDocument/2006/relationships/hyperlink" Target="https://kitakushorinji.sakura.ne.jp/joukyuu/-2uwaukegyakute.mp4" TargetMode="External"/><Relationship Id="rId140" Type="http://schemas.openxmlformats.org/officeDocument/2006/relationships/hyperlink" Target="https://1drv.ms/b/c/a8f0902f6b5ae388/IQDrF7mqLrahQoA27YjFwudrAaveozxiLuDYvYypS1shgqw?e=dXsGZE" TargetMode="External"/><Relationship Id="rId182" Type="http://schemas.openxmlformats.org/officeDocument/2006/relationships/hyperlink" Target="https://1drv.ms/b/c/a8f0902f6b5ae388/IQDrJQpl75RvQrtn28A_tg1vAYS-O5jFU0xJbdjVPdgH-wY?e=7zTBH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1drv.ms/b/c/a8f0902f6b5ae388/IQA8F9wN7sxZSZEA6yr82-KTAWZYV1nadvpl44sav5c91Fk?e=jl98uo" TargetMode="External"/><Relationship Id="rId3" Type="http://schemas.openxmlformats.org/officeDocument/2006/relationships/hyperlink" Target="https://1drv.ms/b/c/a8f0902f6b5ae388/IQBVd0963hStRZx7fkyK5QgpAf83zc1IFDsAYNXWG-pAGXc?e=sj49ZH" TargetMode="External"/><Relationship Id="rId7" Type="http://schemas.openxmlformats.org/officeDocument/2006/relationships/hyperlink" Target="https://1drv.ms/b/c/a8f0902f6b5ae388/IQDh2kQOLVaySpDD6W9gSxcvAYKCpHiaNlBcx9phg1r4w6c?e=7w5W1f" TargetMode="External"/><Relationship Id="rId2" Type="http://schemas.openxmlformats.org/officeDocument/2006/relationships/hyperlink" Target="https://1drv.ms/b/c/a8f0902f6b5ae388/IQB9ECc2H48iR5_81f-jyy0FAWnRvznopS6e2tCb9O11tCk?e=jbbbVe" TargetMode="External"/><Relationship Id="rId1" Type="http://schemas.openxmlformats.org/officeDocument/2006/relationships/hyperlink" Target="https://1drv.ms/b/c/a8f0902f6b5ae388/IQCuab_klDeMRZZsTUub9BVCAdQkNiJq4idtCimxBdJVOwU?e=boLSKl" TargetMode="External"/><Relationship Id="rId6" Type="http://schemas.openxmlformats.org/officeDocument/2006/relationships/hyperlink" Target="https://1drv.ms/b/c/a8f0902f6b5ae388/IQCVjqrv9NVeS5NpbZQ1w46IAW4sgnWZfEVDV-wbNR0dtgo?e=iQaquE" TargetMode="External"/><Relationship Id="rId5" Type="http://schemas.openxmlformats.org/officeDocument/2006/relationships/hyperlink" Target="https://1drv.ms/b/c/a8f0902f6b5ae388/IQDfNHaCIZ4rS40ykFjVb1ZiAX0w2mUqkPjmercmocFXu94?e=uKDVb9" TargetMode="External"/><Relationship Id="rId10" Type="http://schemas.openxmlformats.org/officeDocument/2006/relationships/printerSettings" Target="../printerSettings/printerSettings2.bin"/><Relationship Id="rId4" Type="http://schemas.openxmlformats.org/officeDocument/2006/relationships/hyperlink" Target="https://1drv.ms/b/c/a8f0902f6b5ae388/IQCHwI4tyaTXQ5apKP-G5ufYAfOCz5PuKdBRKolh5QogL70?e=qF0H2d" TargetMode="External"/><Relationship Id="rId9" Type="http://schemas.openxmlformats.org/officeDocument/2006/relationships/hyperlink" Target="https://1drv.ms/b/c/a8f0902f6b5ae388/IQBIwxGX-ri5QY2ARoxaanhiAVycPpB3U201YNa_7o8ys90?e=G6i4Iz"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3" Type="http://schemas.openxmlformats.org/officeDocument/2006/relationships/hyperlink" Target="https://youtu.be/FVSgBo3fth0?t=1470" TargetMode="External"/><Relationship Id="rId18" Type="http://schemas.openxmlformats.org/officeDocument/2006/relationships/hyperlink" Target="https://1drv.ms/b/c/a8f0902f6b5ae388/IQAoZaan3izxTLp1z6a5IfKCAXpdNt5erkYURfdLuxcTBqQ?e=0bGVKq" TargetMode="External"/><Relationship Id="rId26" Type="http://schemas.openxmlformats.org/officeDocument/2006/relationships/hyperlink" Target="https://1drv.ms/b/c/a8f0902f6b5ae388/IQAcTj0H3N2mSKfibUFdAd4iAebB_vd9p__mi3BQp-UJeMk?e=xTvrRV" TargetMode="External"/><Relationship Id="rId39" Type="http://schemas.openxmlformats.org/officeDocument/2006/relationships/hyperlink" Target="https://1drv.ms/b/c/a8f0902f6b5ae388/IQB5VMhCWHpGTp2ZrRoF4RjkAe_5rGO2J4lHkPz7UJuR-Ro?e=3M7sSx" TargetMode="External"/><Relationship Id="rId21" Type="http://schemas.openxmlformats.org/officeDocument/2006/relationships/hyperlink" Target="https://1drv.ms/b/c/a8f0902f6b5ae388/IQAcTj0H3N2mSKfibUFdAd4iAebB_vd9p__mi3BQp-UJeMk?e=xTvrRV" TargetMode="External"/><Relationship Id="rId34" Type="http://schemas.openxmlformats.org/officeDocument/2006/relationships/hyperlink" Target="https://1drv.ms/b/c/a8f0902f6b5ae388/IQAfww5_u3A6TIF65QQ6J3LQAUcJR8MB1SZih1j5lJtL7aw?e=QaGbe7" TargetMode="External"/><Relationship Id="rId42" Type="http://schemas.openxmlformats.org/officeDocument/2006/relationships/hyperlink" Target="https://1drv.ms/b/c/a8f0902f6b5ae388/IQB5VMhCWHpGTp2ZrRoF4RjkAe_5rGO2J4lHkPz7UJuR-Ro?e=3M7sSx" TargetMode="External"/><Relationship Id="rId47" Type="http://schemas.openxmlformats.org/officeDocument/2006/relationships/hyperlink" Target="https://1drv.ms/b/c/a8f0902f6b5ae388/IQB-O4_Db34GTJZJ_TZ9UE1JAbTW8NgI6loTy4t5cciug6g?e=LX1QwN" TargetMode="External"/><Relationship Id="rId7" Type="http://schemas.openxmlformats.org/officeDocument/2006/relationships/hyperlink" Target="https://kitakushorinji.sakura.ne.jp/joukyuu/-3tantoufuriage.mp4" TargetMode="External"/><Relationship Id="rId2" Type="http://schemas.openxmlformats.org/officeDocument/2006/relationships/hyperlink" Target="https://kitakushorinji.sakura.ne.jp/joukyuu/-2kaishintukiura.mp4" TargetMode="External"/><Relationship Id="rId16" Type="http://schemas.openxmlformats.org/officeDocument/2006/relationships/hyperlink" Target="https://1drv.ms/b/c/a8f0902f6b5ae388/IQAoZaan3izxTLp1z6a5IfKCAXpdNt5erkYURfdLuxcTBqQ?e=0bGVKq" TargetMode="External"/><Relationship Id="rId29" Type="http://schemas.openxmlformats.org/officeDocument/2006/relationships/hyperlink" Target="https://1drv.ms/b/c/a8f0902f6b5ae388/IQAfww5_u3A6TIF65QQ6J3LQAUcJR8MB1SZih1j5lJtL7aw?e=QaGbe7" TargetMode="External"/><Relationship Id="rId1" Type="http://schemas.openxmlformats.org/officeDocument/2006/relationships/hyperlink" Target="https://kitakushorinji.sakura.ne.jp/joukyuu/-2kaishintukiomote.mp4" TargetMode="External"/><Relationship Id="rId6" Type="http://schemas.openxmlformats.org/officeDocument/2006/relationships/hyperlink" Target="https://kitakushorinji.sakura.ne.jp/joukyuu/-3tantoutukikomi.mp4" TargetMode="External"/><Relationship Id="rId11" Type="http://schemas.openxmlformats.org/officeDocument/2006/relationships/hyperlink" Target="https://youtu.be/FVSgBo3fth0?t=1381" TargetMode="External"/><Relationship Id="rId24" Type="http://schemas.openxmlformats.org/officeDocument/2006/relationships/hyperlink" Target="https://1drv.ms/b/c/a8f0902f6b5ae388/IQAcTj0H3N2mSKfibUFdAd4iAebB_vd9p__mi3BQp-UJeMk?e=xTvrRV" TargetMode="External"/><Relationship Id="rId32" Type="http://schemas.openxmlformats.org/officeDocument/2006/relationships/hyperlink" Target="https://1drv.ms/b/c/a8f0902f6b5ae388/IQAfww5_u3A6TIF65QQ6J3LQAUcJR8MB1SZih1j5lJtL7aw?e=QaGbe7" TargetMode="External"/><Relationship Id="rId37" Type="http://schemas.openxmlformats.org/officeDocument/2006/relationships/hyperlink" Target="https://1drv.ms/b/c/a8f0902f6b5ae388/IQB5VMhCWHpGTp2ZrRoF4RjkAe_5rGO2J4lHkPz7UJuR-Ro?e=3M7sSx" TargetMode="External"/><Relationship Id="rId40" Type="http://schemas.openxmlformats.org/officeDocument/2006/relationships/hyperlink" Target="https://1drv.ms/b/c/a8f0902f6b5ae388/IQB5VMhCWHpGTp2ZrRoF4RjkAe_5rGO2J4lHkPz7UJuR-Ro?e=3M7sSx" TargetMode="External"/><Relationship Id="rId45" Type="http://schemas.openxmlformats.org/officeDocument/2006/relationships/hyperlink" Target="https://1drv.ms/b/c/a8f0902f6b5ae388/IQB-O4_Db34GTJZJ_TZ9UE1JAbTW8NgI6loTy4t5cciug6g?e=LX1QwN" TargetMode="External"/><Relationship Id="rId5" Type="http://schemas.openxmlformats.org/officeDocument/2006/relationships/hyperlink" Target="https://kitakushorinji.sakura.ne.jp/joukyuu/-3sotoukedantuki.mp4" TargetMode="External"/><Relationship Id="rId15" Type="http://schemas.openxmlformats.org/officeDocument/2006/relationships/hyperlink" Target="https://1drv.ms/b/c/a8f0902f6b5ae388/IQAoZaan3izxTLp1z6a5IfKCAXpdNt5erkYURfdLuxcTBqQ?e=0bGVKq" TargetMode="External"/><Relationship Id="rId23" Type="http://schemas.openxmlformats.org/officeDocument/2006/relationships/hyperlink" Target="https://1drv.ms/b/c/a8f0902f6b5ae388/IQAcTj0H3N2mSKfibUFdAd4iAebB_vd9p__mi3BQp-UJeMk?e=xTvrRV" TargetMode="External"/><Relationship Id="rId28" Type="http://schemas.openxmlformats.org/officeDocument/2006/relationships/hyperlink" Target="https://1drv.ms/b/c/a8f0902f6b5ae388/IQAfww5_u3A6TIF65QQ6J3LQAUcJR8MB1SZih1j5lJtL7aw?e=QaGbe7" TargetMode="External"/><Relationship Id="rId36" Type="http://schemas.openxmlformats.org/officeDocument/2006/relationships/hyperlink" Target="https://1drv.ms/b/c/a8f0902f6b5ae388/IQB5VMhCWHpGTp2ZrRoF4RjkAe_5rGO2J4lHkPz7UJuR-Ro?e=3M7sSx" TargetMode="External"/><Relationship Id="rId10" Type="http://schemas.openxmlformats.org/officeDocument/2006/relationships/hyperlink" Target="https://youtu.be/wkycRfMQ-9s?t=876" TargetMode="External"/><Relationship Id="rId19" Type="http://schemas.openxmlformats.org/officeDocument/2006/relationships/hyperlink" Target="https://1drv.ms/b/c/a8f0902f6b5ae388/IQAcTj0H3N2mSKfibUFdAd4iAebB_vd9p__mi3BQp-UJeMk?e=xTvrRV" TargetMode="External"/><Relationship Id="rId31" Type="http://schemas.openxmlformats.org/officeDocument/2006/relationships/hyperlink" Target="https://1drv.ms/b/c/a8f0902f6b5ae388/IQAfww5_u3A6TIF65QQ6J3LQAUcJR8MB1SZih1j5lJtL7aw?e=QaGbe7" TargetMode="External"/><Relationship Id="rId44" Type="http://schemas.openxmlformats.org/officeDocument/2006/relationships/hyperlink" Target="https://1drv.ms/b/c/a8f0902f6b5ae388/IQB5VMhCWHpGTp2ZrRoF4RjkAe_5rGO2J4lHkPz7UJuR-Ro?e=3M7sSx" TargetMode="External"/><Relationship Id="rId4" Type="http://schemas.openxmlformats.org/officeDocument/2006/relationships/hyperlink" Target="https://kitakushorinji.sakura.ne.jp/joukyuu/-3shitaukedantuki.mp4" TargetMode="External"/><Relationship Id="rId9" Type="http://schemas.openxmlformats.org/officeDocument/2006/relationships/hyperlink" Target="https://youtu.be/wkycRfMQ-9s?t=825" TargetMode="External"/><Relationship Id="rId14" Type="http://schemas.openxmlformats.org/officeDocument/2006/relationships/hyperlink" Target="https://youtu.be/CJ_TUFXQiKg?t=65" TargetMode="External"/><Relationship Id="rId22" Type="http://schemas.openxmlformats.org/officeDocument/2006/relationships/hyperlink" Target="https://1drv.ms/b/c/a8f0902f6b5ae388/IQAcTj0H3N2mSKfibUFdAd4iAebB_vd9p__mi3BQp-UJeMk?e=xTvrRV" TargetMode="External"/><Relationship Id="rId27" Type="http://schemas.openxmlformats.org/officeDocument/2006/relationships/hyperlink" Target="https://1drv.ms/b/c/a8f0902f6b5ae388/IQAfww5_u3A6TIF65QQ6J3LQAUcJR8MB1SZih1j5lJtL7aw?e=QaGbe7" TargetMode="External"/><Relationship Id="rId30" Type="http://schemas.openxmlformats.org/officeDocument/2006/relationships/hyperlink" Target="https://1drv.ms/b/c/a8f0902f6b5ae388/IQAfww5_u3A6TIF65QQ6J3LQAUcJR8MB1SZih1j5lJtL7aw?e=QaGbe7" TargetMode="External"/><Relationship Id="rId35" Type="http://schemas.openxmlformats.org/officeDocument/2006/relationships/hyperlink" Target="https://1drv.ms/b/c/a8f0902f6b5ae388/IQAfww5_u3A6TIF65QQ6J3LQAUcJR8MB1SZih1j5lJtL7aw?e=QaGbe7" TargetMode="External"/><Relationship Id="rId43" Type="http://schemas.openxmlformats.org/officeDocument/2006/relationships/hyperlink" Target="https://1drv.ms/b/c/a8f0902f6b5ae388/IQB5VMhCWHpGTp2ZrRoF4RjkAe_5rGO2J4lHkPz7UJuR-Ro?e=3M7sSx" TargetMode="External"/><Relationship Id="rId48" Type="http://schemas.openxmlformats.org/officeDocument/2006/relationships/printerSettings" Target="../printerSettings/printerSettings6.bin"/><Relationship Id="rId8" Type="http://schemas.openxmlformats.org/officeDocument/2006/relationships/hyperlink" Target="https://youtu.be/wkycRfMQ-9s?t=620" TargetMode="External"/><Relationship Id="rId3" Type="http://schemas.openxmlformats.org/officeDocument/2006/relationships/hyperlink" Target="https://kitakushorinji.sakura.ne.jp/joukyuu/-3shitauketuki.mp4" TargetMode="External"/><Relationship Id="rId12" Type="http://schemas.openxmlformats.org/officeDocument/2006/relationships/hyperlink" Target="https://youtu.be/FVSgBo3fth0?t=1416" TargetMode="External"/><Relationship Id="rId17" Type="http://schemas.openxmlformats.org/officeDocument/2006/relationships/hyperlink" Target="https://1drv.ms/b/c/a8f0902f6b5ae388/IQAoZaan3izxTLp1z6a5IfKCAXpdNt5erkYURfdLuxcTBqQ?e=0bGVKq" TargetMode="External"/><Relationship Id="rId25" Type="http://schemas.openxmlformats.org/officeDocument/2006/relationships/hyperlink" Target="https://1drv.ms/b/c/a8f0902f6b5ae388/IQAcTj0H3N2mSKfibUFdAd4iAebB_vd9p__mi3BQp-UJeMk?e=xTvrRV" TargetMode="External"/><Relationship Id="rId33" Type="http://schemas.openxmlformats.org/officeDocument/2006/relationships/hyperlink" Target="https://1drv.ms/b/c/a8f0902f6b5ae388/IQAfww5_u3A6TIF65QQ6J3LQAUcJR8MB1SZih1j5lJtL7aw?e=QaGbe7" TargetMode="External"/><Relationship Id="rId38" Type="http://schemas.openxmlformats.org/officeDocument/2006/relationships/hyperlink" Target="https://1drv.ms/b/c/a8f0902f6b5ae388/IQB5VMhCWHpGTp2ZrRoF4RjkAe_5rGO2J4lHkPz7UJuR-Ro?e=3M7sSx" TargetMode="External"/><Relationship Id="rId46" Type="http://schemas.openxmlformats.org/officeDocument/2006/relationships/hyperlink" Target="https://1drv.ms/b/c/a8f0902f6b5ae388/IQB-O4_Db34GTJZJ_TZ9UE1JAbTW8NgI6loTy4t5cciug6g?e=LX1QwN" TargetMode="External"/><Relationship Id="rId20" Type="http://schemas.openxmlformats.org/officeDocument/2006/relationships/hyperlink" Target="https://1drv.ms/b/c/a8f0902f6b5ae388/IQAcTj0H3N2mSKfibUFdAd4iAebB_vd9p__mi3BQp-UJeMk?e=xTvrRV" TargetMode="External"/><Relationship Id="rId41" Type="http://schemas.openxmlformats.org/officeDocument/2006/relationships/hyperlink" Target="https://1drv.ms/b/c/a8f0902f6b5ae388/IQB5VMhCWHpGTp2ZrRoF4RjkAe_5rGO2J4lHkPz7UJuR-Ro?e=3M7sSx"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kitakushorinji.sakura.ne.jp/joukyuu/-2junkeritisan.mp4" TargetMode="External"/><Relationship Id="rId18" Type="http://schemas.openxmlformats.org/officeDocument/2006/relationships/hyperlink" Target="https://1drv.ms/b/c/a8f0902f6b5ae388/IQDrF7mqLrahQoA27YjFwudrAaveozxiLuDYvYypS1shgqw?e=x2NtKp" TargetMode="External"/><Relationship Id="rId26" Type="http://schemas.openxmlformats.org/officeDocument/2006/relationships/hyperlink" Target="https://1drv.ms/b/c/a8f0902f6b5ae388/IQBmGjEjSFKdQp0hZMrteBPmAeXT7JqGwFU6s7XtSLAhWjk?e=fCaduj" TargetMode="External"/><Relationship Id="rId39" Type="http://schemas.openxmlformats.org/officeDocument/2006/relationships/hyperlink" Target="https://1drv.ms/b/c/a8f0902f6b5ae388/IQAlQPGHVs6HQrUNVe7cLeL6ARQHXHFGLBRMwOv-HTR8mqU?e=xJsNDp" TargetMode="External"/><Relationship Id="rId21" Type="http://schemas.openxmlformats.org/officeDocument/2006/relationships/hyperlink" Target="https://1drv.ms/b/c/a8f0902f6b5ae388/IQDrF7mqLrahQoA27YjFwudrAaveozxiLuDYvYypS1shgqw?e=x2NtKp" TargetMode="External"/><Relationship Id="rId34" Type="http://schemas.openxmlformats.org/officeDocument/2006/relationships/hyperlink" Target="https://1drv.ms/b/c/a8f0902f6b5ae388/IQD3Fx_jdbT6TaYgSu1H2jpnAd6nPowys4WiYV99yWcb65g?e=K5Isei" TargetMode="External"/><Relationship Id="rId42" Type="http://schemas.openxmlformats.org/officeDocument/2006/relationships/hyperlink" Target="https://1drv.ms/b/c/a8f0902f6b5ae388/IQCPPFW4Wm6cQ7Re38nF-N2JAaoges7gjp6gKheraPX3AMw?e=Vsc5l1" TargetMode="External"/><Relationship Id="rId7" Type="http://schemas.openxmlformats.org/officeDocument/2006/relationships/hyperlink" Target="https://kitakushorinji.sakura.ne.jp/joukyuu/-3hangetukaeshisukuinage.mp4" TargetMode="External"/><Relationship Id="rId2" Type="http://schemas.openxmlformats.org/officeDocument/2006/relationships/hyperlink" Target="https://youtu.be/wkycRfMQ-9s?t=295" TargetMode="External"/><Relationship Id="rId16" Type="http://schemas.openxmlformats.org/officeDocument/2006/relationships/hyperlink" Target="https://1drv.ms/b/c/a8f0902f6b5ae388/IQASq74qUrQDQJCOEBQqsgg_AabmYrP6fkoVyrcHT_fpp18?e=Tdogrx" TargetMode="External"/><Relationship Id="rId29" Type="http://schemas.openxmlformats.org/officeDocument/2006/relationships/hyperlink" Target="https://1drv.ms/b/c/a8f0902f6b5ae388/IQBxZQtB0wjNRozSCWBvZgsXAXea6oJtQ1zP2Y2VS4JuP8c?e=PVF2iN" TargetMode="External"/><Relationship Id="rId1" Type="http://schemas.openxmlformats.org/officeDocument/2006/relationships/hyperlink" Target="https://kitakushorinji.sakura.ne.jp/joukyuu/-3tyuudankaeshi.mp4" TargetMode="External"/><Relationship Id="rId6" Type="http://schemas.openxmlformats.org/officeDocument/2006/relationships/hyperlink" Target="https://kitakushorinji.sakura.ne.jp/joukyuu/-2haraiukedantuki.mp4" TargetMode="External"/><Relationship Id="rId11" Type="http://schemas.openxmlformats.org/officeDocument/2006/relationships/hyperlink" Target="https://kitakushorinji.sakura.ne.jp/joukyuu/-2gyakukeritiiti.mp4" TargetMode="External"/><Relationship Id="rId24" Type="http://schemas.openxmlformats.org/officeDocument/2006/relationships/hyperlink" Target="https://1drv.ms/b/c/a8f0902f6b5ae388/IQDqc_SUTTrAQbzx_CA8bISpAYPht4Aw3tbxixvmkWZCI_0?e=HrrJOY" TargetMode="External"/><Relationship Id="rId32" Type="http://schemas.openxmlformats.org/officeDocument/2006/relationships/hyperlink" Target="https://1drv.ms/b/c/a8f0902f6b5ae388/IQAv9spTGTE-QpiLiY5Ik42tAXnkJIV2TET5z0wR4t9VnSQ?e=S7noyV" TargetMode="External"/><Relationship Id="rId37" Type="http://schemas.openxmlformats.org/officeDocument/2006/relationships/hyperlink" Target="https://1drv.ms/b/c/a8f0902f6b5ae388/IQCPPFW4Wm6cQ7Re38nF-N2JAaoges7gjp6gKheraPX3AMw?e=wDkvdm" TargetMode="External"/><Relationship Id="rId40" Type="http://schemas.openxmlformats.org/officeDocument/2006/relationships/hyperlink" Target="https://1drv.ms/b/c/a8f0902f6b5ae388/IQAlQPGHVs6HQrUNVe7cLeL6ARQHXHFGLBRMwOv-HTR8mqU?e=xJsNDp" TargetMode="External"/><Relationship Id="rId45" Type="http://schemas.openxmlformats.org/officeDocument/2006/relationships/printerSettings" Target="../printerSettings/printerSettings7.bin"/><Relationship Id="rId5" Type="http://schemas.openxmlformats.org/officeDocument/2006/relationships/hyperlink" Target="https://kitakushorinji.sakura.ne.jp/joukyuu/-3keriteniti.mp4" TargetMode="External"/><Relationship Id="rId15" Type="http://schemas.openxmlformats.org/officeDocument/2006/relationships/hyperlink" Target="https://1drv.ms/b/c/a8f0902f6b5ae388/IQASq74qUrQDQJCOEBQqsgg_AabmYrP6fkoVyrcHT_fpp18?e=Tdogrx" TargetMode="External"/><Relationship Id="rId23" Type="http://schemas.openxmlformats.org/officeDocument/2006/relationships/hyperlink" Target="https://1drv.ms/b/c/a8f0902f6b5ae388/IQDrF7mqLrahQoA27YjFwudrAaveozxiLuDYvYypS1shgqw?e=x2NtKp" TargetMode="External"/><Relationship Id="rId28" Type="http://schemas.openxmlformats.org/officeDocument/2006/relationships/hyperlink" Target="https://1drv.ms/b/c/a8f0902f6b5ae388/IQBxZQtB0wjNRozSCWBvZgsXAXea6oJtQ1zP2Y2VS4JuP8c?e=PVF2iN" TargetMode="External"/><Relationship Id="rId36" Type="http://schemas.openxmlformats.org/officeDocument/2006/relationships/hyperlink" Target="https://1drv.ms/b/c/a8f0902f6b5ae388/IQCPPFW4Wm6cQ7Re38nF-N2JAaoges7gjp6gKheraPX3AMw?e=wDkvdm" TargetMode="External"/><Relationship Id="rId10" Type="http://schemas.openxmlformats.org/officeDocument/2006/relationships/hyperlink" Target="https://kitakushorinji.sakura.ne.jp/joukyuu/-2junkeritiiti.mp4" TargetMode="External"/><Relationship Id="rId19" Type="http://schemas.openxmlformats.org/officeDocument/2006/relationships/hyperlink" Target="https://1drv.ms/b/c/a8f0902f6b5ae388/IQDrF7mqLrahQoA27YjFwudrAaveozxiLuDYvYypS1shgqw?e=x2NtKp" TargetMode="External"/><Relationship Id="rId31" Type="http://schemas.openxmlformats.org/officeDocument/2006/relationships/hyperlink" Target="https://1drv.ms/b/c/a8f0902f6b5ae388/IQAv9spTGTE-QpiLiY5Ik42tAXnkJIV2TET5z0wR4t9VnSQ?e=S7noyV" TargetMode="External"/><Relationship Id="rId44" Type="http://schemas.openxmlformats.org/officeDocument/2006/relationships/hyperlink" Target="https://1drv.ms/b/c/a8f0902f6b5ae388/IQDmUdXfzjnBRZtXzvWtPFMSAYZDmhu8A51Vk3CLUfDMqDk?e=mJM0no" TargetMode="External"/><Relationship Id="rId4" Type="http://schemas.openxmlformats.org/officeDocument/2006/relationships/hyperlink" Target="https://kitakushorinji.sakura.ne.jp/joukyuu/-2taiten1.mp4" TargetMode="External"/><Relationship Id="rId9" Type="http://schemas.openxmlformats.org/officeDocument/2006/relationships/hyperlink" Target="https://kitakushorinji.sakura.ne.jp/joukyuu/-3mikadukikaeshi.mp4" TargetMode="External"/><Relationship Id="rId14" Type="http://schemas.openxmlformats.org/officeDocument/2006/relationships/hyperlink" Target="https://kitakushorinji.sakura.ne.jp/joukyuu/-2gyakukeritisan.mp4" TargetMode="External"/><Relationship Id="rId22" Type="http://schemas.openxmlformats.org/officeDocument/2006/relationships/hyperlink" Target="https://1drv.ms/b/c/a8f0902f6b5ae388/IQDrF7mqLrahQoA27YjFwudrAaveozxiLuDYvYypS1shgqw?e=x2NtKp" TargetMode="External"/><Relationship Id="rId27" Type="http://schemas.openxmlformats.org/officeDocument/2006/relationships/hyperlink" Target="https://1drv.ms/b/c/a8f0902f6b5ae388/IQBxZQtB0wjNRozSCWBvZgsXAXea6oJtQ1zP2Y2VS4JuP8c?e=PVF2iN" TargetMode="External"/><Relationship Id="rId30" Type="http://schemas.openxmlformats.org/officeDocument/2006/relationships/hyperlink" Target="https://1drv.ms/b/c/a8f0902f6b5ae388/IQBxZQtB0wjNRozSCWBvZgsXAXea6oJtQ1zP2Y2VS4JuP8c?e=PVF2iN" TargetMode="External"/><Relationship Id="rId35" Type="http://schemas.openxmlformats.org/officeDocument/2006/relationships/hyperlink" Target="https://1drv.ms/b/c/a8f0902f6b5ae388/IQCPPFW4Wm6cQ7Re38nF-N2JAaoges7gjp6gKheraPX3AMw?e=wDkvdm" TargetMode="External"/><Relationship Id="rId43" Type="http://schemas.openxmlformats.org/officeDocument/2006/relationships/hyperlink" Target="https://1drv.ms/b/c/a8f0902f6b5ae388/IQDmUdXfzjnBRZtXzvWtPFMSAYZDmhu8A51Vk3CLUfDMqDk?e=mJM0no" TargetMode="External"/><Relationship Id="rId8" Type="http://schemas.openxmlformats.org/officeDocument/2006/relationships/hyperlink" Target="https://kitakushorinji.sakura.ne.jp/joukyuu/-3suigetugaeshi.mp4" TargetMode="External"/><Relationship Id="rId3" Type="http://schemas.openxmlformats.org/officeDocument/2006/relationships/hyperlink" Target="https://kitakushorinji.sakura.ne.jp/joukyuu/-2gyakutenshinkeri.mp4" TargetMode="External"/><Relationship Id="rId12" Type="http://schemas.openxmlformats.org/officeDocument/2006/relationships/hyperlink" Target="https://kitakushorinji.sakura.ne.jp/joukyuu/-2haraiuketini.mp4" TargetMode="External"/><Relationship Id="rId17" Type="http://schemas.openxmlformats.org/officeDocument/2006/relationships/hyperlink" Target="https://1drv.ms/b/c/a8f0902f6b5ae388/IQASq74qUrQDQJCOEBQqsgg_AabmYrP6fkoVyrcHT_fpp18?e=Tdogrx" TargetMode="External"/><Relationship Id="rId25" Type="http://schemas.openxmlformats.org/officeDocument/2006/relationships/hyperlink" Target="https://1drv.ms/b/c/a8f0902f6b5ae388/IQBmGjEjSFKdQp0hZMrteBPmAeXT7JqGwFU6s7XtSLAhWjk?e=fCaduj" TargetMode="External"/><Relationship Id="rId33" Type="http://schemas.openxmlformats.org/officeDocument/2006/relationships/hyperlink" Target="https://1drv.ms/b/c/a8f0902f6b5ae388/IQD3Fx_jdbT6TaYgSu1H2jpnAd6nPowys4WiYV99yWcb65g?e=K5Isei" TargetMode="External"/><Relationship Id="rId38" Type="http://schemas.openxmlformats.org/officeDocument/2006/relationships/hyperlink" Target="https://1drv.ms/b/c/a8f0902f6b5ae388/IQCPPFW4Wm6cQ7Re38nF-N2JAaoges7gjp6gKheraPX3AMw?e=wDkvdm" TargetMode="External"/><Relationship Id="rId20" Type="http://schemas.openxmlformats.org/officeDocument/2006/relationships/hyperlink" Target="https://1drv.ms/b/c/a8f0902f6b5ae388/IQDrF7mqLrahQoA27YjFwudrAaveozxiLuDYvYypS1shgqw?e=x2NtKp" TargetMode="External"/><Relationship Id="rId41" Type="http://schemas.openxmlformats.org/officeDocument/2006/relationships/hyperlink" Target="https://1drv.ms/b/c/a8f0902f6b5ae388/IQAlQPGHVs6HQrUNVe7cLeL6ARQHXHFGLBRMwOv-HTR8mqU?e=xJsNDp"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1drv.ms/b/c/a8f0902f6b5ae388/IQDrF7mqLrahQoA27YjFwudrAaveozxiLuDYvYypS1shgqw?e=x2NtKp" TargetMode="External"/><Relationship Id="rId13" Type="http://schemas.openxmlformats.org/officeDocument/2006/relationships/printerSettings" Target="../printerSettings/printerSettings8.bin"/><Relationship Id="rId3" Type="http://schemas.openxmlformats.org/officeDocument/2006/relationships/hyperlink" Target="https://youtu.be/ZOhqdBiSO9I?t=80" TargetMode="External"/><Relationship Id="rId7" Type="http://schemas.openxmlformats.org/officeDocument/2006/relationships/hyperlink" Target="https://1drv.ms/b/c/a8f0902f6b5ae388/IQDrF7mqLrahQoA27YjFwudrAaveozxiLuDYvYypS1shgqw?e=x2NtKp" TargetMode="External"/><Relationship Id="rId12" Type="http://schemas.openxmlformats.org/officeDocument/2006/relationships/hyperlink" Target="https://1drv.ms/b/c/a8f0902f6b5ae388/IQDrF7mqLrahQoA27YjFwudrAaveozxiLuDYvYypS1shgqw?e=x2NtKp" TargetMode="External"/><Relationship Id="rId2" Type="http://schemas.openxmlformats.org/officeDocument/2006/relationships/hyperlink" Target="https://youtu.be/wkycRfMQ-9s?t=295" TargetMode="External"/><Relationship Id="rId1" Type="http://schemas.openxmlformats.org/officeDocument/2006/relationships/hyperlink" Target="https://kitakushorinji.sakura.ne.jp/joukyuu/-3tyuudankaeshi.mp4" TargetMode="External"/><Relationship Id="rId6" Type="http://schemas.openxmlformats.org/officeDocument/2006/relationships/hyperlink" Target="https://1drv.ms/b/c/a8f0902f6b5ae388/IQASq74qUrQDQJCOEBQqsgg_AabmYrP6fkoVyrcHT_fpp18?e=Tdogrx" TargetMode="External"/><Relationship Id="rId11" Type="http://schemas.openxmlformats.org/officeDocument/2006/relationships/hyperlink" Target="https://1drv.ms/b/c/a8f0902f6b5ae388/IQDrF7mqLrahQoA27YjFwudrAaveozxiLuDYvYypS1shgqw?e=x2NtKp" TargetMode="External"/><Relationship Id="rId5" Type="http://schemas.openxmlformats.org/officeDocument/2006/relationships/hyperlink" Target="https://1drv.ms/b/c/a8f0902f6b5ae388/IQASq74qUrQDQJCOEBQqsgg_AabmYrP6fkoVyrcHT_fpp18?e=Tdogrx" TargetMode="External"/><Relationship Id="rId10" Type="http://schemas.openxmlformats.org/officeDocument/2006/relationships/hyperlink" Target="https://1drv.ms/b/c/a8f0902f6b5ae388/IQDrF7mqLrahQoA27YjFwudrAaveozxiLuDYvYypS1shgqw?e=x2NtKp" TargetMode="External"/><Relationship Id="rId4" Type="http://schemas.openxmlformats.org/officeDocument/2006/relationships/hyperlink" Target="https://1drv.ms/b/c/a8f0902f6b5ae388/IQASq74qUrQDQJCOEBQqsgg_AabmYrP6fkoVyrcHT_fpp18?e=Tdogrx" TargetMode="External"/><Relationship Id="rId9" Type="http://schemas.openxmlformats.org/officeDocument/2006/relationships/hyperlink" Target="https://1drv.ms/b/c/a8f0902f6b5ae388/IQDrF7mqLrahQoA27YjFwudrAaveozxiLuDYvYypS1shgqw?e=x2NtKp"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1drv.ms/b/c/a8f0902f6b5ae388/IQBxZQtB0wjNRozSCWBvZgsXAXea6oJtQ1zP2Y2VS4JuP8c?e=PVF2iN" TargetMode="External"/><Relationship Id="rId13" Type="http://schemas.openxmlformats.org/officeDocument/2006/relationships/printerSettings" Target="../printerSettings/printerSettings9.bin"/><Relationship Id="rId3" Type="http://schemas.openxmlformats.org/officeDocument/2006/relationships/hyperlink" Target="https://kitakushorinji.sakura.ne.jp/joukyuu/-3keriteniti.mp4" TargetMode="External"/><Relationship Id="rId7" Type="http://schemas.openxmlformats.org/officeDocument/2006/relationships/hyperlink" Target="https://1drv.ms/b/c/a8f0902f6b5ae388/IQBxZQtB0wjNRozSCWBvZgsXAXea6oJtQ1zP2Y2VS4JuP8c?e=PVF2iN" TargetMode="External"/><Relationship Id="rId12" Type="http://schemas.openxmlformats.org/officeDocument/2006/relationships/hyperlink" Target="https://1drv.ms/b/c/a8f0902f6b5ae388/IQAv9spTGTE-QpiLiY5Ik42tAXnkJIV2TET5z0wR4t9VnSQ?e=S7noyV" TargetMode="External"/><Relationship Id="rId2" Type="http://schemas.openxmlformats.org/officeDocument/2006/relationships/hyperlink" Target="https://kitakushorinji.sakura.ne.jp/joukyuu/-2taiten1.mp4" TargetMode="External"/><Relationship Id="rId1" Type="http://schemas.openxmlformats.org/officeDocument/2006/relationships/hyperlink" Target="https://kitakushorinji.sakura.ne.jp/joukyuu/-2gyakutenshinkeri.mp4" TargetMode="External"/><Relationship Id="rId6" Type="http://schemas.openxmlformats.org/officeDocument/2006/relationships/hyperlink" Target="https://1drv.ms/b/c/a8f0902f6b5ae388/IQBmGjEjSFKdQp0hZMrteBPmAeXT7JqGwFU6s7XtSLAhWjk?e=fCaduj" TargetMode="External"/><Relationship Id="rId11" Type="http://schemas.openxmlformats.org/officeDocument/2006/relationships/hyperlink" Target="https://1drv.ms/b/c/a8f0902f6b5ae388/IQAv9spTGTE-QpiLiY5Ik42tAXnkJIV2TET5z0wR4t9VnSQ?e=S7noyV" TargetMode="External"/><Relationship Id="rId5" Type="http://schemas.openxmlformats.org/officeDocument/2006/relationships/hyperlink" Target="https://1drv.ms/b/c/a8f0902f6b5ae388/IQBmGjEjSFKdQp0hZMrteBPmAeXT7JqGwFU6s7XtSLAhWjk?e=fCaduj" TargetMode="External"/><Relationship Id="rId10" Type="http://schemas.openxmlformats.org/officeDocument/2006/relationships/hyperlink" Target="https://1drv.ms/b/c/a8f0902f6b5ae388/IQBxZQtB0wjNRozSCWBvZgsXAXea6oJtQ1zP2Y2VS4JuP8c?e=PVF2iN" TargetMode="External"/><Relationship Id="rId4" Type="http://schemas.openxmlformats.org/officeDocument/2006/relationships/hyperlink" Target="https://1drv.ms/b/c/a8f0902f6b5ae388/IQDqc_SUTTrAQbzx_CA8bISpAYPht4Aw3tbxixvmkWZCI_0?e=HrrJOY" TargetMode="External"/><Relationship Id="rId9" Type="http://schemas.openxmlformats.org/officeDocument/2006/relationships/hyperlink" Target="https://1drv.ms/b/c/a8f0902f6b5ae388/IQBxZQtB0wjNRozSCWBvZgsXAXea6oJtQ1zP2Y2VS4JuP8c?e=PVF2iN"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1drv.ms/b/c/a8f0902f6b5ae388/IQCPPFW4Wm6cQ7Re38nF-N2JAaoges7gjp6gKheraPX3AMw?e=wDkvdm" TargetMode="External"/><Relationship Id="rId3" Type="http://schemas.openxmlformats.org/officeDocument/2006/relationships/hyperlink" Target="https://kitakushorinji.sakura.ne.jp/joukyuu/-3suigetugaeshi.mp4" TargetMode="External"/><Relationship Id="rId7" Type="http://schemas.openxmlformats.org/officeDocument/2006/relationships/hyperlink" Target="https://1drv.ms/b/c/a8f0902f6b5ae388/IQCPPFW4Wm6cQ7Re38nF-N2JAaoges7gjp6gKheraPX3AMw?e=wDkvdm" TargetMode="External"/><Relationship Id="rId2" Type="http://schemas.openxmlformats.org/officeDocument/2006/relationships/hyperlink" Target="https://kitakushorinji.sakura.ne.jp/joukyuu/-3hangetukaeshisukuinage.mp4" TargetMode="External"/><Relationship Id="rId1" Type="http://schemas.openxmlformats.org/officeDocument/2006/relationships/hyperlink" Target="https://kitakushorinji.sakura.ne.jp/joukyuu/-2haraiukedantuki.mp4" TargetMode="External"/><Relationship Id="rId6" Type="http://schemas.openxmlformats.org/officeDocument/2006/relationships/hyperlink" Target="https://1drv.ms/b/c/a8f0902f6b5ae388/IQD3Fx_jdbT6TaYgSu1H2jpnAd6nPowys4WiYV99yWcb65g?e=K5Isei" TargetMode="External"/><Relationship Id="rId11" Type="http://schemas.openxmlformats.org/officeDocument/2006/relationships/printerSettings" Target="../printerSettings/printerSettings10.bin"/><Relationship Id="rId5" Type="http://schemas.openxmlformats.org/officeDocument/2006/relationships/hyperlink" Target="https://1drv.ms/b/c/a8f0902f6b5ae388/IQD3Fx_jdbT6TaYgSu1H2jpnAd6nPowys4WiYV99yWcb65g?e=K5Isei" TargetMode="External"/><Relationship Id="rId10" Type="http://schemas.openxmlformats.org/officeDocument/2006/relationships/hyperlink" Target="https://1drv.ms/b/c/a8f0902f6b5ae388/IQCPPFW4Wm6cQ7Re38nF-N2JAaoges7gjp6gKheraPX3AMw?e=wDkvdm" TargetMode="External"/><Relationship Id="rId4" Type="http://schemas.openxmlformats.org/officeDocument/2006/relationships/hyperlink" Target="https://kitakushorinji.sakura.ne.jp/joukyuu/-3mikadukikaeshi.mp4" TargetMode="External"/><Relationship Id="rId9" Type="http://schemas.openxmlformats.org/officeDocument/2006/relationships/hyperlink" Target="https://1drv.ms/b/c/a8f0902f6b5ae388/IQCPPFW4Wm6cQ7Re38nF-N2JAaoges7gjp6gKheraPX3AMw?e=wDkvd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1drv.ms/b/c/a8f0902f6b5ae388/IQAlQPGHVs6HQrUNVe7cLeL6ARQHXHFGLBRMwOv-HTR8mqU?e=xJsNDp" TargetMode="External"/><Relationship Id="rId13" Type="http://schemas.openxmlformats.org/officeDocument/2006/relationships/printerSettings" Target="../printerSettings/printerSettings11.bin"/><Relationship Id="rId3" Type="http://schemas.openxmlformats.org/officeDocument/2006/relationships/hyperlink" Target="https://kitakushorinji.sakura.ne.jp/joukyuu/-2haraiuketini.mp4" TargetMode="External"/><Relationship Id="rId7" Type="http://schemas.openxmlformats.org/officeDocument/2006/relationships/hyperlink" Target="https://1drv.ms/b/c/a8f0902f6b5ae388/IQCPPFW4Wm6cQ7Re38nF-N2JAaoges7gjp6gKheraPX3AMw?e=wDkvdm" TargetMode="External"/><Relationship Id="rId12" Type="http://schemas.openxmlformats.org/officeDocument/2006/relationships/hyperlink" Target="https://1drv.ms/b/c/a8f0902f6b5ae388/IQDmUdXfzjnBRZtXzvWtPFMSAYZDmhu8A51Vk3CLUfDMqDk?e=mJM0no" TargetMode="External"/><Relationship Id="rId2" Type="http://schemas.openxmlformats.org/officeDocument/2006/relationships/hyperlink" Target="https://kitakushorinji.sakura.ne.jp/joukyuu/-2gyakukeritiiti.mp4" TargetMode="External"/><Relationship Id="rId1" Type="http://schemas.openxmlformats.org/officeDocument/2006/relationships/hyperlink" Target="https://kitakushorinji.sakura.ne.jp/joukyuu/-2junkeritiiti.mp4" TargetMode="External"/><Relationship Id="rId6" Type="http://schemas.openxmlformats.org/officeDocument/2006/relationships/hyperlink" Target="https://youtu.be/DrAl_dNaTSg?t=472" TargetMode="External"/><Relationship Id="rId11" Type="http://schemas.openxmlformats.org/officeDocument/2006/relationships/hyperlink" Target="https://1drv.ms/b/c/a8f0902f6b5ae388/IQDmUdXfzjnBRZtXzvWtPFMSAYZDmhu8A51Vk3CLUfDMqDk?e=mJM0no" TargetMode="External"/><Relationship Id="rId5" Type="http://schemas.openxmlformats.org/officeDocument/2006/relationships/hyperlink" Target="https://kitakushorinji.sakura.ne.jp/joukyuu/-2gyakukeritisan.mp4" TargetMode="External"/><Relationship Id="rId10" Type="http://schemas.openxmlformats.org/officeDocument/2006/relationships/hyperlink" Target="https://1drv.ms/b/c/a8f0902f6b5ae388/IQAlQPGHVs6HQrUNVe7cLeL6ARQHXHFGLBRMwOv-HTR8mqU?e=xJsNDp" TargetMode="External"/><Relationship Id="rId4" Type="http://schemas.openxmlformats.org/officeDocument/2006/relationships/hyperlink" Target="https://kitakushorinji.sakura.ne.jp/joukyuu/-2junkeritisan.mp4" TargetMode="External"/><Relationship Id="rId9" Type="http://schemas.openxmlformats.org/officeDocument/2006/relationships/hyperlink" Target="https://1drv.ms/b/c/a8f0902f6b5ae388/IQAlQPGHVs6HQrUNVe7cLeL6ARQHXHFGLBRMwOv-HTR8mqU?e=xJsNDp"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1drv.ms/b/c/a8f0902f6b5ae388/IQBmeLAqha30RIjTQbrEAsEtAatm8qvQk-lPz-a_rCiod0k?e=ecbX6X" TargetMode="External"/><Relationship Id="rId3" Type="http://schemas.openxmlformats.org/officeDocument/2006/relationships/hyperlink" Target="https://kitakushorinji.sakura.ne.jp/joukyuu/-2dankerisanbouuke.mp4" TargetMode="External"/><Relationship Id="rId7" Type="http://schemas.openxmlformats.org/officeDocument/2006/relationships/hyperlink" Target="https://1drv.ms/b/c/a8f0902f6b5ae388/IQBmeLAqha30RIjTQbrEAsEtAatm8qvQk-lPz-a_rCiod0k?e=ecbX6X" TargetMode="External"/><Relationship Id="rId2" Type="http://schemas.openxmlformats.org/officeDocument/2006/relationships/hyperlink" Target="https://kitakushorinji.sakura.ne.jp/joukyuu/-2mawashikerisanbouuke.mp4" TargetMode="External"/><Relationship Id="rId1" Type="http://schemas.openxmlformats.org/officeDocument/2006/relationships/hyperlink" Target="https://kitakushorinji.sakura.ne.jp/joukyuu/-2sokutoukerihizauke.mp4" TargetMode="External"/><Relationship Id="rId6" Type="http://schemas.openxmlformats.org/officeDocument/2006/relationships/hyperlink" Target="https://1drv.ms/b/c/a8f0902f6b5ae388/IQBmeLAqha30RIjTQbrEAsEtAatm8qvQk-lPz-a_rCiod0k?e=ecbX6X" TargetMode="External"/><Relationship Id="rId11" Type="http://schemas.openxmlformats.org/officeDocument/2006/relationships/printerSettings" Target="../printerSettings/printerSettings12.bin"/><Relationship Id="rId5" Type="http://schemas.openxmlformats.org/officeDocument/2006/relationships/hyperlink" Target="https://youtu.be/ZOhqdBiSO9I?t=189" TargetMode="External"/><Relationship Id="rId10" Type="http://schemas.openxmlformats.org/officeDocument/2006/relationships/hyperlink" Target="https://1drv.ms/b/c/a8f0902f6b5ae388/IQBmeLAqha30RIjTQbrEAsEtAatm8qvQk-lPz-a_rCiod0k?e=ecbX6X" TargetMode="External"/><Relationship Id="rId4" Type="http://schemas.openxmlformats.org/officeDocument/2006/relationships/hyperlink" Target="https://youtu.be/ZOhqdBiSO9I?t=110" TargetMode="External"/><Relationship Id="rId9" Type="http://schemas.openxmlformats.org/officeDocument/2006/relationships/hyperlink" Target="https://1drv.ms/b/c/a8f0902f6b5ae388/IQBmeLAqha30RIjTQbrEAsEtAatm8qvQk-lPz-a_rCiod0k?e=ecbX6X"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1drv.ms/b/c/a8f0902f6b5ae388/IQBeIcbAKv6VT7m_VgLxjQfAAe4Hpe9J27oIOgAz1VHYZVI?e=556ooG" TargetMode="External"/><Relationship Id="rId18" Type="http://schemas.openxmlformats.org/officeDocument/2006/relationships/hyperlink" Target="https://1drv.ms/b/c/a8f0902f6b5ae388/IQDrJQpl75RvQrtn28A_tg1vAYS-O5jFU0xJbdjVPdgH-wY?e=kXYsgr" TargetMode="External"/><Relationship Id="rId26" Type="http://schemas.openxmlformats.org/officeDocument/2006/relationships/hyperlink" Target="https://1drv.ms/b/c/a8f0902f6b5ae388/IQCrG59sIiyRR5mViQZ9qz1KAYEOYoy1-eUDz6vve1IeoBM?e=YhZ1bh" TargetMode="External"/><Relationship Id="rId3" Type="http://schemas.openxmlformats.org/officeDocument/2006/relationships/hyperlink" Target="https://youtu.be/uqgHcIkLW9g?t=184" TargetMode="External"/><Relationship Id="rId21" Type="http://schemas.openxmlformats.org/officeDocument/2006/relationships/hyperlink" Target="https://1drv.ms/b/c/a8f0902f6b5ae388/IQDrJQpl75RvQrtn28A_tg1vAYS-O5jFU0xJbdjVPdgH-wY?e=kXYsgr" TargetMode="External"/><Relationship Id="rId34" Type="http://schemas.openxmlformats.org/officeDocument/2006/relationships/printerSettings" Target="../printerSettings/printerSettings13.bin"/><Relationship Id="rId7" Type="http://schemas.openxmlformats.org/officeDocument/2006/relationships/hyperlink" Target="https://youtu.be/gYaO9D-3w5g?t=60" TargetMode="External"/><Relationship Id="rId12" Type="http://schemas.openxmlformats.org/officeDocument/2006/relationships/hyperlink" Target="https://1drv.ms/b/c/a8f0902f6b5ae388/IQBmpsInEaLTTY9-uoH8oBZfAfehxLzCtpf6DDIUoqvR1xE?e=W9jga3" TargetMode="External"/><Relationship Id="rId17" Type="http://schemas.openxmlformats.org/officeDocument/2006/relationships/hyperlink" Target="https://1drv.ms/b/c/a8f0902f6b5ae388/IQBeIcbAKv6VT7m_VgLxjQfAAe4Hpe9J27oIOgAz1VHYZVI?e=556ooG" TargetMode="External"/><Relationship Id="rId25" Type="http://schemas.openxmlformats.org/officeDocument/2006/relationships/hyperlink" Target="https://1drv.ms/b/c/a8f0902f6b5ae388/IQCrG59sIiyRR5mViQZ9qz1KAYEOYoy1-eUDz6vve1IeoBM?e=YhZ1bh" TargetMode="External"/><Relationship Id="rId33" Type="http://schemas.openxmlformats.org/officeDocument/2006/relationships/hyperlink" Target="https://1drv.ms/b/c/a8f0902f6b5ae388/IQBlPkTqZuc8RJpVpa-IeRVPAXwsniFAOOTcH9y5svfpl-k?e=AEhbZu" TargetMode="External"/><Relationship Id="rId2" Type="http://schemas.openxmlformats.org/officeDocument/2006/relationships/hyperlink" Target="https://kitakushorinji.sakura.ne.jp/joukyuu/-2utinukiryoute.mp4" TargetMode="External"/><Relationship Id="rId16" Type="http://schemas.openxmlformats.org/officeDocument/2006/relationships/hyperlink" Target="https://1drv.ms/b/c/a8f0902f6b5ae388/IQBeIcbAKv6VT7m_VgLxjQfAAe4Hpe9J27oIOgAz1VHYZVI?e=556ooG" TargetMode="External"/><Relationship Id="rId20" Type="http://schemas.openxmlformats.org/officeDocument/2006/relationships/hyperlink" Target="https://1drv.ms/b/c/a8f0902f6b5ae388/IQDrJQpl75RvQrtn28A_tg1vAYS-O5jFU0xJbdjVPdgH-wY?e=kXYsgr" TargetMode="External"/><Relationship Id="rId29" Type="http://schemas.openxmlformats.org/officeDocument/2006/relationships/hyperlink" Target="https://1drv.ms/b/c/a8f0902f6b5ae388/IQBlPkTqZuc8RJpVpa-IeRVPAXwsniFAOOTcH9y5svfpl-k?e=AEhbZu" TargetMode="External"/><Relationship Id="rId1" Type="http://schemas.openxmlformats.org/officeDocument/2006/relationships/hyperlink" Target="https://kitakushorinji.sakura.ne.jp/joukyuu/-2utinukikatate.mp4" TargetMode="External"/><Relationship Id="rId6" Type="http://schemas.openxmlformats.org/officeDocument/2006/relationships/hyperlink" Target="https://youtu.be/gYaO9D-3w5g?t=24" TargetMode="External"/><Relationship Id="rId11" Type="http://schemas.openxmlformats.org/officeDocument/2006/relationships/hyperlink" Target="https://1drv.ms/b/c/a8f0902f6b5ae388/IQBmpsInEaLTTY9-uoH8oBZfAfehxLzCtpf6DDIUoqvR1xE?e=W9jga3" TargetMode="External"/><Relationship Id="rId24" Type="http://schemas.openxmlformats.org/officeDocument/2006/relationships/hyperlink" Target="https://1drv.ms/b/c/a8f0902f6b5ae388/IQCrG59sIiyRR5mViQZ9qz1KAYEOYoy1-eUDz6vve1IeoBM?e=YhZ1bh" TargetMode="External"/><Relationship Id="rId32" Type="http://schemas.openxmlformats.org/officeDocument/2006/relationships/hyperlink" Target="https://1drv.ms/b/c/a8f0902f6b5ae388/IQBlPkTqZuc8RJpVpa-IeRVPAXwsniFAOOTcH9y5svfpl-k?e=AEhbZu" TargetMode="External"/><Relationship Id="rId5" Type="http://schemas.openxmlformats.org/officeDocument/2006/relationships/hyperlink" Target="https://youtu.be/ZOhqdBiSO9I?t=269" TargetMode="External"/><Relationship Id="rId15" Type="http://schemas.openxmlformats.org/officeDocument/2006/relationships/hyperlink" Target="https://1drv.ms/b/c/a8f0902f6b5ae388/IQBeIcbAKv6VT7m_VgLxjQfAAe4Hpe9J27oIOgAz1VHYZVI?e=556ooG" TargetMode="External"/><Relationship Id="rId23" Type="http://schemas.openxmlformats.org/officeDocument/2006/relationships/hyperlink" Target="https://1drv.ms/b/c/a8f0902f6b5ae388/IQCrG59sIiyRR5mViQZ9qz1KAYEOYoy1-eUDz6vve1IeoBM?e=YhZ1bh" TargetMode="External"/><Relationship Id="rId28" Type="http://schemas.openxmlformats.org/officeDocument/2006/relationships/hyperlink" Target="https://1drv.ms/b/c/a8f0902f6b5ae388/IQBlPkTqZuc8RJpVpa-IeRVPAXwsniFAOOTcH9y5svfpl-k?e=AEhbZu" TargetMode="External"/><Relationship Id="rId10" Type="http://schemas.openxmlformats.org/officeDocument/2006/relationships/hyperlink" Target="https://1drv.ms/b/c/a8f0902f6b5ae388/IQBmpsInEaLTTY9-uoH8oBZfAfehxLzCtpf6DDIUoqvR1xE?e=W9jga3" TargetMode="External"/><Relationship Id="rId19" Type="http://schemas.openxmlformats.org/officeDocument/2006/relationships/hyperlink" Target="https://1drv.ms/b/c/a8f0902f6b5ae388/IQDrJQpl75RvQrtn28A_tg1vAYS-O5jFU0xJbdjVPdgH-wY?e=kXYsgr" TargetMode="External"/><Relationship Id="rId31" Type="http://schemas.openxmlformats.org/officeDocument/2006/relationships/hyperlink" Target="https://1drv.ms/b/c/a8f0902f6b5ae388/IQBlPkTqZuc8RJpVpa-IeRVPAXwsniFAOOTcH9y5svfpl-k?e=AEhbZu" TargetMode="External"/><Relationship Id="rId4" Type="http://schemas.openxmlformats.org/officeDocument/2006/relationships/hyperlink" Target="https://youtu.be/ZOhqdBiSO9I?t=269" TargetMode="External"/><Relationship Id="rId9" Type="http://schemas.openxmlformats.org/officeDocument/2006/relationships/hyperlink" Target="https://1drv.ms/b/c/a8f0902f6b5ae388/IQDQzsgVBUlDRLjlWbMDya-8AVFCZCSZNKpsDexrlbA357A?e=KIeGHy" TargetMode="External"/><Relationship Id="rId14" Type="http://schemas.openxmlformats.org/officeDocument/2006/relationships/hyperlink" Target="https://1drv.ms/b/c/a8f0902f6b5ae388/IQBeIcbAKv6VT7m_VgLxjQfAAe4Hpe9J27oIOgAz1VHYZVI?e=556ooG" TargetMode="External"/><Relationship Id="rId22" Type="http://schemas.openxmlformats.org/officeDocument/2006/relationships/hyperlink" Target="https://1drv.ms/b/c/a8f0902f6b5ae388/IQDrJQpl75RvQrtn28A_tg1vAYS-O5jFU0xJbdjVPdgH-wY?e=kXYsgr" TargetMode="External"/><Relationship Id="rId27" Type="http://schemas.openxmlformats.org/officeDocument/2006/relationships/hyperlink" Target="https://1drv.ms/b/c/a8f0902f6b5ae388/IQCrG59sIiyRR5mViQZ9qz1KAYEOYoy1-eUDz6vve1IeoBM?e=YhZ1bh" TargetMode="External"/><Relationship Id="rId30" Type="http://schemas.openxmlformats.org/officeDocument/2006/relationships/hyperlink" Target="https://1drv.ms/b/c/a8f0902f6b5ae388/IQBlPkTqZuc8RJpVpa-IeRVPAXwsniFAOOTcH9y5svfpl-k?e=AEhbZu" TargetMode="External"/><Relationship Id="rId8" Type="http://schemas.openxmlformats.org/officeDocument/2006/relationships/hyperlink" Target="https://1drv.ms/b/c/a8f0902f6b5ae388/IQDyCF3M6ZB5QLqMtTnu4cBxAUa2pW60kEn3c-NgIR9hEpc?e=7C6j2K"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s://kitakushorinji.sakura.ne.jp/joukyuu/-3idorioshigote.mp4" TargetMode="External"/><Relationship Id="rId21" Type="http://schemas.openxmlformats.org/officeDocument/2006/relationships/hyperlink" Target="https://kitakushorinji.sakura.ne.jp/joukyuu/-3kirikaeshinage.mp4" TargetMode="External"/><Relationship Id="rId42" Type="http://schemas.openxmlformats.org/officeDocument/2006/relationships/hyperlink" Target="https://youtu.be/83a9huRjdvk?t=270" TargetMode="External"/><Relationship Id="rId47" Type="http://schemas.openxmlformats.org/officeDocument/2006/relationships/hyperlink" Target="https://youtu.be/gO795vfN_pQ?t=910" TargetMode="External"/><Relationship Id="rId63" Type="http://schemas.openxmlformats.org/officeDocument/2006/relationships/hyperlink" Target="https://1drv.ms/b/c/a8f0902f6b5ae388/IQA4goP1LZ9ARaSfQ5MVIaNqAQWfG8TyzlWnNVLQVOxf43g?e=Xfk5xB" TargetMode="External"/><Relationship Id="rId68" Type="http://schemas.openxmlformats.org/officeDocument/2006/relationships/hyperlink" Target="https://1drv.ms/b/c/a8f0902f6b5ae388/IQDk6i2jAKrzRIoVYomJJZ3NAYaGTyuRQB9JMJ5z-XI_0og?e=j0fcB4" TargetMode="External"/><Relationship Id="rId84" Type="http://schemas.openxmlformats.org/officeDocument/2006/relationships/hyperlink" Target="https://1drv.ms/b/c/a8f0902f6b5ae388/IQDde1dB9Lm7TpwSW5nFXuirAfHVbfY2sc-hHWv-a3Z06KM?e=DJfsuM" TargetMode="External"/><Relationship Id="rId89" Type="http://schemas.openxmlformats.org/officeDocument/2006/relationships/hyperlink" Target="https://1drv.ms/b/c/a8f0902f6b5ae388/IQDLWIxtgMQiSomYtX1cavYuAUOL36gSmWjxNgkiftdRQBg?e=KiLE5h" TargetMode="External"/><Relationship Id="rId16" Type="http://schemas.openxmlformats.org/officeDocument/2006/relationships/hyperlink" Target="https://kitakushorinji.sakura.ne.jp/joukyuu/-3okuritukitaoshi.mp4" TargetMode="External"/><Relationship Id="rId11" Type="http://schemas.openxmlformats.org/officeDocument/2006/relationships/hyperlink" Target="https://kitakushorinji.sakura.ne.jp/joukyuu/-2kirikaeshitenbin.mp4" TargetMode="External"/><Relationship Id="rId32" Type="http://schemas.openxmlformats.org/officeDocument/2006/relationships/hyperlink" Target="https://kitakushorinji.sakura.ne.jp/joukyuu/-4katatenagekirikaeshi.m4v" TargetMode="External"/><Relationship Id="rId37" Type="http://schemas.openxmlformats.org/officeDocument/2006/relationships/hyperlink" Target="https://kitakushorinji.sakura.ne.jp/joukyuu/5okurihijizemeomote-1.m4v" TargetMode="External"/><Relationship Id="rId53" Type="http://schemas.openxmlformats.org/officeDocument/2006/relationships/hyperlink" Target="https://1drv.ms/b/c/a8f0902f6b5ae388/IQDJwiU8EXngSZLeVRwFI1nnAdGXlsL-Xccljt2eWfIY0dQ?e=e50GFK" TargetMode="External"/><Relationship Id="rId58" Type="http://schemas.openxmlformats.org/officeDocument/2006/relationships/hyperlink" Target="https://1drv.ms/b/c/a8f0902f6b5ae388/IQDCimVxtuBBTrn2NqPqoQLlAeP49ZWG1dhh28R4iIxwpZk?e=iyzVYv" TargetMode="External"/><Relationship Id="rId74" Type="http://schemas.openxmlformats.org/officeDocument/2006/relationships/hyperlink" Target="https://1drv.ms/b/c/a8f0902f6b5ae388/IQC--d01tQ-KTJBYFh7QJ03hAbnX2t6obNG0HKKFq6JayHQ?e=QXpFXV" TargetMode="External"/><Relationship Id="rId79" Type="http://schemas.openxmlformats.org/officeDocument/2006/relationships/hyperlink" Target="https://1drv.ms/b/c/a8f0902f6b5ae388/IQBrYvsfhyODR7EpKcgzOjBuAdF5mnWq5OLOMj-UI6vVWZM?e=buZGYe" TargetMode="External"/><Relationship Id="rId102" Type="http://schemas.openxmlformats.org/officeDocument/2006/relationships/hyperlink" Target="https://1drv.ms/b/c/a8f0902f6b5ae388/IQDeSDV4bSWEQ6n91g_449XhAfBXPCSlvB-guhhsBtVlH2g?e=1w6ok3" TargetMode="External"/><Relationship Id="rId5" Type="http://schemas.openxmlformats.org/officeDocument/2006/relationships/hyperlink" Target="https://kitakushorinji.sakura.ne.jp/joukyuu/-2sotomakitenbin.mp4" TargetMode="External"/><Relationship Id="rId90" Type="http://schemas.openxmlformats.org/officeDocument/2006/relationships/hyperlink" Target="https://1drv.ms/b/c/a8f0902f6b5ae388/IQDLWIxtgMQiSomYtX1cavYuAUOL36gSmWjxNgkiftdRQBg?e=KiLE5h" TargetMode="External"/><Relationship Id="rId95" Type="http://schemas.openxmlformats.org/officeDocument/2006/relationships/hyperlink" Target="https://1drv.ms/b/c/a8f0902f6b5ae388/IQDm7AGABlj3Rq_YRNuPPNcoAaizC_gkqWoKi8ze-kmTcsU?e=fTcxPr" TargetMode="External"/><Relationship Id="rId22" Type="http://schemas.openxmlformats.org/officeDocument/2006/relationships/hyperlink" Target="https://kitakushorinji.sakura.ne.jp/joukyuu/-3morotekirikaeshinage.mp4" TargetMode="External"/><Relationship Id="rId27" Type="http://schemas.openxmlformats.org/officeDocument/2006/relationships/hyperlink" Target="https://kitakushorinji.sakura.ne.jp/joukyuu/-4gasshougyakugote.m4v" TargetMode="External"/><Relationship Id="rId43" Type="http://schemas.openxmlformats.org/officeDocument/2006/relationships/hyperlink" Target="https://youtu.be/gYaO9D-3w5g?t=89" TargetMode="External"/><Relationship Id="rId48" Type="http://schemas.openxmlformats.org/officeDocument/2006/relationships/hyperlink" Target="https://youtu.be/gO795vfN_pQ?t=1064" TargetMode="External"/><Relationship Id="rId64" Type="http://schemas.openxmlformats.org/officeDocument/2006/relationships/hyperlink" Target="https://1drv.ms/b/c/a8f0902f6b5ae388/IQDk6i2jAKrzRIoVYomJJZ3NAYaGTyuRQB9JMJ5z-XI_0og?e=j0fcB4" TargetMode="External"/><Relationship Id="rId69" Type="http://schemas.openxmlformats.org/officeDocument/2006/relationships/hyperlink" Target="https://1drv.ms/b/c/a8f0902f6b5ae388/IQDk6i2jAKrzRIoVYomJJZ3NAYaGTyuRQB9JMJ5z-XI_0og?e=j0fcB4" TargetMode="External"/><Relationship Id="rId80" Type="http://schemas.openxmlformats.org/officeDocument/2006/relationships/hyperlink" Target="https://1drv.ms/b/c/a8f0902f6b5ae388/IQBrYvsfhyODR7EpKcgzOjBuAdF5mnWq5OLOMj-UI6vVWZM?e=buZGYe" TargetMode="External"/><Relationship Id="rId85" Type="http://schemas.openxmlformats.org/officeDocument/2006/relationships/hyperlink" Target="https://1drv.ms/b/c/a8f0902f6b5ae388/IQDde1dB9Lm7TpwSW5nFXuirAfHVbfY2sc-hHWv-a3Z06KM?e=DJfsuM" TargetMode="External"/><Relationship Id="rId12" Type="http://schemas.openxmlformats.org/officeDocument/2006/relationships/hyperlink" Target="https://kitakushorinji.sakura.ne.jp/joukyuu/-3nigirigaeshi.mp4" TargetMode="External"/><Relationship Id="rId17" Type="http://schemas.openxmlformats.org/officeDocument/2006/relationships/hyperlink" Target="https://kitakushorinji.sakura.ne.jp/joukyuu/-3okurishishidori.mp4" TargetMode="External"/><Relationship Id="rId25" Type="http://schemas.openxmlformats.org/officeDocument/2006/relationships/hyperlink" Target="https://kitakushorinji.sakura.ne.jp/joukyuu/-3idorigyakugote.mp4" TargetMode="External"/><Relationship Id="rId33" Type="http://schemas.openxmlformats.org/officeDocument/2006/relationships/hyperlink" Target="https://kitakushorinji.sakura.ne.jp/joukyuu/-4gasshoutyouji.m4v" TargetMode="External"/><Relationship Id="rId38" Type="http://schemas.openxmlformats.org/officeDocument/2006/relationships/hyperlink" Target="https://kitakushorinji.sakura.ne.jp/joukyuu/-5tyoujinage.m4v" TargetMode="External"/><Relationship Id="rId46" Type="http://schemas.openxmlformats.org/officeDocument/2006/relationships/hyperlink" Target="https://youtu.be/gO795vfN_pQ?t=769" TargetMode="External"/><Relationship Id="rId59" Type="http://schemas.openxmlformats.org/officeDocument/2006/relationships/hyperlink" Target="https://1drv.ms/b/c/a8f0902f6b5ae388/IQDCimVxtuBBTrn2NqPqoQLlAeP49ZWG1dhh28R4iIxwpZk?e=iyzVYv" TargetMode="External"/><Relationship Id="rId67" Type="http://schemas.openxmlformats.org/officeDocument/2006/relationships/hyperlink" Target="https://1drv.ms/b/c/a8f0902f6b5ae388/IQDk6i2jAKrzRIoVYomJJZ3NAYaGTyuRQB9JMJ5z-XI_0og?e=j0fcB4" TargetMode="External"/><Relationship Id="rId103" Type="http://schemas.openxmlformats.org/officeDocument/2006/relationships/printerSettings" Target="../printerSettings/printerSettings14.bin"/><Relationship Id="rId20" Type="http://schemas.openxmlformats.org/officeDocument/2006/relationships/hyperlink" Target="https://kitakushorinji.sakura.ne.jp/joukyuu/-3kirikaeshigote.mp4" TargetMode="External"/><Relationship Id="rId41" Type="http://schemas.openxmlformats.org/officeDocument/2006/relationships/hyperlink" Target="https://kitakushorinji.sakura.ne.jp/joukyuu/5okurigasshoukonoha-1.m4v" TargetMode="External"/><Relationship Id="rId54" Type="http://schemas.openxmlformats.org/officeDocument/2006/relationships/hyperlink" Target="https://1drv.ms/b/c/a8f0902f6b5ae388/IQDJwiU8EXngSZLeVRwFI1nnAdGXlsL-Xccljt2eWfIY0dQ?e=e50GFK" TargetMode="External"/><Relationship Id="rId62" Type="http://schemas.openxmlformats.org/officeDocument/2006/relationships/hyperlink" Target="https://1drv.ms/b/c/a8f0902f6b5ae388/IQA4goP1LZ9ARaSfQ5MVIaNqAQWfG8TyzlWnNVLQVOxf43g?e=Xfk5xB" TargetMode="External"/><Relationship Id="rId70" Type="http://schemas.openxmlformats.org/officeDocument/2006/relationships/hyperlink" Target="https://1drv.ms/b/c/a8f0902f6b5ae388/IQDk6i2jAKrzRIoVYomJJZ3NAYaGTyuRQB9JMJ5z-XI_0og?e=j0fcB4" TargetMode="External"/><Relationship Id="rId75" Type="http://schemas.openxmlformats.org/officeDocument/2006/relationships/hyperlink" Target="https://1drv.ms/b/c/a8f0902f6b5ae388/IQC--d01tQ-KTJBYFh7QJ03hAbnX2t6obNG0HKKFq6JayHQ?e=QXpFXV" TargetMode="External"/><Relationship Id="rId83" Type="http://schemas.openxmlformats.org/officeDocument/2006/relationships/hyperlink" Target="https://1drv.ms/b/c/a8f0902f6b5ae388/IQB78FZq8e42T60KxZhblWzQATNV_tauTrZTdJHGnsR_D0I?e=Dmg30B" TargetMode="External"/><Relationship Id="rId88" Type="http://schemas.openxmlformats.org/officeDocument/2006/relationships/hyperlink" Target="https://1drv.ms/b/c/a8f0902f6b5ae388/IQDLWIxtgMQiSomYtX1cavYuAUOL36gSmWjxNgkiftdRQBg?e=KiLE5h" TargetMode="External"/><Relationship Id="rId91" Type="http://schemas.openxmlformats.org/officeDocument/2006/relationships/hyperlink" Target="https://1drv.ms/b/c/a8f0902f6b5ae388/IQDLWIxtgMQiSomYtX1cavYuAUOL36gSmWjxNgkiftdRQBg?e=KiLE5h" TargetMode="External"/><Relationship Id="rId96" Type="http://schemas.openxmlformats.org/officeDocument/2006/relationships/hyperlink" Target="https://1drv.ms/b/c/a8f0902f6b5ae388/IQDm7AGABlj3Rq_YRNuPPNcoAaizC_gkqWoKi8ze-kmTcsU?e=fTcxPr" TargetMode="External"/><Relationship Id="rId1" Type="http://schemas.openxmlformats.org/officeDocument/2006/relationships/hyperlink" Target="https://kitakushorinji.sakura.ne.jp/joukyuu/-2morotegyakukotekumogarami.mp4" TargetMode="External"/><Relationship Id="rId6" Type="http://schemas.openxmlformats.org/officeDocument/2006/relationships/hyperlink" Target="https://kitakushorinji.sakura.ne.jp/joukyuu/-2moroteokurikotebakuhou.mp4" TargetMode="External"/><Relationship Id="rId15" Type="http://schemas.openxmlformats.org/officeDocument/2006/relationships/hyperlink" Target="https://kitakushorinji.sakura.ne.jp/joukyuu/-3okuriyubigaeshi.mp4" TargetMode="External"/><Relationship Id="rId23" Type="http://schemas.openxmlformats.org/officeDocument/2006/relationships/hyperlink" Target="https://kitakushorinji.sakura.ne.jp/joukyuu/-3konohagaeshi.mp4" TargetMode="External"/><Relationship Id="rId28" Type="http://schemas.openxmlformats.org/officeDocument/2006/relationships/hyperlink" Target="https://kitakushorinji.sakura.ne.jp/joukyuu/-4gyakugasshounage.m4v" TargetMode="External"/><Relationship Id="rId36" Type="http://schemas.openxmlformats.org/officeDocument/2006/relationships/hyperlink" Target="https://kitakushorinji.sakura.ne.jp/joukyuu/5omotekumadekaeshi-1.m4v" TargetMode="External"/><Relationship Id="rId49" Type="http://schemas.openxmlformats.org/officeDocument/2006/relationships/hyperlink" Target="https://1drv.ms/b/c/a8f0902f6b5ae388/IQAUdLowiMrtTYFkRz1bda6-AS4Ou7s1HtEa9GoAgDPW20Y?e=nXvcFQ" TargetMode="External"/><Relationship Id="rId57" Type="http://schemas.openxmlformats.org/officeDocument/2006/relationships/hyperlink" Target="https://1drv.ms/b/c/a8f0902f6b5ae388/IQDJwiU8EXngSZLeVRwFI1nnAdGXlsL-Xccljt2eWfIY0dQ?e=e50GFK" TargetMode="External"/><Relationship Id="rId10" Type="http://schemas.openxmlformats.org/officeDocument/2006/relationships/hyperlink" Target="https://kitakushorinji.sakura.ne.jp/joukyuu/-2kirikaeshimakitenbin.mp4" TargetMode="External"/><Relationship Id="rId31" Type="http://schemas.openxmlformats.org/officeDocument/2006/relationships/hyperlink" Target="https://kitakushorinji.sakura.ne.jp/joukyuu/-4kumadegaeshi.m4v" TargetMode="External"/><Relationship Id="rId44" Type="http://schemas.openxmlformats.org/officeDocument/2006/relationships/hyperlink" Target="https://youtu.be/gO795vfN_pQ?t=244" TargetMode="External"/><Relationship Id="rId52" Type="http://schemas.openxmlformats.org/officeDocument/2006/relationships/hyperlink" Target="https://1drv.ms/b/c/a8f0902f6b5ae388/IQDJwiU8EXngSZLeVRwFI1nnAdGXlsL-Xccljt2eWfIY0dQ?e=e50GFK" TargetMode="External"/><Relationship Id="rId60" Type="http://schemas.openxmlformats.org/officeDocument/2006/relationships/hyperlink" Target="https://1drv.ms/b/c/a8f0902f6b5ae388/IQDCimVxtuBBTrn2NqPqoQLlAeP49ZWG1dhh28R4iIxwpZk?e=iyzVYv" TargetMode="External"/><Relationship Id="rId65" Type="http://schemas.openxmlformats.org/officeDocument/2006/relationships/hyperlink" Target="https://1drv.ms/b/c/a8f0902f6b5ae388/IQDk6i2jAKrzRIoVYomJJZ3NAYaGTyuRQB9JMJ5z-XI_0og?e=j0fcB4" TargetMode="External"/><Relationship Id="rId73" Type="http://schemas.openxmlformats.org/officeDocument/2006/relationships/hyperlink" Target="https://1drv.ms/b/c/a8f0902f6b5ae388/IQC--d01tQ-KTJBYFh7QJ03hAbnX2t6obNG0HKKFq6JayHQ?e=QXpFXV" TargetMode="External"/><Relationship Id="rId78" Type="http://schemas.openxmlformats.org/officeDocument/2006/relationships/hyperlink" Target="https://1drv.ms/b/c/a8f0902f6b5ae388/IQBrYvsfhyODR7EpKcgzOjBuAdF5mnWq5OLOMj-UI6vVWZM?e=buZGYe" TargetMode="External"/><Relationship Id="rId81" Type="http://schemas.openxmlformats.org/officeDocument/2006/relationships/hyperlink" Target="https://1drv.ms/b/c/a8f0902f6b5ae388/IQB78FZq8e42T60KxZhblWzQATNV_tauTrZTdJHGnsR_D0I?e=Dmg30B" TargetMode="External"/><Relationship Id="rId86" Type="http://schemas.openxmlformats.org/officeDocument/2006/relationships/hyperlink" Target="https://1drv.ms/b/c/a8f0902f6b5ae388/IQDde1dB9Lm7TpwSW5nFXuirAfHVbfY2sc-hHWv-a3Z06KM?e=DJfsuM" TargetMode="External"/><Relationship Id="rId94" Type="http://schemas.openxmlformats.org/officeDocument/2006/relationships/hyperlink" Target="https://1drv.ms/b/c/a8f0902f6b5ae388/IQDm7AGABlj3Rq_YRNuPPNcoAaizC_gkqWoKi8ze-kmTcsU?e=fTcxPr" TargetMode="External"/><Relationship Id="rId99" Type="http://schemas.openxmlformats.org/officeDocument/2006/relationships/hyperlink" Target="https://1drv.ms/b/c/a8f0902f6b5ae388/IQDeSDV4bSWEQ6n91g_449XhAfBXPCSlvB-guhhsBtVlH2g?e=1w6ok3" TargetMode="External"/><Relationship Id="rId101" Type="http://schemas.openxmlformats.org/officeDocument/2006/relationships/hyperlink" Target="https://1drv.ms/b/c/a8f0902f6b5ae388/IQDeSDV4bSWEQ6n91g_449XhAfBXPCSlvB-guhhsBtVlH2g?e=1w6ok3" TargetMode="External"/><Relationship Id="rId4" Type="http://schemas.openxmlformats.org/officeDocument/2006/relationships/hyperlink" Target="https://kitakushorinji.sakura.ne.jp/joukyuu/-2ryuunage.mp4" TargetMode="External"/><Relationship Id="rId9" Type="http://schemas.openxmlformats.org/officeDocument/2006/relationships/hyperlink" Target="https://kitakushorinji.sakura.ne.jp/joukyuu/-2nukiutioshikote.mp4" TargetMode="External"/><Relationship Id="rId13" Type="http://schemas.openxmlformats.org/officeDocument/2006/relationships/hyperlink" Target="https://kitakushorinji.sakura.ne.jp/joukyuu/-3moroteokurikotenage.mp4" TargetMode="External"/><Relationship Id="rId18" Type="http://schemas.openxmlformats.org/officeDocument/2006/relationships/hyperlink" Target="https://kitakushorinji.sakura.ne.jp/joukyuu/-3furisuteomotenage.mp4" TargetMode="External"/><Relationship Id="rId39" Type="http://schemas.openxmlformats.org/officeDocument/2006/relationships/hyperlink" Target="https://kitakushorinji.sakura.ne.jp/joukyuu/-5gyakukonohagaeshi.m4v" TargetMode="External"/><Relationship Id="rId34" Type="http://schemas.openxmlformats.org/officeDocument/2006/relationships/hyperlink" Target="https://kitakushorinji.sakura.ne.jp/joukyuu/-4gasshoutukiotoshi.m4v" TargetMode="External"/><Relationship Id="rId50" Type="http://schemas.openxmlformats.org/officeDocument/2006/relationships/hyperlink" Target="https://1drv.ms/b/c/a8f0902f6b5ae388/IQD7mPaFOrdRT5THNIteXShWAW4Gr0lG1noMQ34e1Ufff6Q?e=thWg2N" TargetMode="External"/><Relationship Id="rId55" Type="http://schemas.openxmlformats.org/officeDocument/2006/relationships/hyperlink" Target="https://1drv.ms/b/c/a8f0902f6b5ae388/IQDJwiU8EXngSZLeVRwFI1nnAdGXlsL-Xccljt2eWfIY0dQ?e=e50GFK" TargetMode="External"/><Relationship Id="rId76" Type="http://schemas.openxmlformats.org/officeDocument/2006/relationships/hyperlink" Target="https://1drv.ms/b/c/a8f0902f6b5ae388/IQC--d01tQ-KTJBYFh7QJ03hAbnX2t6obNG0HKKFq6JayHQ?e=QXpFXV" TargetMode="External"/><Relationship Id="rId97" Type="http://schemas.openxmlformats.org/officeDocument/2006/relationships/hyperlink" Target="https://1drv.ms/b/c/a8f0902f6b5ae388/IQDm7AGABlj3Rq_YRNuPPNcoAaizC_gkqWoKi8ze-kmTcsU?e=fTcxPr" TargetMode="External"/><Relationship Id="rId7" Type="http://schemas.openxmlformats.org/officeDocument/2006/relationships/hyperlink" Target="https://kitakushorinji.sakura.ne.jp/joukyuu/-2turiotoshi.mp4" TargetMode="External"/><Relationship Id="rId71" Type="http://schemas.openxmlformats.org/officeDocument/2006/relationships/hyperlink" Target="https://1drv.ms/b/c/a8f0902f6b5ae388/IQDk6i2jAKrzRIoVYomJJZ3NAYaGTyuRQB9JMJ5z-XI_0og?e=j0fcB4" TargetMode="External"/><Relationship Id="rId92" Type="http://schemas.openxmlformats.org/officeDocument/2006/relationships/hyperlink" Target="https://1drv.ms/b/c/a8f0902f6b5ae388/IQDLWIxtgMQiSomYtX1cavYuAUOL36gSmWjxNgkiftdRQBg?e=KiLE5h" TargetMode="External"/><Relationship Id="rId2" Type="http://schemas.openxmlformats.org/officeDocument/2006/relationships/hyperlink" Target="https://kitakushorinji.sakura.ne.jp/joukyuu/-2gyakutenage.mp4" TargetMode="External"/><Relationship Id="rId29" Type="http://schemas.openxmlformats.org/officeDocument/2006/relationships/hyperlink" Target="https://kitakushorinji.sakura.ne.jp/joukyuu/-4okurigasshou.m4v" TargetMode="External"/><Relationship Id="rId24" Type="http://schemas.openxmlformats.org/officeDocument/2006/relationships/hyperlink" Target="https://kitakushorinji.sakura.ne.jp/joukyuu/-3idoriokurigote.mp4" TargetMode="External"/><Relationship Id="rId40" Type="http://schemas.openxmlformats.org/officeDocument/2006/relationships/hyperlink" Target="https://kitakushorinji.sakura.ne.jp/joukyuu/5konohatyouji-1.m4v" TargetMode="External"/><Relationship Id="rId45" Type="http://schemas.openxmlformats.org/officeDocument/2006/relationships/hyperlink" Target="https://youtu.be/gO795vfN_pQ?t=509" TargetMode="External"/><Relationship Id="rId66" Type="http://schemas.openxmlformats.org/officeDocument/2006/relationships/hyperlink" Target="https://1drv.ms/b/c/a8f0902f6b5ae388/IQDk6i2jAKrzRIoVYomJJZ3NAYaGTyuRQB9JMJ5z-XI_0og?e=j0fcB4" TargetMode="External"/><Relationship Id="rId87" Type="http://schemas.openxmlformats.org/officeDocument/2006/relationships/hyperlink" Target="https://1drv.ms/b/c/a8f0902f6b5ae388/IQDLWIxtgMQiSomYtX1cavYuAUOL36gSmWjxNgkiftdRQBg?e=KiLE5h" TargetMode="External"/><Relationship Id="rId61" Type="http://schemas.openxmlformats.org/officeDocument/2006/relationships/hyperlink" Target="https://1drv.ms/b/c/a8f0902f6b5ae388/IQDCimVxtuBBTrn2NqPqoQLlAeP49ZWG1dhh28R4iIxwpZk?e=iyzVYv" TargetMode="External"/><Relationship Id="rId82" Type="http://schemas.openxmlformats.org/officeDocument/2006/relationships/hyperlink" Target="https://1drv.ms/b/c/a8f0902f6b5ae388/IQB78FZq8e42T60KxZhblWzQATNV_tauTrZTdJHGnsR_D0I?e=Dmg30B" TargetMode="External"/><Relationship Id="rId19" Type="http://schemas.openxmlformats.org/officeDocument/2006/relationships/hyperlink" Target="https://kitakushorinji.sakura.ne.jp/joukyuu/-3koshikujiki.mp4" TargetMode="External"/><Relationship Id="rId14" Type="http://schemas.openxmlformats.org/officeDocument/2006/relationships/hyperlink" Target="https://kitakushorinji.sakura.ne.jp/joukyuu/-3konohaokuri.mp4" TargetMode="External"/><Relationship Id="rId30" Type="http://schemas.openxmlformats.org/officeDocument/2006/relationships/hyperlink" Target="https://kitakushorinji.sakura.ne.jp/joukyuu/-4kumadegaeshi.m4v" TargetMode="External"/><Relationship Id="rId35" Type="http://schemas.openxmlformats.org/officeDocument/2006/relationships/hyperlink" Target="https://kitakushorinji.sakura.ne.jp/joukyuu/-5okurikannukigote.m4v" TargetMode="External"/><Relationship Id="rId56" Type="http://schemas.openxmlformats.org/officeDocument/2006/relationships/hyperlink" Target="https://1drv.ms/b/c/a8f0902f6b5ae388/IQDJwiU8EXngSZLeVRwFI1nnAdGXlsL-Xccljt2eWfIY0dQ?e=e50GFK" TargetMode="External"/><Relationship Id="rId77" Type="http://schemas.openxmlformats.org/officeDocument/2006/relationships/hyperlink" Target="https://1drv.ms/b/c/a8f0902f6b5ae388/IQBrYvsfhyODR7EpKcgzOjBuAdF5mnWq5OLOMj-UI6vVWZM?e=buZGYe" TargetMode="External"/><Relationship Id="rId100" Type="http://schemas.openxmlformats.org/officeDocument/2006/relationships/hyperlink" Target="https://1drv.ms/b/c/a8f0902f6b5ae388/IQDeSDV4bSWEQ6n91g_449XhAfBXPCSlvB-guhhsBtVlH2g?e=1w6ok3" TargetMode="External"/><Relationship Id="rId8" Type="http://schemas.openxmlformats.org/officeDocument/2006/relationships/hyperlink" Target="https://kitakushorinji.sakura.ne.jp/joukyuu/-2okurihijizeme.mp4" TargetMode="External"/><Relationship Id="rId51" Type="http://schemas.openxmlformats.org/officeDocument/2006/relationships/hyperlink" Target="https://1drv.ms/b/c/a8f0902f6b5ae388/IQD7mPaFOrdRT5THNIteXShWAW4Gr0lG1noMQ34e1Ufff6Q?e=thWg2N" TargetMode="External"/><Relationship Id="rId72" Type="http://schemas.openxmlformats.org/officeDocument/2006/relationships/hyperlink" Target="https://1drv.ms/b/c/a8f0902f6b5ae388/IQC--d01tQ-KTJBYFh7QJ03hAbnX2t6obNG0HKKFq6JayHQ?e=QXpFXV" TargetMode="External"/><Relationship Id="rId93" Type="http://schemas.openxmlformats.org/officeDocument/2006/relationships/hyperlink" Target="https://1drv.ms/b/c/a8f0902f6b5ae388/IQDm7AGABlj3Rq_YRNuPPNcoAaizC_gkqWoKi8ze-kmTcsU?e=fTcxPr" TargetMode="External"/><Relationship Id="rId98" Type="http://schemas.openxmlformats.org/officeDocument/2006/relationships/hyperlink" Target="https://1drv.ms/b/c/a8f0902f6b5ae388/IQDeSDV4bSWEQ6n91g_449XhAfBXPCSlvB-guhhsBtVlH2g?e=1w6ok3" TargetMode="External"/><Relationship Id="rId3" Type="http://schemas.openxmlformats.org/officeDocument/2006/relationships/hyperlink" Target="https://kitakushorinji.sakura.ne.jp/joukyuu/-2shitaukekerikotenage.mp4"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kitakushorinji.sakura.ne.jp/joukyuu/-4gasshoukatatenage.mp4" TargetMode="External"/><Relationship Id="rId18" Type="http://schemas.openxmlformats.org/officeDocument/2006/relationships/hyperlink" Target="https://kitakushorinji.sakura.ne.jp/joukyuu/-5kannukinaitenbin.m4v" TargetMode="External"/><Relationship Id="rId26" Type="http://schemas.openxmlformats.org/officeDocument/2006/relationships/hyperlink" Target="https://1drv.ms/b/c/a8f0902f6b5ae388/IQBRAsSBV_-eS5gtp5xw_NxzASq9vDjXFWBLhTMWyA92hyA?e=iGeTLA" TargetMode="External"/><Relationship Id="rId39" Type="http://schemas.openxmlformats.org/officeDocument/2006/relationships/hyperlink" Target="https://1drv.ms/b/c/a8f0902f6b5ae388/IQAGwcs_G-Y5T7rm1vNk5Cs5AePCaisHScIaAEXlEKT4Exk?e=MQzhtq" TargetMode="External"/><Relationship Id="rId21" Type="http://schemas.openxmlformats.org/officeDocument/2006/relationships/hyperlink" Target="https://youtu.be/x5hFL_p7YiI?t=842" TargetMode="External"/><Relationship Id="rId34" Type="http://schemas.openxmlformats.org/officeDocument/2006/relationships/hyperlink" Target="https://1drv.ms/b/c/a8f0902f6b5ae388/IQCrIZSIIFcCRaYSwb3QROwPAep0X2z6vfH5s1lm8Nw0QMk?e=NKG3RC" TargetMode="External"/><Relationship Id="rId42" Type="http://schemas.openxmlformats.org/officeDocument/2006/relationships/hyperlink" Target="https://1drv.ms/b/c/a8f0902f6b5ae388/IQDgbMqRb3l-QZ1ly2T7Xz6CAWLh8Cjt6Vw7nogaHz_hE4E?e=YLTJDx" TargetMode="External"/><Relationship Id="rId47" Type="http://schemas.openxmlformats.org/officeDocument/2006/relationships/hyperlink" Target="https://1drv.ms/b/c/a8f0902f6b5ae388/IQCZ4YUDCFyUSb9aJpfei0RJAZXVRljCgxeboY9-4rWQxQY?e=5XyvI9" TargetMode="External"/><Relationship Id="rId7" Type="http://schemas.openxmlformats.org/officeDocument/2006/relationships/hyperlink" Target="https://kitakushorinji.sakura.ne.jp/joukyuu/-3gyakukatatenage.mp4" TargetMode="External"/><Relationship Id="rId2" Type="http://schemas.openxmlformats.org/officeDocument/2006/relationships/hyperlink" Target="https://kitakushorinji.sakura.ne.jp/joukyuu/-2uwaukegyakute.mp4" TargetMode="External"/><Relationship Id="rId16" Type="http://schemas.openxmlformats.org/officeDocument/2006/relationships/hyperlink" Target="https://kitakushorinji.sakura.ne.jp/joukyuu/5katatekannuki-1.m4v" TargetMode="External"/><Relationship Id="rId29" Type="http://schemas.openxmlformats.org/officeDocument/2006/relationships/hyperlink" Target="https://1drv.ms/b/c/a8f0902f6b5ae388/IQCrIZSIIFcCRaYSwb3QROwPAep0X2z6vfH5s1lm8Nw0QMk?e=NKG3RC" TargetMode="External"/><Relationship Id="rId11" Type="http://schemas.openxmlformats.org/officeDocument/2006/relationships/hyperlink" Target="https://kitakushorinji.sakura.ne.jp/joukyuu/-4oshiukenage.m4v" TargetMode="External"/><Relationship Id="rId24" Type="http://schemas.openxmlformats.org/officeDocument/2006/relationships/hyperlink" Target="https://1drv.ms/b/c/a8f0902f6b5ae388/IQAOBCGfhXQfTrc3HuTI9qEvAVd6ApxMjvQi3qFBkPqjWZ0?e=DnbcU0" TargetMode="External"/><Relationship Id="rId32" Type="http://schemas.openxmlformats.org/officeDocument/2006/relationships/hyperlink" Target="https://1drv.ms/b/c/a8f0902f6b5ae388/IQCrIZSIIFcCRaYSwb3QROwPAep0X2z6vfH5s1lm8Nw0QMk?e=NKG3RC" TargetMode="External"/><Relationship Id="rId37" Type="http://schemas.openxmlformats.org/officeDocument/2006/relationships/hyperlink" Target="https://1drv.ms/b/c/a8f0902f6b5ae388/IQAGwcs_G-Y5T7rm1vNk5Cs5AePCaisHScIaAEXlEKT4Exk?e=MQzhtq" TargetMode="External"/><Relationship Id="rId40" Type="http://schemas.openxmlformats.org/officeDocument/2006/relationships/hyperlink" Target="https://1drv.ms/b/c/a8f0902f6b5ae388/IQAGwcs_G-Y5T7rm1vNk5Cs5AePCaisHScIaAEXlEKT4Exk?e=MQzhtq" TargetMode="External"/><Relationship Id="rId45" Type="http://schemas.openxmlformats.org/officeDocument/2006/relationships/hyperlink" Target="https://1drv.ms/b/c/a8f0902f6b5ae388/IQDgbMqRb3l-QZ1ly2T7Xz6CAWLh8Cjt6Vw7nogaHz_hE4E?e=YLTJDx" TargetMode="External"/><Relationship Id="rId5" Type="http://schemas.openxmlformats.org/officeDocument/2006/relationships/hyperlink" Target="https://kitakushorinji.sakura.ne.jp/joukyuu/-3katatenage.mp4" TargetMode="External"/><Relationship Id="rId15" Type="http://schemas.openxmlformats.org/officeDocument/2006/relationships/hyperlink" Target="https://kitakushorinji.sakura.ne.jp/joukyuu/-5kannukikatatenage.m4v" TargetMode="External"/><Relationship Id="rId23" Type="http://schemas.openxmlformats.org/officeDocument/2006/relationships/hyperlink" Target="https://1drv.ms/b/c/a8f0902f6b5ae388/IQAOBCGfhXQfTrc3HuTI9qEvAVd6ApxMjvQi3qFBkPqjWZ0?e=DnbcU0" TargetMode="External"/><Relationship Id="rId28" Type="http://schemas.openxmlformats.org/officeDocument/2006/relationships/hyperlink" Target="https://1drv.ms/b/c/a8f0902f6b5ae388/IQBRAsSBV_-eS5gtp5xw_NxzASq9vDjXFWBLhTMWyA92hyA?e=iGeTLA" TargetMode="External"/><Relationship Id="rId36" Type="http://schemas.openxmlformats.org/officeDocument/2006/relationships/hyperlink" Target="https://1drv.ms/b/c/a8f0902f6b5ae388/IQAGwcs_G-Y5T7rm1vNk5Cs5AePCaisHScIaAEXlEKT4Exk?e=MQzhtq" TargetMode="External"/><Relationship Id="rId49" Type="http://schemas.openxmlformats.org/officeDocument/2006/relationships/printerSettings" Target="../printerSettings/printerSettings15.bin"/><Relationship Id="rId10" Type="http://schemas.openxmlformats.org/officeDocument/2006/relationships/hyperlink" Target="https://kitakushorinji.sakura.ne.jp/joukyuu/-3gasshouhikitenbin.mp4" TargetMode="External"/><Relationship Id="rId19" Type="http://schemas.openxmlformats.org/officeDocument/2006/relationships/hyperlink" Target="https://kitakushorinji.sakura.ne.jp/joukyuu/-5osaekannukinage.m4v" TargetMode="External"/><Relationship Id="rId31" Type="http://schemas.openxmlformats.org/officeDocument/2006/relationships/hyperlink" Target="https://1drv.ms/b/c/a8f0902f6b5ae388/IQCrIZSIIFcCRaYSwb3QROwPAep0X2z6vfH5s1lm8Nw0QMk?e=NKG3RC" TargetMode="External"/><Relationship Id="rId44" Type="http://schemas.openxmlformats.org/officeDocument/2006/relationships/hyperlink" Target="https://1drv.ms/b/c/a8f0902f6b5ae388/IQDgbMqRb3l-QZ1ly2T7Xz6CAWLh8Cjt6Vw7nogaHz_hE4E?e=YLTJDx" TargetMode="External"/><Relationship Id="rId4" Type="http://schemas.openxmlformats.org/officeDocument/2006/relationships/hyperlink" Target="https://kitakushorinji.sakura.ne.jp/joukyuu/-2gyakuhikitenbin.mp4" TargetMode="External"/><Relationship Id="rId9" Type="http://schemas.openxmlformats.org/officeDocument/2006/relationships/hyperlink" Target="https://kitakushorinji.sakura.ne.jp/joukyuu/-3morotekatatenage.mp4" TargetMode="External"/><Relationship Id="rId14" Type="http://schemas.openxmlformats.org/officeDocument/2006/relationships/hyperlink" Target="https://kitakushorinji.sakura.ne.jp/joukyuu/-4kannukigaitenbin.m4v" TargetMode="External"/><Relationship Id="rId22" Type="http://schemas.openxmlformats.org/officeDocument/2006/relationships/hyperlink" Target="https://youtu.be/drHIg2kaM_4?t=976" TargetMode="External"/><Relationship Id="rId27" Type="http://schemas.openxmlformats.org/officeDocument/2006/relationships/hyperlink" Target="https://1drv.ms/b/c/a8f0902f6b5ae388/IQBRAsSBV_-eS5gtp5xw_NxzASq9vDjXFWBLhTMWyA92hyA?e=iGeTLA" TargetMode="External"/><Relationship Id="rId30" Type="http://schemas.openxmlformats.org/officeDocument/2006/relationships/hyperlink" Target="https://1drv.ms/b/c/a8f0902f6b5ae388/IQCrIZSIIFcCRaYSwb3QROwPAep0X2z6vfH5s1lm8Nw0QMk?e=NKG3RC" TargetMode="External"/><Relationship Id="rId35" Type="http://schemas.openxmlformats.org/officeDocument/2006/relationships/hyperlink" Target="https://1drv.ms/b/c/a8f0902f6b5ae388/IQAGwcs_G-Y5T7rm1vNk5Cs5AePCaisHScIaAEXlEKT4Exk?e=MQzhtq" TargetMode="External"/><Relationship Id="rId43" Type="http://schemas.openxmlformats.org/officeDocument/2006/relationships/hyperlink" Target="https://1drv.ms/b/c/a8f0902f6b5ae388/IQDgbMqRb3l-QZ1ly2T7Xz6CAWLh8Cjt6Vw7nogaHz_hE4E?e=YLTJDx" TargetMode="External"/><Relationship Id="rId48" Type="http://schemas.openxmlformats.org/officeDocument/2006/relationships/hyperlink" Target="https://1drv.ms/b/c/a8f0902f6b5ae388/IQCZ4YUDCFyUSb9aJpfei0RJAZXVRljCgxeboY9-4rWQxQY?e=5XyvI9" TargetMode="External"/><Relationship Id="rId8" Type="http://schemas.openxmlformats.org/officeDocument/2006/relationships/hyperlink" Target="https://kitakushorinji.sakura.ne.jp/joukyuu/-3ryoutekatatenage.mp4" TargetMode="External"/><Relationship Id="rId3" Type="http://schemas.openxmlformats.org/officeDocument/2006/relationships/hyperlink" Target="https://kitakushorinji.sakura.ne.jp/joukyuu/-2hikitenbin.mp4" TargetMode="External"/><Relationship Id="rId12" Type="http://schemas.openxmlformats.org/officeDocument/2006/relationships/hyperlink" Target="https://kitakushorinji.sakura.ne.jp/joukyuu/-4oshiukemakinage.m4v" TargetMode="External"/><Relationship Id="rId17" Type="http://schemas.openxmlformats.org/officeDocument/2006/relationships/hyperlink" Target="https://kitakushorinji.sakura.ne.jp/joukyuu/-5ryoutekannukinage.m4v" TargetMode="External"/><Relationship Id="rId25" Type="http://schemas.openxmlformats.org/officeDocument/2006/relationships/hyperlink" Target="https://1drv.ms/b/c/a8f0902f6b5ae388/IQAOBCGfhXQfTrc3HuTI9qEvAVd6ApxMjvQi3qFBkPqjWZ0?e=DnbcU0" TargetMode="External"/><Relationship Id="rId33" Type="http://schemas.openxmlformats.org/officeDocument/2006/relationships/hyperlink" Target="https://1drv.ms/b/c/a8f0902f6b5ae388/IQCrIZSIIFcCRaYSwb3QROwPAep0X2z6vfH5s1lm8Nw0QMk?e=NKG3RC" TargetMode="External"/><Relationship Id="rId38" Type="http://schemas.openxmlformats.org/officeDocument/2006/relationships/hyperlink" Target="https://1drv.ms/b/c/a8f0902f6b5ae388/IQAGwcs_G-Y5T7rm1vNk5Cs5AePCaisHScIaAEXlEKT4Exk?e=MQzhtq" TargetMode="External"/><Relationship Id="rId46" Type="http://schemas.openxmlformats.org/officeDocument/2006/relationships/hyperlink" Target="https://1drv.ms/b/c/a8f0902f6b5ae388/IQCZ4YUDCFyUSb9aJpfei0RJAZXVRljCgxeboY9-4rWQxQY?e=5XyvI9" TargetMode="External"/><Relationship Id="rId20" Type="http://schemas.openxmlformats.org/officeDocument/2006/relationships/hyperlink" Target="https://youtu.be/VW7-Qjfegok?t=838" TargetMode="External"/><Relationship Id="rId41" Type="http://schemas.openxmlformats.org/officeDocument/2006/relationships/hyperlink" Target="https://1drv.ms/b/c/a8f0902f6b5ae388/IQDgbMqRb3l-QZ1ly2T7Xz6CAWLh8Cjt6Vw7nogaHz_hE4E?e=YLTJDx" TargetMode="External"/><Relationship Id="rId1" Type="http://schemas.openxmlformats.org/officeDocument/2006/relationships/hyperlink" Target="https://kitakushorinji.sakura.ne.jp/joukyuu/-2uwaukenage.mp4" TargetMode="External"/><Relationship Id="rId6" Type="http://schemas.openxmlformats.org/officeDocument/2006/relationships/hyperlink" Target="https://kitakushorinji.sakura.ne.jp/joukyuu/-3okurikatatenage.mp4"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kitakushorinji.sakura.ne.jp/joukyuu/-3gasshouokuridori.mp4" TargetMode="External"/><Relationship Id="rId18" Type="http://schemas.openxmlformats.org/officeDocument/2006/relationships/hyperlink" Target="https://kitakushorinji.sakura.ne.jp/joukyuu/-5sotogyakutedori.m4v" TargetMode="External"/><Relationship Id="rId26" Type="http://schemas.openxmlformats.org/officeDocument/2006/relationships/hyperlink" Target="https://1drv.ms/b/c/a8f0902f6b5ae388/IQDUja24671oQpmVEcrqQMhUAQ4fFrO8xp1Q3kby59f_H0A?e=KrHpbi" TargetMode="External"/><Relationship Id="rId39" Type="http://schemas.openxmlformats.org/officeDocument/2006/relationships/hyperlink" Target="https://1drv.ms/b/c/a8f0902f6b5ae388/IQBSn8gFN_NbSZt9oChYFk_EARpPDMPaI49YFpn3j8w4f0Q?e=JwC3HI" TargetMode="External"/><Relationship Id="rId21" Type="http://schemas.openxmlformats.org/officeDocument/2006/relationships/hyperlink" Target="https://1drv.ms/b/c/a8f0902f6b5ae388/IQD83QVRTndxT5Ftkx4pgXRjAYylxWZsE955SoePmeCnAx8?e=Krcwjn" TargetMode="External"/><Relationship Id="rId34" Type="http://schemas.openxmlformats.org/officeDocument/2006/relationships/hyperlink" Target="https://1drv.ms/b/c/a8f0902f6b5ae388/IQAvYEsKZrs-S5ihvtoMDzptARaWrh0sX9O1KZInraiVfLQ?e=WW0peS" TargetMode="External"/><Relationship Id="rId42" Type="http://schemas.openxmlformats.org/officeDocument/2006/relationships/hyperlink" Target="https://1drv.ms/b/c/a8f0902f6b5ae388/IQBSn8gFN_NbSZt9oChYFk_EARpPDMPaI49YFpn3j8w4f0Q?e=JwC3HI" TargetMode="External"/><Relationship Id="rId47" Type="http://schemas.openxmlformats.org/officeDocument/2006/relationships/hyperlink" Target="https://1drv.ms/b/c/a8f0902f6b5ae388/IQCdfXjxbZm0SZta_h4yK3f1AUp33zuArX6a5l2OfhoZfVw?e=9bJf6x" TargetMode="External"/><Relationship Id="rId7" Type="http://schemas.openxmlformats.org/officeDocument/2006/relationships/hyperlink" Target="https://kitakushorinji.sakura.ne.jp/joukyuu/-2kumogarami.mp4" TargetMode="External"/><Relationship Id="rId2" Type="http://schemas.openxmlformats.org/officeDocument/2006/relationships/hyperlink" Target="https://kitakushorinji.sakura.ne.jp/joukyuu/-2okuritenbindoriokurikote.mp4" TargetMode="External"/><Relationship Id="rId16" Type="http://schemas.openxmlformats.org/officeDocument/2006/relationships/hyperlink" Target="https://kitakushorinji.sakura.ne.jp/joukyuu/-4maeudegatame.jpeg" TargetMode="External"/><Relationship Id="rId29" Type="http://schemas.openxmlformats.org/officeDocument/2006/relationships/hyperlink" Target="https://1drv.ms/b/c/a8f0902f6b5ae388/IQDUja24671oQpmVEcrqQMhUAQ4fFrO8xp1Q3kby59f_H0A?e=KrHpbi" TargetMode="External"/><Relationship Id="rId1" Type="http://schemas.openxmlformats.org/officeDocument/2006/relationships/hyperlink" Target="https://kitakushorinji.sakura.ne.jp/joukyuu/-2okuritenbindori.mp4" TargetMode="External"/><Relationship Id="rId6" Type="http://schemas.openxmlformats.org/officeDocument/2006/relationships/hyperlink" Target="https://kitakushorinji.sakura.ne.jp/joukyuu/-2turiageuragatame.mp4" TargetMode="External"/><Relationship Id="rId11" Type="http://schemas.openxmlformats.org/officeDocument/2006/relationships/hyperlink" Target="https://kitakushorinji.sakura.ne.jp/joukyuu/-3osaeyubi.mp4" TargetMode="External"/><Relationship Id="rId24" Type="http://schemas.openxmlformats.org/officeDocument/2006/relationships/hyperlink" Target="https://1drv.ms/b/c/a8f0902f6b5ae388/IQDUja24671oQpmVEcrqQMhUAQ4fFrO8xp1Q3kby59f_H0A?e=KrHpbi" TargetMode="External"/><Relationship Id="rId32" Type="http://schemas.openxmlformats.org/officeDocument/2006/relationships/hyperlink" Target="https://1drv.ms/b/c/a8f0902f6b5ae388/IQAvYEsKZrs-S5ihvtoMDzptARaWrh0sX9O1KZInraiVfLQ?e=WW0peS" TargetMode="External"/><Relationship Id="rId37" Type="http://schemas.openxmlformats.org/officeDocument/2006/relationships/hyperlink" Target="https://1drv.ms/b/c/a8f0902f6b5ae388/IQBSn8gFN_NbSZt9oChYFk_EARpPDMPaI49YFpn3j8w4f0Q?e=JwC3HI" TargetMode="External"/><Relationship Id="rId40" Type="http://schemas.openxmlformats.org/officeDocument/2006/relationships/hyperlink" Target="https://1drv.ms/b/c/a8f0902f6b5ae388/IQBSn8gFN_NbSZt9oChYFk_EARpPDMPaI49YFpn3j8w4f0Q?e=JwC3HI" TargetMode="External"/><Relationship Id="rId45" Type="http://schemas.openxmlformats.org/officeDocument/2006/relationships/hyperlink" Target="https://1drv.ms/b/c/a8f0902f6b5ae388/IQCdfXjxbZm0SZta_h4yK3f1AUp33zuArX6a5l2OfhoZfVw?e=9bJf6x" TargetMode="External"/><Relationship Id="rId5" Type="http://schemas.openxmlformats.org/officeDocument/2006/relationships/hyperlink" Target="https://kitakushorinji.sakura.ne.jp/joukyuu/-2turiagedori.mp4" TargetMode="External"/><Relationship Id="rId15" Type="http://schemas.openxmlformats.org/officeDocument/2006/relationships/hyperlink" Target="https://kitakushorinji.sakura.ne.jp/joukyuu/-4kannukiokuri.m4v" TargetMode="External"/><Relationship Id="rId23" Type="http://schemas.openxmlformats.org/officeDocument/2006/relationships/hyperlink" Target="https://1drv.ms/b/c/a8f0902f6b5ae388/IQDUja24671oQpmVEcrqQMhUAQ4fFrO8xp1Q3kby59f_H0A?e=KrHpbi" TargetMode="External"/><Relationship Id="rId28" Type="http://schemas.openxmlformats.org/officeDocument/2006/relationships/hyperlink" Target="https://1drv.ms/b/c/a8f0902f6b5ae388/IQDUja24671oQpmVEcrqQMhUAQ4fFrO8xp1Q3kby59f_H0A?e=KrHpbi" TargetMode="External"/><Relationship Id="rId36" Type="http://schemas.openxmlformats.org/officeDocument/2006/relationships/hyperlink" Target="https://1drv.ms/b/c/a8f0902f6b5ae388/IQAvYEsKZrs-S5ihvtoMDzptARaWrh0sX9O1KZInraiVfLQ?e=WW0peS" TargetMode="External"/><Relationship Id="rId10" Type="http://schemas.openxmlformats.org/officeDocument/2006/relationships/hyperlink" Target="https://kitakushorinji.sakura.ne.jp/joukyuu/-2ryuugatame.mp4" TargetMode="External"/><Relationship Id="rId19" Type="http://schemas.openxmlformats.org/officeDocument/2006/relationships/hyperlink" Target="https://kitakushorinji.sakura.ne.jp/joukyuu/-5utigyakutedori.m4v" TargetMode="External"/><Relationship Id="rId31" Type="http://schemas.openxmlformats.org/officeDocument/2006/relationships/hyperlink" Target="https://1drv.ms/b/c/a8f0902f6b5ae388/IQAvYEsKZrs-S5ihvtoMDzptARaWrh0sX9O1KZInraiVfLQ?e=WW0peS" TargetMode="External"/><Relationship Id="rId44" Type="http://schemas.openxmlformats.org/officeDocument/2006/relationships/hyperlink" Target="https://1drv.ms/b/c/a8f0902f6b5ae388/IQBSn8gFN_NbSZt9oChYFk_EARpPDMPaI49YFpn3j8w4f0Q?e=JwC3HI" TargetMode="External"/><Relationship Id="rId4" Type="http://schemas.openxmlformats.org/officeDocument/2006/relationships/hyperlink" Target="https://kitakushorinji.sakura.ne.jp/joukyuu/-2sekoshiitiji.mp4" TargetMode="External"/><Relationship Id="rId9" Type="http://schemas.openxmlformats.org/officeDocument/2006/relationships/hyperlink" Target="https://kitakushorinji.sakura.ne.jp/joukyuu/-2urahijigatame.mp4" TargetMode="External"/><Relationship Id="rId14" Type="http://schemas.openxmlformats.org/officeDocument/2006/relationships/hyperlink" Target="https://kitakushorinji.sakura.ne.jp/joukyuu/-3gyakutegatame.mp4" TargetMode="External"/><Relationship Id="rId22" Type="http://schemas.openxmlformats.org/officeDocument/2006/relationships/hyperlink" Target="https://1drv.ms/b/c/a8f0902f6b5ae388/IQDUja24671oQpmVEcrqQMhUAQ4fFrO8xp1Q3kby59f_H0A?e=KrHpbi" TargetMode="External"/><Relationship Id="rId27" Type="http://schemas.openxmlformats.org/officeDocument/2006/relationships/hyperlink" Target="https://1drv.ms/b/c/a8f0902f6b5ae388/IQDUja24671oQpmVEcrqQMhUAQ4fFrO8xp1Q3kby59f_H0A?e=KrHpbi" TargetMode="External"/><Relationship Id="rId30" Type="http://schemas.openxmlformats.org/officeDocument/2006/relationships/hyperlink" Target="https://1drv.ms/b/c/a8f0902f6b5ae388/IQAvYEsKZrs-S5ihvtoMDzptARaWrh0sX9O1KZInraiVfLQ?e=WW0peS" TargetMode="External"/><Relationship Id="rId35" Type="http://schemas.openxmlformats.org/officeDocument/2006/relationships/hyperlink" Target="https://1drv.ms/b/c/a8f0902f6b5ae388/IQAvYEsKZrs-S5ihvtoMDzptARaWrh0sX9O1KZInraiVfLQ?e=WW0peS" TargetMode="External"/><Relationship Id="rId43" Type="http://schemas.openxmlformats.org/officeDocument/2006/relationships/hyperlink" Target="https://1drv.ms/b/c/a8f0902f6b5ae388/IQBSn8gFN_NbSZt9oChYFk_EARpPDMPaI49YFpn3j8w4f0Q?e=JwC3HI" TargetMode="External"/><Relationship Id="rId48" Type="http://schemas.openxmlformats.org/officeDocument/2006/relationships/printerSettings" Target="../printerSettings/printerSettings16.bin"/><Relationship Id="rId8" Type="http://schemas.openxmlformats.org/officeDocument/2006/relationships/hyperlink" Target="https://kitakushorinji.sakura.ne.jp/tyuukyuu/-2uragasshou.mp4" TargetMode="External"/><Relationship Id="rId3" Type="http://schemas.openxmlformats.org/officeDocument/2006/relationships/hyperlink" Target="https://kitakushorinji.sakura.ne.jp/joukyuu/-2tatiitiji.mp4" TargetMode="External"/><Relationship Id="rId12" Type="http://schemas.openxmlformats.org/officeDocument/2006/relationships/hyperlink" Target="https://kitakushorinji.sakura.ne.jp/joukyuu/-3konohagatame.mp4" TargetMode="External"/><Relationship Id="rId17" Type="http://schemas.openxmlformats.org/officeDocument/2006/relationships/hyperlink" Target="https://kitakushorinji.sakura.ne.jp/joukyuu/4sankakugatame.jpeg" TargetMode="External"/><Relationship Id="rId25" Type="http://schemas.openxmlformats.org/officeDocument/2006/relationships/hyperlink" Target="https://1drv.ms/b/c/a8f0902f6b5ae388/IQDUja24671oQpmVEcrqQMhUAQ4fFrO8xp1Q3kby59f_H0A?e=KrHpbi" TargetMode="External"/><Relationship Id="rId33" Type="http://schemas.openxmlformats.org/officeDocument/2006/relationships/hyperlink" Target="https://1drv.ms/b/c/a8f0902f6b5ae388/IQAvYEsKZrs-S5ihvtoMDzptARaWrh0sX9O1KZInraiVfLQ?e=WW0peS" TargetMode="External"/><Relationship Id="rId38" Type="http://schemas.openxmlformats.org/officeDocument/2006/relationships/hyperlink" Target="https://1drv.ms/b/c/a8f0902f6b5ae388/IQBSn8gFN_NbSZt9oChYFk_EARpPDMPaI49YFpn3j8w4f0Q?e=JwC3HI" TargetMode="External"/><Relationship Id="rId46" Type="http://schemas.openxmlformats.org/officeDocument/2006/relationships/hyperlink" Target="https://1drv.ms/b/c/a8f0902f6b5ae388/IQCdfXjxbZm0SZta_h4yK3f1AUp33zuArX6a5l2OfhoZfVw?e=9bJf6x" TargetMode="External"/><Relationship Id="rId20" Type="http://schemas.openxmlformats.org/officeDocument/2006/relationships/hyperlink" Target="https://1drv.ms/b/c/a8f0902f6b5ae388/IQD83QVRTndxT5Ftkx4pgXRjAYylxWZsE955SoePmeCnAx8?e=Krcwjn" TargetMode="External"/><Relationship Id="rId41" Type="http://schemas.openxmlformats.org/officeDocument/2006/relationships/hyperlink" Target="https://1drv.ms/b/c/a8f0902f6b5ae388/IQBSn8gFN_NbSZt9oChYFk_EARpPDMPaI49YFpn3j8w4f0Q?e=JwC3HI" TargetMode="External"/></Relationships>
</file>

<file path=xl/worksheets/_rels/sheet21.xml.rels><?xml version="1.0" encoding="UTF-8" standalone="yes"?>
<Relationships xmlns="http://schemas.openxmlformats.org/package/2006/relationships"><Relationship Id="rId26" Type="http://schemas.openxmlformats.org/officeDocument/2006/relationships/hyperlink" Target="https://kitakushorinji.sakura.ne.jp/joukyuu/5shikuminaitenbin-1.m4v" TargetMode="External"/><Relationship Id="rId21" Type="http://schemas.openxmlformats.org/officeDocument/2006/relationships/hyperlink" Target="https://kitakushorinji.sakura.ne.jp/joukyuu/5maigamidori-1.m4v" TargetMode="External"/><Relationship Id="rId42" Type="http://schemas.openxmlformats.org/officeDocument/2006/relationships/hyperlink" Target="https://1drv.ms/b/c/a8f0902f6b5ae388/IQAx_h7THmPRRqUVhOLwr11uAedttrpoXIC0ZcRZUyX8QOs?e=3agvNp" TargetMode="External"/><Relationship Id="rId47" Type="http://schemas.openxmlformats.org/officeDocument/2006/relationships/hyperlink" Target="https://1drv.ms/b/c/a8f0902f6b5ae388/IQAvDF4_YH49S6Xc7C1aydneAdI8_4oWS6N0e7-YF3gcDj8?e=3GA97h" TargetMode="External"/><Relationship Id="rId63" Type="http://schemas.openxmlformats.org/officeDocument/2006/relationships/hyperlink" Target="https://1drv.ms/b/c/a8f0902f6b5ae388/IQCW6fdWtajpR50M2pcV8BMJAVW7OhsABfwWNHxlHmU4-JE?e=wO7t5G" TargetMode="External"/><Relationship Id="rId68" Type="http://schemas.openxmlformats.org/officeDocument/2006/relationships/hyperlink" Target="https://1drv.ms/b/c/a8f0902f6b5ae388/IQAuPDz1NfwbR64EadSPl5jCAUKpqFsXaReX1Pi1Ag3Ckss?e=6Sv8uf" TargetMode="External"/><Relationship Id="rId84" Type="http://schemas.openxmlformats.org/officeDocument/2006/relationships/hyperlink" Target="https://1drv.ms/b/c/a8f0902f6b5ae388/IQAADjgBPKWcSbRqEfrGg94eAdLgq3hLToQTPw_QeIW_SC8?e=og68di" TargetMode="External"/><Relationship Id="rId16" Type="http://schemas.openxmlformats.org/officeDocument/2006/relationships/hyperlink" Target="https://kitakushorinji.sakura.ne.jp/joukyuu/-4ushirokubinage.m4v" TargetMode="External"/><Relationship Id="rId11" Type="http://schemas.openxmlformats.org/officeDocument/2006/relationships/hyperlink" Target="https://kitakushorinji.sakura.ne.jp/joukyuu/-4yahasunage.m4v" TargetMode="External"/><Relationship Id="rId32" Type="http://schemas.openxmlformats.org/officeDocument/2006/relationships/hyperlink" Target="https://youtu.be/x5hFL_p7YiI?t=1351" TargetMode="External"/><Relationship Id="rId37" Type="http://schemas.openxmlformats.org/officeDocument/2006/relationships/hyperlink" Target="https://youtu.be/wkycRfMQ-9s?t=435" TargetMode="External"/><Relationship Id="rId53" Type="http://schemas.openxmlformats.org/officeDocument/2006/relationships/hyperlink" Target="https://1drv.ms/b/c/a8f0902f6b5ae388/IQDderDuMfABTK8mPGcdGwO0ATOXl4MXxBmOQM_iMwOnBtk?e=pMs1PQ" TargetMode="External"/><Relationship Id="rId58" Type="http://schemas.openxmlformats.org/officeDocument/2006/relationships/hyperlink" Target="https://1drv.ms/b/c/a8f0902f6b5ae388/IQDderDuMfABTK8mPGcdGwO0ATOXl4MXxBmOQM_iMwOnBtk?e=pMs1PQ" TargetMode="External"/><Relationship Id="rId74" Type="http://schemas.openxmlformats.org/officeDocument/2006/relationships/hyperlink" Target="https://1drv.ms/b/c/a8f0902f6b5ae388/IQC985puHVBCQ5a8kI8vfjlfAd3WluDDQ-C5eR0g6Fpda9U?e=6adh88" TargetMode="External"/><Relationship Id="rId79" Type="http://schemas.openxmlformats.org/officeDocument/2006/relationships/hyperlink" Target="https://1drv.ms/b/c/a8f0902f6b5ae388/IQDINnmT1a6nQIE7rh6IQ-pHAQSCoSy5Iv19GGvNuGX4Bbg?e=YSq1DL" TargetMode="External"/><Relationship Id="rId5" Type="http://schemas.openxmlformats.org/officeDocument/2006/relationships/hyperlink" Target="https://kitakushorinji.sakura.ne.jp/joukyuu/-3sodegutidori.mp4" TargetMode="External"/><Relationship Id="rId19" Type="http://schemas.openxmlformats.org/officeDocument/2006/relationships/hyperlink" Target="https://kitakushorinji.sakura.ne.jp/joukyuu/5tyoujidori-1.m4v" TargetMode="External"/><Relationship Id="rId14" Type="http://schemas.openxmlformats.org/officeDocument/2006/relationships/hyperlink" Target="https://kitakushorinji.sakura.ne.jp/joukyuu/-4omotenage.m4v" TargetMode="External"/><Relationship Id="rId22" Type="http://schemas.openxmlformats.org/officeDocument/2006/relationships/hyperlink" Target="https://kitakushorinji.sakura.ne.jp/joukyuu/5obidori-1.m4v" TargetMode="External"/><Relationship Id="rId27" Type="http://schemas.openxmlformats.org/officeDocument/2006/relationships/hyperlink" Target="https://kitakushorinji.sakura.ne.jp/joukyuu/-5kubijimenageomote.m4v" TargetMode="External"/><Relationship Id="rId30" Type="http://schemas.openxmlformats.org/officeDocument/2006/relationships/hyperlink" Target="https://youtu.be/x5hFL_p7YiI?t=272" TargetMode="External"/><Relationship Id="rId35" Type="http://schemas.openxmlformats.org/officeDocument/2006/relationships/hyperlink" Target="https://youtu.be/83a9huRjdvk?t=1085" TargetMode="External"/><Relationship Id="rId43" Type="http://schemas.openxmlformats.org/officeDocument/2006/relationships/hyperlink" Target="https://1drv.ms/b/c/a8f0902f6b5ae388/IQAx_h7THmPRRqUVhOLwr11uAedttrpoXIC0ZcRZUyX8QOs?e=3agvNp" TargetMode="External"/><Relationship Id="rId48" Type="http://schemas.openxmlformats.org/officeDocument/2006/relationships/hyperlink" Target="https://1drv.ms/b/c/a8f0902f6b5ae388/IQAvDF4_YH49S6Xc7C1aydneAdI8_4oWS6N0e7-YF3gcDj8?e=3GA97h" TargetMode="External"/><Relationship Id="rId56" Type="http://schemas.openxmlformats.org/officeDocument/2006/relationships/hyperlink" Target="https://1drv.ms/b/c/a8f0902f6b5ae388/IQDderDuMfABTK8mPGcdGwO0ATOXl4MXxBmOQM_iMwOnBtk?e=pMs1PQ" TargetMode="External"/><Relationship Id="rId64" Type="http://schemas.openxmlformats.org/officeDocument/2006/relationships/hyperlink" Target="https://1drv.ms/b/c/a8f0902f6b5ae388/IQCW6fdWtajpR50M2pcV8BMJAVW7OhsABfwWNHxlHmU4-JE?e=wO7t5G" TargetMode="External"/><Relationship Id="rId69" Type="http://schemas.openxmlformats.org/officeDocument/2006/relationships/hyperlink" Target="https://1drv.ms/b/c/a8f0902f6b5ae388/IQAuPDz1NfwbR64EadSPl5jCAUKpqFsXaReX1Pi1Ag3Ckss?e=6Sv8uf" TargetMode="External"/><Relationship Id="rId77" Type="http://schemas.openxmlformats.org/officeDocument/2006/relationships/hyperlink" Target="https://1drv.ms/b/c/a8f0902f6b5ae388/IQC985puHVBCQ5a8kI8vfjlfAd3WluDDQ-C5eR0g6Fpda9U?e=6adh88" TargetMode="External"/><Relationship Id="rId8" Type="http://schemas.openxmlformats.org/officeDocument/2006/relationships/hyperlink" Target="https://kitakushorinji.sakura.ne.jp/joukyuu/-3sukuikubinage.mp4" TargetMode="External"/><Relationship Id="rId51" Type="http://schemas.openxmlformats.org/officeDocument/2006/relationships/hyperlink" Target="https://1drv.ms/b/c/a8f0902f6b5ae388/IQDderDuMfABTK8mPGcdGwO0ATOXl4MXxBmOQM_iMwOnBtk?e=pMs1PQ" TargetMode="External"/><Relationship Id="rId72" Type="http://schemas.openxmlformats.org/officeDocument/2006/relationships/hyperlink" Target="https://1drv.ms/b/c/a8f0902f6b5ae388/IQC985puHVBCQ5a8kI8vfjlfAd3WluDDQ-C5eR0g6Fpda9U?e=6adh88" TargetMode="External"/><Relationship Id="rId80" Type="http://schemas.openxmlformats.org/officeDocument/2006/relationships/hyperlink" Target="https://1drv.ms/b/c/a8f0902f6b5ae388/IQDINnmT1a6nQIE7rh6IQ-pHAQSCoSy5Iv19GGvNuGX4Bbg?e=YSq1DL" TargetMode="External"/><Relationship Id="rId85" Type="http://schemas.openxmlformats.org/officeDocument/2006/relationships/printerSettings" Target="../printerSettings/printerSettings17.bin"/><Relationship Id="rId3" Type="http://schemas.openxmlformats.org/officeDocument/2006/relationships/hyperlink" Target="https://kitakushorinji.sakura.ne.jp/joukyuu/-2makiotoshi.mp4" TargetMode="External"/><Relationship Id="rId12" Type="http://schemas.openxmlformats.org/officeDocument/2006/relationships/hyperlink" Target="https://kitakushorinji.sakura.ne.jp/joukyuu/-4kubijimenage.m4v" TargetMode="External"/><Relationship Id="rId17" Type="http://schemas.openxmlformats.org/officeDocument/2006/relationships/hyperlink" Target="https://kitakushorinji.sakura.ne.jp/joukyuu/5sodejuuji-1.m4v" TargetMode="External"/><Relationship Id="rId25" Type="http://schemas.openxmlformats.org/officeDocument/2006/relationships/hyperlink" Target="https://kitakushorinji.sakura.ne.jp/joukyuu/5okurieridoriomote-1.m4v" TargetMode="External"/><Relationship Id="rId33" Type="http://schemas.openxmlformats.org/officeDocument/2006/relationships/hyperlink" Target="https://youtu.be/83a9huRjdvk?t=392" TargetMode="External"/><Relationship Id="rId38" Type="http://schemas.openxmlformats.org/officeDocument/2006/relationships/hyperlink" Target="https://1drv.ms/b/c/a8f0902f6b5ae388/IQBmtmGw0R12T47jFN0ZL9vHAQF7EDZIXMxFgdRdqJ_gTjI?e=M4mbOW" TargetMode="External"/><Relationship Id="rId46" Type="http://schemas.openxmlformats.org/officeDocument/2006/relationships/hyperlink" Target="https://1drv.ms/b/c/a8f0902f6b5ae388/IQAvDF4_YH49S6Xc7C1aydneAdI8_4oWS6N0e7-YF3gcDj8?e=3GA97h" TargetMode="External"/><Relationship Id="rId59" Type="http://schemas.openxmlformats.org/officeDocument/2006/relationships/hyperlink" Target="https://1drv.ms/b/c/a8f0902f6b5ae388/IQDderDuMfABTK8mPGcdGwO0ATOXl4MXxBmOQM_iMwOnBtk?e=pMs1PQ" TargetMode="External"/><Relationship Id="rId67" Type="http://schemas.openxmlformats.org/officeDocument/2006/relationships/hyperlink" Target="https://1drv.ms/b/c/a8f0902f6b5ae388/IQAuPDz1NfwbR64EadSPl5jCAUKpqFsXaReX1Pi1Ag3Ckss?e=6Sv8uf" TargetMode="External"/><Relationship Id="rId20" Type="http://schemas.openxmlformats.org/officeDocument/2006/relationships/hyperlink" Target="https://kitakushorinji.sakura.ne.jp/joukyuu/5shikumi-1.m4v" TargetMode="External"/><Relationship Id="rId41" Type="http://schemas.openxmlformats.org/officeDocument/2006/relationships/hyperlink" Target="https://1drv.ms/b/c/a8f0902f6b5ae388/IQAx_h7THmPRRqUVhOLwr11uAedttrpoXIC0ZcRZUyX8QOs?e=3agvNp" TargetMode="External"/><Relationship Id="rId54" Type="http://schemas.openxmlformats.org/officeDocument/2006/relationships/hyperlink" Target="https://1drv.ms/b/c/a8f0902f6b5ae388/IQDderDuMfABTK8mPGcdGwO0ATOXl4MXxBmOQM_iMwOnBtk?e=pMs1PQ" TargetMode="External"/><Relationship Id="rId62" Type="http://schemas.openxmlformats.org/officeDocument/2006/relationships/hyperlink" Target="https://1drv.ms/b/c/a8f0902f6b5ae388/IQCW6fdWtajpR50M2pcV8BMJAVW7OhsABfwWNHxlHmU4-JE?e=wO7t5G" TargetMode="External"/><Relationship Id="rId70" Type="http://schemas.openxmlformats.org/officeDocument/2006/relationships/hyperlink" Target="https://1drv.ms/b/c/a8f0902f6b5ae388/IQAuPDz1NfwbR64EadSPl5jCAUKpqFsXaReX1Pi1Ag3Ckss?e=6Sv8uf" TargetMode="External"/><Relationship Id="rId75" Type="http://schemas.openxmlformats.org/officeDocument/2006/relationships/hyperlink" Target="https://1drv.ms/b/c/a8f0902f6b5ae388/IQC985puHVBCQ5a8kI8vfjlfAd3WluDDQ-C5eR0g6Fpda9U?e=6adh88" TargetMode="External"/><Relationship Id="rId83" Type="http://schemas.openxmlformats.org/officeDocument/2006/relationships/hyperlink" Target="https://1drv.ms/b/c/a8f0902f6b5ae388/IQAADjgBPKWcSbRqEfrGg94eAdLgq3hLToQTPw_QeIW_SC8?e=og68di" TargetMode="External"/><Relationship Id="rId1" Type="http://schemas.openxmlformats.org/officeDocument/2006/relationships/hyperlink" Target="https://kitakushorinji.sakura.ne.jp/joukyuu/-2hikimuneotoshi.mp4" TargetMode="External"/><Relationship Id="rId6" Type="http://schemas.openxmlformats.org/officeDocument/2006/relationships/hyperlink" Target="https://kitakushorinji.sakura.ne.jp/joukyuu/-3sodegutimaki.mp4" TargetMode="External"/><Relationship Id="rId15" Type="http://schemas.openxmlformats.org/officeDocument/2006/relationships/hyperlink" Target="https://kitakushorinji.sakura.ne.jp/joukyuu/-4uranage.m4v" TargetMode="External"/><Relationship Id="rId23" Type="http://schemas.openxmlformats.org/officeDocument/2006/relationships/hyperlink" Target="https://kitakushorinji.sakura.ne.jp/joukyuu/5sodedorinaitenbun-1.m4v" TargetMode="External"/><Relationship Id="rId28" Type="http://schemas.openxmlformats.org/officeDocument/2006/relationships/hyperlink" Target="https://kitakushorinji.sakura.ne.jp/joukyuu/-5toradaoshi.m4v" TargetMode="External"/><Relationship Id="rId36" Type="http://schemas.openxmlformats.org/officeDocument/2006/relationships/hyperlink" Target="https://youtu.be/VW7-Qjfegok?t=603" TargetMode="External"/><Relationship Id="rId49" Type="http://schemas.openxmlformats.org/officeDocument/2006/relationships/hyperlink" Target="https://1drv.ms/b/c/a8f0902f6b5ae388/IQAvDF4_YH49S6Xc7C1aydneAdI8_4oWS6N0e7-YF3gcDj8?e=3GA97h" TargetMode="External"/><Relationship Id="rId57" Type="http://schemas.openxmlformats.org/officeDocument/2006/relationships/hyperlink" Target="https://1drv.ms/b/c/a8f0902f6b5ae388/IQDderDuMfABTK8mPGcdGwO0ATOXl4MXxBmOQM_iMwOnBtk?e=pMs1PQ" TargetMode="External"/><Relationship Id="rId10" Type="http://schemas.openxmlformats.org/officeDocument/2006/relationships/hyperlink" Target="https://kitakushorinji.sakura.ne.jp/joukyuu/-4ushiroeridoriomote.m4v" TargetMode="External"/><Relationship Id="rId31" Type="http://schemas.openxmlformats.org/officeDocument/2006/relationships/hyperlink" Target="https://youtu.be/x5hFL_p7YiI?t=452" TargetMode="External"/><Relationship Id="rId44" Type="http://schemas.openxmlformats.org/officeDocument/2006/relationships/hyperlink" Target="https://1drv.ms/b/c/a8f0902f6b5ae388/IQAx_h7THmPRRqUVhOLwr11uAedttrpoXIC0ZcRZUyX8QOs?e=3agvNp" TargetMode="External"/><Relationship Id="rId52" Type="http://schemas.openxmlformats.org/officeDocument/2006/relationships/hyperlink" Target="https://1drv.ms/b/c/a8f0902f6b5ae388/IQDderDuMfABTK8mPGcdGwO0ATOXl4MXxBmOQM_iMwOnBtk?e=pMs1PQ" TargetMode="External"/><Relationship Id="rId60" Type="http://schemas.openxmlformats.org/officeDocument/2006/relationships/hyperlink" Target="https://1drv.ms/b/c/a8f0902f6b5ae388/IQDderDuMfABTK8mPGcdGwO0ATOXl4MXxBmOQM_iMwOnBtk?e=pMs1PQ" TargetMode="External"/><Relationship Id="rId65" Type="http://schemas.openxmlformats.org/officeDocument/2006/relationships/hyperlink" Target="https://1drv.ms/b/c/a8f0902f6b5ae388/IQCW6fdWtajpR50M2pcV8BMJAVW7OhsABfwWNHxlHmU4-JE?e=wO7t5G" TargetMode="External"/><Relationship Id="rId73" Type="http://schemas.openxmlformats.org/officeDocument/2006/relationships/hyperlink" Target="https://1drv.ms/b/c/a8f0902f6b5ae388/IQC985puHVBCQ5a8kI8vfjlfAd3WluDDQ-C5eR0g6Fpda9U?e=6adh88" TargetMode="External"/><Relationship Id="rId78" Type="http://schemas.openxmlformats.org/officeDocument/2006/relationships/hyperlink" Target="https://1drv.ms/b/c/a8f0902f6b5ae388/IQC985puHVBCQ5a8kI8vfjlfAd3WluDDQ-C5eR0g6Fpda9U?e=6adh88" TargetMode="External"/><Relationship Id="rId81" Type="http://schemas.openxmlformats.org/officeDocument/2006/relationships/hyperlink" Target="https://1drv.ms/b/c/a8f0902f6b5ae388/IQDINnmT1a6nQIE7rh6IQ-pHAQSCoSy5Iv19GGvNuGX4Bbg?e=YSq1DL" TargetMode="External"/><Relationship Id="rId4" Type="http://schemas.openxmlformats.org/officeDocument/2006/relationships/hyperlink" Target="https://kitakushorinji.sakura.ne.jp/joukyuu/-2sotomakiotoshi.mp4" TargetMode="External"/><Relationship Id="rId9" Type="http://schemas.openxmlformats.org/officeDocument/2006/relationships/hyperlink" Target="https://kitakushorinji.sakura.ne.jp/joukyuu/-3katautinage.jpeg" TargetMode="External"/><Relationship Id="rId13" Type="http://schemas.openxmlformats.org/officeDocument/2006/relationships/hyperlink" Target="https://kitakushorinji.sakura.ne.jp/joukyuu/-4kubijimeshuhou.m4v" TargetMode="External"/><Relationship Id="rId18" Type="http://schemas.openxmlformats.org/officeDocument/2006/relationships/hyperlink" Target="https://kitakushorinji.sakura.ne.jp/joukyuu/5tekubidori-1.m4v" TargetMode="External"/><Relationship Id="rId39" Type="http://schemas.openxmlformats.org/officeDocument/2006/relationships/hyperlink" Target="https://1drv.ms/b/c/a8f0902f6b5ae388/IQBmtmGw0R12T47jFN0ZL9vHAQF7EDZIXMxFgdRdqJ_gTjI?e=M4mbOW" TargetMode="External"/><Relationship Id="rId34" Type="http://schemas.openxmlformats.org/officeDocument/2006/relationships/hyperlink" Target="https://youtu.be/83a9huRjdvk?t=748" TargetMode="External"/><Relationship Id="rId50" Type="http://schemas.openxmlformats.org/officeDocument/2006/relationships/hyperlink" Target="https://1drv.ms/b/c/a8f0902f6b5ae388/IQDderDuMfABTK8mPGcdGwO0ATOXl4MXxBmOQM_iMwOnBtk?e=pMs1PQ" TargetMode="External"/><Relationship Id="rId55" Type="http://schemas.openxmlformats.org/officeDocument/2006/relationships/hyperlink" Target="https://1drv.ms/b/c/a8f0902f6b5ae388/IQDderDuMfABTK8mPGcdGwO0ATOXl4MXxBmOQM_iMwOnBtk?e=pMs1PQ" TargetMode="External"/><Relationship Id="rId76" Type="http://schemas.openxmlformats.org/officeDocument/2006/relationships/hyperlink" Target="https://1drv.ms/b/c/a8f0902f6b5ae388/IQC985puHVBCQ5a8kI8vfjlfAd3WluDDQ-C5eR0g6Fpda9U?e=6adh88" TargetMode="External"/><Relationship Id="rId7" Type="http://schemas.openxmlformats.org/officeDocument/2006/relationships/hyperlink" Target="https://kitakushorinji.sakura.ne.jp/joukyuu/-3sodemakigaeshi.mp4" TargetMode="External"/><Relationship Id="rId71" Type="http://schemas.openxmlformats.org/officeDocument/2006/relationships/hyperlink" Target="https://1drv.ms/b/c/a8f0902f6b5ae388/IQAuPDz1NfwbR64EadSPl5jCAUKpqFsXaReX1Pi1Ag3Ckss?e=6Sv8uf" TargetMode="External"/><Relationship Id="rId2" Type="http://schemas.openxmlformats.org/officeDocument/2006/relationships/hyperlink" Target="https://kitakushorinji.sakura.ne.jp/joukyuu/-2ryoumunaotoshi.mp4" TargetMode="External"/><Relationship Id="rId29" Type="http://schemas.openxmlformats.org/officeDocument/2006/relationships/hyperlink" Target="https://youtu.be/x5hFL_p7YiI?t=88" TargetMode="External"/><Relationship Id="rId24" Type="http://schemas.openxmlformats.org/officeDocument/2006/relationships/hyperlink" Target="https://kitakushorinji.sakura.ne.jp/joukyuu/5sodemakigaeshiura-1.m4v" TargetMode="External"/><Relationship Id="rId40" Type="http://schemas.openxmlformats.org/officeDocument/2006/relationships/hyperlink" Target="https://1drv.ms/b/c/a8f0902f6b5ae388/IQAx_h7THmPRRqUVhOLwr11uAedttrpoXIC0ZcRZUyX8QOs?e=3agvNp" TargetMode="External"/><Relationship Id="rId45" Type="http://schemas.openxmlformats.org/officeDocument/2006/relationships/hyperlink" Target="https://1drv.ms/b/c/a8f0902f6b5ae388/IQAvDF4_YH49S6Xc7C1aydneAdI8_4oWS6N0e7-YF3gcDj8?e=3GA97h" TargetMode="External"/><Relationship Id="rId66" Type="http://schemas.openxmlformats.org/officeDocument/2006/relationships/hyperlink" Target="https://1drv.ms/b/c/a8f0902f6b5ae388/IQCW6fdWtajpR50M2pcV8BMJAVW7OhsABfwWNHxlHmU4-JE?e=wO7t5G" TargetMode="External"/><Relationship Id="rId61" Type="http://schemas.openxmlformats.org/officeDocument/2006/relationships/hyperlink" Target="https://1drv.ms/b/c/a8f0902f6b5ae388/IQCW6fdWtajpR50M2pcV8BMJAVW7OhsABfwWNHxlHmU4-JE?e=wO7t5G" TargetMode="External"/><Relationship Id="rId82" Type="http://schemas.openxmlformats.org/officeDocument/2006/relationships/hyperlink" Target="https://1drv.ms/b/c/a8f0902f6b5ae388/IQDINnmT1a6nQIE7rh6IQ-pHAQSCoSy5Iv19GGvNuGX4Bbg?e=YSq1DL"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8" Type="http://schemas.openxmlformats.org/officeDocument/2006/relationships/hyperlink" Target="https://kitakushorinji.sakura.ne.jp/joukyuu/-3sodegutidori.mp4" TargetMode="External"/><Relationship Id="rId13" Type="http://schemas.openxmlformats.org/officeDocument/2006/relationships/hyperlink" Target="https://youtu.be/x5hFL_p7YiI?t=272" TargetMode="External"/><Relationship Id="rId3" Type="http://schemas.openxmlformats.org/officeDocument/2006/relationships/hyperlink" Target="https://kitakushorinji.sakura.ne.jp/joukyuu/-3okuriyubigaeshi.mp4" TargetMode="External"/><Relationship Id="rId7" Type="http://schemas.openxmlformats.org/officeDocument/2006/relationships/hyperlink" Target="https://kitakushorinji.sakura.ne.jp/joukyuu/-2okuritenbindori.mp4" TargetMode="External"/><Relationship Id="rId12" Type="http://schemas.openxmlformats.org/officeDocument/2006/relationships/hyperlink" Target="https://youtu.be/x5hFL_p7YiI?t=88" TargetMode="External"/><Relationship Id="rId2" Type="http://schemas.openxmlformats.org/officeDocument/2006/relationships/hyperlink" Target="https://youtu.be/gYaO9D-3w5g?t=24" TargetMode="External"/><Relationship Id="rId1" Type="http://schemas.openxmlformats.org/officeDocument/2006/relationships/hyperlink" Target="https://youtu.be/ZOhqdBiSO9I?t=269" TargetMode="External"/><Relationship Id="rId6" Type="http://schemas.openxmlformats.org/officeDocument/2006/relationships/hyperlink" Target="https://kitakushorinji.sakura.ne.jp/joukyuu/-2hikitenbin.mp4" TargetMode="External"/><Relationship Id="rId11" Type="http://schemas.openxmlformats.org/officeDocument/2006/relationships/hyperlink" Target="https://kitakushorinji.sakura.ne.jp/joukyuu/-3katautinage.jpeg" TargetMode="External"/><Relationship Id="rId5" Type="http://schemas.openxmlformats.org/officeDocument/2006/relationships/hyperlink" Target="https://kitakushorinji.sakura.ne.jp/joukyuu/-3kirikaeshinage.mp4" TargetMode="External"/><Relationship Id="rId10" Type="http://schemas.openxmlformats.org/officeDocument/2006/relationships/hyperlink" Target="https://kitakushorinji.sakura.ne.jp/joukyuu/-4ushirokubinage.m4v" TargetMode="External"/><Relationship Id="rId4" Type="http://schemas.openxmlformats.org/officeDocument/2006/relationships/hyperlink" Target="https://kitakushorinji.sakura.ne.jp/joukyuu/-3kirikaeshigote.mp4" TargetMode="External"/><Relationship Id="rId9" Type="http://schemas.openxmlformats.org/officeDocument/2006/relationships/hyperlink" Target="https://kitakushorinji.sakura.ne.jp/joukyuu/-3sodegutimaki.mp4" TargetMode="External"/><Relationship Id="rId14"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C72E-3CC9-4D24-8BCA-385D29D77893}">
  <sheetPr codeName="Sheet2">
    <tabColor rgb="FF00B0F0"/>
  </sheetPr>
  <dimension ref="A1:B267"/>
  <sheetViews>
    <sheetView workbookViewId="0">
      <selection activeCell="I6" sqref="I6"/>
    </sheetView>
  </sheetViews>
  <sheetFormatPr defaultRowHeight="18" x14ac:dyDescent="0.45"/>
  <cols>
    <col min="1" max="1" width="7.8984375" bestFit="1" customWidth="1"/>
    <col min="2" max="2" width="11" style="1" customWidth="1"/>
  </cols>
  <sheetData>
    <row r="1" spans="1:2" x14ac:dyDescent="0.45">
      <c r="A1" s="2" t="s">
        <v>1169</v>
      </c>
      <c r="B1" s="2" t="s">
        <v>434</v>
      </c>
    </row>
    <row r="2" spans="1:2" x14ac:dyDescent="0.45">
      <c r="A2" s="3">
        <v>1</v>
      </c>
      <c r="B2" s="2" t="s">
        <v>0</v>
      </c>
    </row>
    <row r="3" spans="1:2" x14ac:dyDescent="0.45">
      <c r="A3" s="3">
        <v>2</v>
      </c>
      <c r="B3" s="2" t="s">
        <v>735</v>
      </c>
    </row>
    <row r="4" spans="1:2" x14ac:dyDescent="0.45">
      <c r="A4" s="3">
        <v>3</v>
      </c>
      <c r="B4" s="2" t="s">
        <v>736</v>
      </c>
    </row>
    <row r="5" spans="1:2" x14ac:dyDescent="0.45">
      <c r="A5" s="3">
        <v>4</v>
      </c>
      <c r="B5" s="2" t="s">
        <v>737</v>
      </c>
    </row>
    <row r="6" spans="1:2" x14ac:dyDescent="0.45">
      <c r="A6" s="3">
        <v>5</v>
      </c>
      <c r="B6" s="2" t="s">
        <v>738</v>
      </c>
    </row>
    <row r="7" spans="1:2" x14ac:dyDescent="0.45">
      <c r="A7" s="3">
        <v>6</v>
      </c>
      <c r="B7" s="2" t="s">
        <v>121</v>
      </c>
    </row>
    <row r="8" spans="1:2" x14ac:dyDescent="0.45">
      <c r="A8" s="3">
        <v>7</v>
      </c>
      <c r="B8" s="2" t="s">
        <v>739</v>
      </c>
    </row>
    <row r="9" spans="1:2" x14ac:dyDescent="0.45">
      <c r="A9" s="3">
        <v>8</v>
      </c>
      <c r="B9" s="2" t="s">
        <v>775</v>
      </c>
    </row>
    <row r="10" spans="1:2" x14ac:dyDescent="0.45">
      <c r="A10" s="3">
        <v>9</v>
      </c>
      <c r="B10" s="2" t="s">
        <v>741</v>
      </c>
    </row>
    <row r="11" spans="1:2" x14ac:dyDescent="0.45">
      <c r="A11" s="3">
        <v>10</v>
      </c>
      <c r="B11" s="2" t="s">
        <v>742</v>
      </c>
    </row>
    <row r="12" spans="1:2" x14ac:dyDescent="0.45">
      <c r="A12" s="3">
        <v>11</v>
      </c>
      <c r="B12" s="2" t="s">
        <v>761</v>
      </c>
    </row>
    <row r="13" spans="1:2" x14ac:dyDescent="0.45">
      <c r="B13"/>
    </row>
    <row r="14" spans="1:2" x14ac:dyDescent="0.45">
      <c r="B14"/>
    </row>
    <row r="15" spans="1:2" x14ac:dyDescent="0.45">
      <c r="B15"/>
    </row>
    <row r="16" spans="1:2" x14ac:dyDescent="0.45">
      <c r="B16"/>
    </row>
    <row r="17" spans="2:2" x14ac:dyDescent="0.45">
      <c r="B17"/>
    </row>
    <row r="18" spans="2:2" x14ac:dyDescent="0.45">
      <c r="B18"/>
    </row>
    <row r="19" spans="2:2" x14ac:dyDescent="0.45">
      <c r="B19"/>
    </row>
    <row r="20" spans="2:2" x14ac:dyDescent="0.45">
      <c r="B20"/>
    </row>
    <row r="21" spans="2:2" x14ac:dyDescent="0.45">
      <c r="B21"/>
    </row>
    <row r="22" spans="2:2" x14ac:dyDescent="0.45">
      <c r="B22"/>
    </row>
    <row r="23" spans="2:2" x14ac:dyDescent="0.45">
      <c r="B23"/>
    </row>
    <row r="24" spans="2:2" x14ac:dyDescent="0.45">
      <c r="B24"/>
    </row>
    <row r="25" spans="2:2" x14ac:dyDescent="0.45">
      <c r="B25"/>
    </row>
    <row r="26" spans="2:2" x14ac:dyDescent="0.45">
      <c r="B26"/>
    </row>
    <row r="27" spans="2:2" x14ac:dyDescent="0.45">
      <c r="B27"/>
    </row>
    <row r="28" spans="2:2" x14ac:dyDescent="0.45">
      <c r="B28"/>
    </row>
    <row r="29" spans="2:2" x14ac:dyDescent="0.45">
      <c r="B29"/>
    </row>
    <row r="30" spans="2:2" x14ac:dyDescent="0.45">
      <c r="B30"/>
    </row>
    <row r="31" spans="2:2" x14ac:dyDescent="0.45">
      <c r="B31"/>
    </row>
    <row r="32" spans="2:2" x14ac:dyDescent="0.45">
      <c r="B32"/>
    </row>
    <row r="33" spans="2:2" x14ac:dyDescent="0.45">
      <c r="B33"/>
    </row>
    <row r="34" spans="2:2" x14ac:dyDescent="0.45">
      <c r="B34"/>
    </row>
    <row r="35" spans="2:2" x14ac:dyDescent="0.45">
      <c r="B35"/>
    </row>
    <row r="36" spans="2:2" x14ac:dyDescent="0.45">
      <c r="B36"/>
    </row>
    <row r="37" spans="2:2" x14ac:dyDescent="0.45">
      <c r="B37"/>
    </row>
    <row r="38" spans="2:2" x14ac:dyDescent="0.45">
      <c r="B38"/>
    </row>
    <row r="39" spans="2:2" x14ac:dyDescent="0.45">
      <c r="B39"/>
    </row>
    <row r="40" spans="2:2" x14ac:dyDescent="0.45">
      <c r="B40"/>
    </row>
    <row r="41" spans="2:2" x14ac:dyDescent="0.45">
      <c r="B41"/>
    </row>
    <row r="42" spans="2:2" x14ac:dyDescent="0.45">
      <c r="B42"/>
    </row>
    <row r="43" spans="2:2" x14ac:dyDescent="0.45">
      <c r="B43"/>
    </row>
    <row r="44" spans="2:2" x14ac:dyDescent="0.45">
      <c r="B44"/>
    </row>
    <row r="45" spans="2:2" x14ac:dyDescent="0.45">
      <c r="B45"/>
    </row>
    <row r="46" spans="2:2" x14ac:dyDescent="0.45">
      <c r="B46"/>
    </row>
    <row r="47" spans="2:2" x14ac:dyDescent="0.45">
      <c r="B47"/>
    </row>
    <row r="48" spans="2:2" x14ac:dyDescent="0.45">
      <c r="B48"/>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row r="67" spans="2:2" x14ac:dyDescent="0.45">
      <c r="B67"/>
    </row>
    <row r="68" spans="2:2" x14ac:dyDescent="0.45">
      <c r="B68"/>
    </row>
    <row r="69" spans="2:2" x14ac:dyDescent="0.45">
      <c r="B69"/>
    </row>
    <row r="70" spans="2:2" x14ac:dyDescent="0.45">
      <c r="B70"/>
    </row>
    <row r="71" spans="2:2" x14ac:dyDescent="0.45">
      <c r="B71"/>
    </row>
    <row r="72" spans="2:2" x14ac:dyDescent="0.45">
      <c r="B72"/>
    </row>
    <row r="73" spans="2:2" x14ac:dyDescent="0.45">
      <c r="B73"/>
    </row>
    <row r="74" spans="2:2" x14ac:dyDescent="0.45">
      <c r="B74"/>
    </row>
    <row r="75" spans="2:2" x14ac:dyDescent="0.45">
      <c r="B75"/>
    </row>
    <row r="76" spans="2:2" x14ac:dyDescent="0.45">
      <c r="B76"/>
    </row>
    <row r="77" spans="2:2" x14ac:dyDescent="0.45">
      <c r="B77"/>
    </row>
    <row r="78" spans="2:2" x14ac:dyDescent="0.45">
      <c r="B78"/>
    </row>
    <row r="79" spans="2:2" x14ac:dyDescent="0.45">
      <c r="B79"/>
    </row>
    <row r="80" spans="2:2" x14ac:dyDescent="0.45">
      <c r="B80"/>
    </row>
    <row r="81" spans="2:2" x14ac:dyDescent="0.45">
      <c r="B81"/>
    </row>
    <row r="82" spans="2:2" x14ac:dyDescent="0.45">
      <c r="B82"/>
    </row>
    <row r="83" spans="2:2" x14ac:dyDescent="0.45">
      <c r="B83"/>
    </row>
    <row r="84" spans="2:2" x14ac:dyDescent="0.45">
      <c r="B84"/>
    </row>
    <row r="85" spans="2:2" x14ac:dyDescent="0.45">
      <c r="B85"/>
    </row>
    <row r="86" spans="2:2" x14ac:dyDescent="0.45">
      <c r="B86"/>
    </row>
    <row r="87" spans="2:2" x14ac:dyDescent="0.45">
      <c r="B87"/>
    </row>
    <row r="88" spans="2:2" x14ac:dyDescent="0.45">
      <c r="B88"/>
    </row>
    <row r="89" spans="2:2" x14ac:dyDescent="0.45">
      <c r="B89"/>
    </row>
    <row r="90" spans="2:2" x14ac:dyDescent="0.45">
      <c r="B90"/>
    </row>
    <row r="91" spans="2:2" x14ac:dyDescent="0.45">
      <c r="B91"/>
    </row>
    <row r="92" spans="2:2" x14ac:dyDescent="0.45">
      <c r="B92"/>
    </row>
    <row r="93" spans="2:2" x14ac:dyDescent="0.45">
      <c r="B93"/>
    </row>
    <row r="94" spans="2:2" x14ac:dyDescent="0.45">
      <c r="B94"/>
    </row>
    <row r="95" spans="2:2" x14ac:dyDescent="0.45">
      <c r="B95"/>
    </row>
    <row r="96" spans="2:2" x14ac:dyDescent="0.45">
      <c r="B96"/>
    </row>
    <row r="97" spans="2:2" x14ac:dyDescent="0.45">
      <c r="B97"/>
    </row>
    <row r="98" spans="2:2" x14ac:dyDescent="0.45">
      <c r="B98"/>
    </row>
    <row r="99" spans="2:2" x14ac:dyDescent="0.45">
      <c r="B99"/>
    </row>
    <row r="100" spans="2:2" x14ac:dyDescent="0.45">
      <c r="B100"/>
    </row>
    <row r="101" spans="2:2" x14ac:dyDescent="0.45">
      <c r="B101"/>
    </row>
    <row r="102" spans="2:2" x14ac:dyDescent="0.45">
      <c r="B102"/>
    </row>
    <row r="103" spans="2:2" x14ac:dyDescent="0.45">
      <c r="B103"/>
    </row>
    <row r="104" spans="2:2" x14ac:dyDescent="0.45">
      <c r="B104"/>
    </row>
    <row r="105" spans="2:2" x14ac:dyDescent="0.45">
      <c r="B105"/>
    </row>
    <row r="106" spans="2:2" x14ac:dyDescent="0.45">
      <c r="B106"/>
    </row>
    <row r="107" spans="2:2" x14ac:dyDescent="0.45">
      <c r="B107"/>
    </row>
    <row r="108" spans="2:2" x14ac:dyDescent="0.45">
      <c r="B108"/>
    </row>
    <row r="109" spans="2:2" x14ac:dyDescent="0.45">
      <c r="B109"/>
    </row>
    <row r="110" spans="2:2" x14ac:dyDescent="0.45">
      <c r="B110"/>
    </row>
    <row r="111" spans="2:2" x14ac:dyDescent="0.45">
      <c r="B111"/>
    </row>
    <row r="112" spans="2:2" x14ac:dyDescent="0.45">
      <c r="B112"/>
    </row>
    <row r="113" spans="2:2" x14ac:dyDescent="0.45">
      <c r="B113"/>
    </row>
    <row r="114" spans="2:2" x14ac:dyDescent="0.45">
      <c r="B114"/>
    </row>
    <row r="115" spans="2:2" x14ac:dyDescent="0.45">
      <c r="B115"/>
    </row>
    <row r="116" spans="2:2" x14ac:dyDescent="0.45">
      <c r="B116"/>
    </row>
    <row r="117" spans="2:2" x14ac:dyDescent="0.45">
      <c r="B117"/>
    </row>
    <row r="118" spans="2:2" x14ac:dyDescent="0.45">
      <c r="B118"/>
    </row>
    <row r="119" spans="2:2" x14ac:dyDescent="0.45">
      <c r="B119"/>
    </row>
    <row r="120" spans="2:2" x14ac:dyDescent="0.45">
      <c r="B120"/>
    </row>
    <row r="121" spans="2:2" x14ac:dyDescent="0.45">
      <c r="B121"/>
    </row>
    <row r="122" spans="2:2" x14ac:dyDescent="0.45">
      <c r="B122"/>
    </row>
    <row r="123" spans="2:2" x14ac:dyDescent="0.45">
      <c r="B123"/>
    </row>
    <row r="124" spans="2:2" x14ac:dyDescent="0.45">
      <c r="B124"/>
    </row>
    <row r="125" spans="2:2" x14ac:dyDescent="0.45">
      <c r="B125"/>
    </row>
    <row r="126" spans="2:2" x14ac:dyDescent="0.45">
      <c r="B126"/>
    </row>
    <row r="127" spans="2:2" x14ac:dyDescent="0.45">
      <c r="B127"/>
    </row>
    <row r="128" spans="2:2" x14ac:dyDescent="0.45">
      <c r="B128"/>
    </row>
    <row r="129" spans="2:2" x14ac:dyDescent="0.45">
      <c r="B129"/>
    </row>
    <row r="130" spans="2:2" x14ac:dyDescent="0.45">
      <c r="B130"/>
    </row>
    <row r="131" spans="2:2" x14ac:dyDescent="0.45">
      <c r="B131"/>
    </row>
    <row r="132" spans="2:2" x14ac:dyDescent="0.45">
      <c r="B132"/>
    </row>
    <row r="133" spans="2:2" x14ac:dyDescent="0.45">
      <c r="B133"/>
    </row>
    <row r="134" spans="2:2" x14ac:dyDescent="0.45">
      <c r="B134"/>
    </row>
    <row r="135" spans="2:2" x14ac:dyDescent="0.45">
      <c r="B135"/>
    </row>
    <row r="136" spans="2:2" x14ac:dyDescent="0.45">
      <c r="B136"/>
    </row>
    <row r="137" spans="2:2" x14ac:dyDescent="0.45">
      <c r="B137"/>
    </row>
    <row r="138" spans="2:2" x14ac:dyDescent="0.45">
      <c r="B138"/>
    </row>
    <row r="139" spans="2:2" x14ac:dyDescent="0.45">
      <c r="B139"/>
    </row>
    <row r="140" spans="2:2" x14ac:dyDescent="0.45">
      <c r="B140"/>
    </row>
    <row r="141" spans="2:2" x14ac:dyDescent="0.45">
      <c r="B141"/>
    </row>
    <row r="142" spans="2:2" x14ac:dyDescent="0.45">
      <c r="B142"/>
    </row>
    <row r="143" spans="2:2" x14ac:dyDescent="0.45">
      <c r="B143"/>
    </row>
    <row r="144" spans="2:2" x14ac:dyDescent="0.45">
      <c r="B144"/>
    </row>
    <row r="145" spans="2:2" x14ac:dyDescent="0.45">
      <c r="B145"/>
    </row>
    <row r="146" spans="2:2" x14ac:dyDescent="0.45">
      <c r="B146"/>
    </row>
    <row r="147" spans="2:2" x14ac:dyDescent="0.45">
      <c r="B147"/>
    </row>
    <row r="148" spans="2:2" x14ac:dyDescent="0.45">
      <c r="B148"/>
    </row>
    <row r="149" spans="2:2" x14ac:dyDescent="0.45">
      <c r="B149"/>
    </row>
    <row r="150" spans="2:2" x14ac:dyDescent="0.45">
      <c r="B150"/>
    </row>
    <row r="151" spans="2:2" x14ac:dyDescent="0.45">
      <c r="B151"/>
    </row>
    <row r="152" spans="2:2" x14ac:dyDescent="0.45">
      <c r="B152"/>
    </row>
    <row r="153" spans="2:2" x14ac:dyDescent="0.45">
      <c r="B153"/>
    </row>
    <row r="154" spans="2:2" x14ac:dyDescent="0.45">
      <c r="B154"/>
    </row>
    <row r="155" spans="2:2" x14ac:dyDescent="0.45">
      <c r="B155"/>
    </row>
    <row r="156" spans="2:2" x14ac:dyDescent="0.45">
      <c r="B156"/>
    </row>
    <row r="157" spans="2:2" x14ac:dyDescent="0.45">
      <c r="B157"/>
    </row>
    <row r="158" spans="2:2" x14ac:dyDescent="0.45">
      <c r="B158"/>
    </row>
    <row r="159" spans="2:2" x14ac:dyDescent="0.45">
      <c r="B159"/>
    </row>
    <row r="160" spans="2:2" x14ac:dyDescent="0.45">
      <c r="B160"/>
    </row>
    <row r="161" spans="2:2" x14ac:dyDescent="0.45">
      <c r="B161"/>
    </row>
    <row r="162" spans="2:2" x14ac:dyDescent="0.45">
      <c r="B162"/>
    </row>
    <row r="163" spans="2:2" x14ac:dyDescent="0.45">
      <c r="B163"/>
    </row>
    <row r="164" spans="2:2" x14ac:dyDescent="0.45">
      <c r="B164"/>
    </row>
    <row r="165" spans="2:2" x14ac:dyDescent="0.45">
      <c r="B165"/>
    </row>
    <row r="166" spans="2:2" x14ac:dyDescent="0.45">
      <c r="B166"/>
    </row>
    <row r="167" spans="2:2" x14ac:dyDescent="0.45">
      <c r="B167"/>
    </row>
    <row r="168" spans="2:2" x14ac:dyDescent="0.45">
      <c r="B168"/>
    </row>
    <row r="169" spans="2:2" x14ac:dyDescent="0.45">
      <c r="B169"/>
    </row>
    <row r="170" spans="2:2" x14ac:dyDescent="0.45">
      <c r="B170"/>
    </row>
    <row r="171" spans="2:2" x14ac:dyDescent="0.45">
      <c r="B171"/>
    </row>
    <row r="172" spans="2:2" x14ac:dyDescent="0.45">
      <c r="B172"/>
    </row>
    <row r="173" spans="2:2" x14ac:dyDescent="0.45">
      <c r="B173"/>
    </row>
    <row r="174" spans="2:2" x14ac:dyDescent="0.45">
      <c r="B174"/>
    </row>
    <row r="175" spans="2:2" x14ac:dyDescent="0.45">
      <c r="B175"/>
    </row>
    <row r="176" spans="2:2" x14ac:dyDescent="0.45">
      <c r="B176"/>
    </row>
    <row r="177" spans="2:2" x14ac:dyDescent="0.45">
      <c r="B177"/>
    </row>
    <row r="178" spans="2:2" x14ac:dyDescent="0.45">
      <c r="B178"/>
    </row>
    <row r="179" spans="2:2" x14ac:dyDescent="0.45">
      <c r="B179"/>
    </row>
    <row r="180" spans="2:2" x14ac:dyDescent="0.45">
      <c r="B180"/>
    </row>
    <row r="181" spans="2:2" x14ac:dyDescent="0.45">
      <c r="B181"/>
    </row>
    <row r="182" spans="2:2" x14ac:dyDescent="0.45">
      <c r="B182"/>
    </row>
    <row r="183" spans="2:2" x14ac:dyDescent="0.45">
      <c r="B183"/>
    </row>
    <row r="184" spans="2:2" x14ac:dyDescent="0.45">
      <c r="B184"/>
    </row>
    <row r="185" spans="2:2" x14ac:dyDescent="0.45">
      <c r="B185"/>
    </row>
    <row r="186" spans="2:2" x14ac:dyDescent="0.45">
      <c r="B186"/>
    </row>
    <row r="187" spans="2:2" x14ac:dyDescent="0.45">
      <c r="B187"/>
    </row>
    <row r="188" spans="2:2" x14ac:dyDescent="0.45">
      <c r="B188"/>
    </row>
    <row r="189" spans="2:2" x14ac:dyDescent="0.45">
      <c r="B189"/>
    </row>
    <row r="190" spans="2:2" x14ac:dyDescent="0.45">
      <c r="B190"/>
    </row>
    <row r="191" spans="2:2" x14ac:dyDescent="0.45">
      <c r="B191"/>
    </row>
    <row r="192" spans="2:2" x14ac:dyDescent="0.45">
      <c r="B192"/>
    </row>
    <row r="193" spans="2:2" x14ac:dyDescent="0.45">
      <c r="B193"/>
    </row>
    <row r="194" spans="2:2" x14ac:dyDescent="0.45">
      <c r="B194"/>
    </row>
    <row r="195" spans="2:2" x14ac:dyDescent="0.45">
      <c r="B195"/>
    </row>
    <row r="196" spans="2:2" x14ac:dyDescent="0.45">
      <c r="B196"/>
    </row>
    <row r="197" spans="2:2" x14ac:dyDescent="0.45">
      <c r="B197"/>
    </row>
    <row r="198" spans="2:2" x14ac:dyDescent="0.45">
      <c r="B198"/>
    </row>
    <row r="199" spans="2:2" x14ac:dyDescent="0.45">
      <c r="B199"/>
    </row>
    <row r="200" spans="2:2" x14ac:dyDescent="0.45">
      <c r="B200"/>
    </row>
    <row r="201" spans="2:2" x14ac:dyDescent="0.45">
      <c r="B201"/>
    </row>
    <row r="202" spans="2:2" x14ac:dyDescent="0.45">
      <c r="B202"/>
    </row>
    <row r="203" spans="2:2" x14ac:dyDescent="0.45">
      <c r="B203"/>
    </row>
    <row r="204" spans="2:2" x14ac:dyDescent="0.45">
      <c r="B204"/>
    </row>
    <row r="205" spans="2:2" x14ac:dyDescent="0.45">
      <c r="B205"/>
    </row>
    <row r="206" spans="2:2" x14ac:dyDescent="0.45">
      <c r="B206"/>
    </row>
    <row r="207" spans="2:2" x14ac:dyDescent="0.45">
      <c r="B207"/>
    </row>
    <row r="208" spans="2:2" x14ac:dyDescent="0.45">
      <c r="B208"/>
    </row>
    <row r="209" spans="2:2" x14ac:dyDescent="0.45">
      <c r="B209"/>
    </row>
    <row r="210" spans="2:2" x14ac:dyDescent="0.45">
      <c r="B210"/>
    </row>
    <row r="211" spans="2:2" x14ac:dyDescent="0.45">
      <c r="B211"/>
    </row>
    <row r="212" spans="2:2" x14ac:dyDescent="0.45">
      <c r="B212"/>
    </row>
    <row r="213" spans="2:2" x14ac:dyDescent="0.45">
      <c r="B213"/>
    </row>
    <row r="214" spans="2:2" x14ac:dyDescent="0.45">
      <c r="B214"/>
    </row>
    <row r="215" spans="2:2" x14ac:dyDescent="0.45">
      <c r="B215"/>
    </row>
    <row r="216" spans="2:2" x14ac:dyDescent="0.45">
      <c r="B216"/>
    </row>
    <row r="217" spans="2:2" x14ac:dyDescent="0.45">
      <c r="B217"/>
    </row>
    <row r="218" spans="2:2" x14ac:dyDescent="0.45">
      <c r="B218"/>
    </row>
    <row r="219" spans="2:2" x14ac:dyDescent="0.45">
      <c r="B219"/>
    </row>
    <row r="220" spans="2:2" x14ac:dyDescent="0.45">
      <c r="B220"/>
    </row>
    <row r="221" spans="2:2" x14ac:dyDescent="0.45">
      <c r="B221"/>
    </row>
    <row r="222" spans="2:2" x14ac:dyDescent="0.45">
      <c r="B222"/>
    </row>
    <row r="223" spans="2:2" x14ac:dyDescent="0.45">
      <c r="B223"/>
    </row>
    <row r="224" spans="2:2" x14ac:dyDescent="0.45">
      <c r="B224"/>
    </row>
    <row r="225" spans="2:2" x14ac:dyDescent="0.45">
      <c r="B225"/>
    </row>
    <row r="226" spans="2:2" x14ac:dyDescent="0.45">
      <c r="B226"/>
    </row>
    <row r="227" spans="2:2" x14ac:dyDescent="0.45">
      <c r="B227"/>
    </row>
    <row r="228" spans="2:2" x14ac:dyDescent="0.45">
      <c r="B228"/>
    </row>
    <row r="229" spans="2:2" x14ac:dyDescent="0.45">
      <c r="B229"/>
    </row>
    <row r="230" spans="2:2" x14ac:dyDescent="0.45">
      <c r="B230"/>
    </row>
    <row r="231" spans="2:2" x14ac:dyDescent="0.45">
      <c r="B231"/>
    </row>
    <row r="232" spans="2:2" x14ac:dyDescent="0.45">
      <c r="B232"/>
    </row>
    <row r="233" spans="2:2" x14ac:dyDescent="0.45">
      <c r="B233"/>
    </row>
    <row r="234" spans="2:2" x14ac:dyDescent="0.45">
      <c r="B234"/>
    </row>
    <row r="235" spans="2:2" x14ac:dyDescent="0.45">
      <c r="B235"/>
    </row>
    <row r="236" spans="2:2" x14ac:dyDescent="0.45">
      <c r="B236"/>
    </row>
    <row r="237" spans="2:2" x14ac:dyDescent="0.45">
      <c r="B237"/>
    </row>
    <row r="238" spans="2:2" x14ac:dyDescent="0.45">
      <c r="B238"/>
    </row>
    <row r="239" spans="2:2" x14ac:dyDescent="0.45">
      <c r="B239"/>
    </row>
    <row r="240" spans="2:2" x14ac:dyDescent="0.45">
      <c r="B240"/>
    </row>
    <row r="241" spans="2:2" x14ac:dyDescent="0.45">
      <c r="B241"/>
    </row>
    <row r="242" spans="2:2" x14ac:dyDescent="0.45">
      <c r="B242"/>
    </row>
    <row r="243" spans="2:2" x14ac:dyDescent="0.45">
      <c r="B243"/>
    </row>
    <row r="244" spans="2:2" x14ac:dyDescent="0.45">
      <c r="B244"/>
    </row>
    <row r="245" spans="2:2" x14ac:dyDescent="0.45">
      <c r="B245"/>
    </row>
    <row r="246" spans="2:2" x14ac:dyDescent="0.45">
      <c r="B246"/>
    </row>
    <row r="247" spans="2:2" x14ac:dyDescent="0.45">
      <c r="B247"/>
    </row>
    <row r="248" spans="2:2" x14ac:dyDescent="0.45">
      <c r="B248"/>
    </row>
    <row r="249" spans="2:2" x14ac:dyDescent="0.45">
      <c r="B249"/>
    </row>
    <row r="250" spans="2:2" x14ac:dyDescent="0.45">
      <c r="B250"/>
    </row>
    <row r="251" spans="2:2" x14ac:dyDescent="0.45">
      <c r="B251"/>
    </row>
    <row r="252" spans="2:2" x14ac:dyDescent="0.45">
      <c r="B252"/>
    </row>
    <row r="253" spans="2:2" x14ac:dyDescent="0.45">
      <c r="B253"/>
    </row>
    <row r="254" spans="2:2" x14ac:dyDescent="0.45">
      <c r="B254"/>
    </row>
    <row r="255" spans="2:2" x14ac:dyDescent="0.45">
      <c r="B255"/>
    </row>
    <row r="256" spans="2:2" x14ac:dyDescent="0.45">
      <c r="B256"/>
    </row>
    <row r="257" spans="2:2" x14ac:dyDescent="0.45">
      <c r="B257"/>
    </row>
    <row r="258" spans="2:2" x14ac:dyDescent="0.45">
      <c r="B258"/>
    </row>
    <row r="259" spans="2:2" x14ac:dyDescent="0.45">
      <c r="B259"/>
    </row>
    <row r="260" spans="2:2" x14ac:dyDescent="0.45">
      <c r="B260"/>
    </row>
    <row r="261" spans="2:2" x14ac:dyDescent="0.45">
      <c r="B261"/>
    </row>
    <row r="262" spans="2:2" x14ac:dyDescent="0.45">
      <c r="B262"/>
    </row>
    <row r="263" spans="2:2" x14ac:dyDescent="0.45">
      <c r="B263"/>
    </row>
    <row r="264" spans="2:2" x14ac:dyDescent="0.45">
      <c r="B264"/>
    </row>
    <row r="265" spans="2:2" x14ac:dyDescent="0.45">
      <c r="B265"/>
    </row>
    <row r="266" spans="2:2" x14ac:dyDescent="0.45">
      <c r="B266"/>
    </row>
    <row r="267" spans="2:2" x14ac:dyDescent="0.45">
      <c r="B267"/>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6514-997E-4ECF-8788-4EB4167036AA}">
  <sheetPr codeName="Sheet3">
    <tabColor rgb="FF00B0F0"/>
  </sheetPr>
  <dimension ref="A1:B12"/>
  <sheetViews>
    <sheetView tabSelected="1" workbookViewId="0">
      <selection activeCell="E8" sqref="E8"/>
    </sheetView>
  </sheetViews>
  <sheetFormatPr defaultRowHeight="18" x14ac:dyDescent="0.45"/>
  <cols>
    <col min="1" max="1" width="7.8984375" bestFit="1" customWidth="1"/>
    <col min="2" max="2" width="5.19921875" bestFit="1" customWidth="1"/>
  </cols>
  <sheetData>
    <row r="1" spans="1:2" x14ac:dyDescent="0.45">
      <c r="A1" s="2" t="s">
        <v>1167</v>
      </c>
      <c r="B1" s="2" t="s">
        <v>1092</v>
      </c>
    </row>
    <row r="2" spans="1:2" x14ac:dyDescent="0.45">
      <c r="A2" s="3">
        <v>1</v>
      </c>
      <c r="B2" s="3" t="s">
        <v>1089</v>
      </c>
    </row>
    <row r="3" spans="1:2" x14ac:dyDescent="0.45">
      <c r="A3" s="3">
        <v>2</v>
      </c>
      <c r="B3" s="3" t="s">
        <v>866</v>
      </c>
    </row>
    <row r="4" spans="1:2" x14ac:dyDescent="0.45">
      <c r="A4" s="3">
        <v>3</v>
      </c>
      <c r="B4" s="3" t="s">
        <v>1090</v>
      </c>
    </row>
    <row r="5" spans="1:2" x14ac:dyDescent="0.45">
      <c r="A5" s="3">
        <v>4</v>
      </c>
      <c r="B5" s="3" t="s">
        <v>868</v>
      </c>
    </row>
    <row r="6" spans="1:2" x14ac:dyDescent="0.45">
      <c r="A6" s="3">
        <v>5</v>
      </c>
      <c r="B6" s="3" t="s">
        <v>867</v>
      </c>
    </row>
    <row r="7" spans="1:2" x14ac:dyDescent="0.45">
      <c r="A7" s="3">
        <v>6</v>
      </c>
      <c r="B7" s="3" t="s">
        <v>865</v>
      </c>
    </row>
    <row r="8" spans="1:2" x14ac:dyDescent="0.45">
      <c r="A8" s="3">
        <v>7</v>
      </c>
      <c r="B8" s="3" t="s">
        <v>768</v>
      </c>
    </row>
    <row r="9" spans="1:2" x14ac:dyDescent="0.45">
      <c r="A9" s="3">
        <v>8</v>
      </c>
      <c r="B9" s="3" t="s">
        <v>41</v>
      </c>
    </row>
    <row r="10" spans="1:2" x14ac:dyDescent="0.45">
      <c r="A10" s="3">
        <v>9</v>
      </c>
      <c r="B10" s="3" t="s">
        <v>52</v>
      </c>
    </row>
    <row r="11" spans="1:2" x14ac:dyDescent="0.45">
      <c r="A11" s="3">
        <v>10</v>
      </c>
      <c r="B11" s="3" t="s">
        <v>200</v>
      </c>
    </row>
    <row r="12" spans="1:2" x14ac:dyDescent="0.45">
      <c r="A12" s="3">
        <v>11</v>
      </c>
      <c r="B12" s="3" t="s">
        <v>248</v>
      </c>
    </row>
  </sheetData>
  <sortState xmlns:xlrd2="http://schemas.microsoft.com/office/spreadsheetml/2017/richdata2" ref="B2:B7">
    <sortCondition descending="1" ref="B1:B7"/>
  </sortState>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1163-9481-4EEA-9CAC-9CEBC56F59D1}">
  <sheetPr codeName="Sheet4">
    <tabColor rgb="FF00B0F0"/>
  </sheetPr>
  <dimension ref="A1:B267"/>
  <sheetViews>
    <sheetView workbookViewId="0">
      <selection activeCell="I6" sqref="I6"/>
    </sheetView>
  </sheetViews>
  <sheetFormatPr defaultRowHeight="18" x14ac:dyDescent="0.45"/>
  <cols>
    <col min="2" max="2" width="5.19921875" style="1" bestFit="1" customWidth="1"/>
  </cols>
  <sheetData>
    <row r="1" spans="1:2" x14ac:dyDescent="0.45">
      <c r="A1" s="2" t="s">
        <v>1171</v>
      </c>
      <c r="B1" s="2" t="s">
        <v>1093</v>
      </c>
    </row>
    <row r="2" spans="1:2" x14ac:dyDescent="0.45">
      <c r="A2" s="3">
        <v>1</v>
      </c>
      <c r="B2" s="2" t="s">
        <v>1099</v>
      </c>
    </row>
    <row r="3" spans="1:2" x14ac:dyDescent="0.45">
      <c r="A3" s="3">
        <v>2</v>
      </c>
      <c r="B3" s="2" t="s">
        <v>1149</v>
      </c>
    </row>
    <row r="4" spans="1:2" x14ac:dyDescent="0.45">
      <c r="B4"/>
    </row>
    <row r="5" spans="1:2" x14ac:dyDescent="0.45">
      <c r="B5"/>
    </row>
    <row r="6" spans="1:2" x14ac:dyDescent="0.45">
      <c r="B6"/>
    </row>
    <row r="7" spans="1:2" x14ac:dyDescent="0.45">
      <c r="B7"/>
    </row>
    <row r="8" spans="1:2" x14ac:dyDescent="0.45">
      <c r="B8"/>
    </row>
    <row r="9" spans="1:2" x14ac:dyDescent="0.45">
      <c r="B9"/>
    </row>
    <row r="10" spans="1:2" x14ac:dyDescent="0.45">
      <c r="B10"/>
    </row>
    <row r="11" spans="1:2" x14ac:dyDescent="0.45">
      <c r="B11"/>
    </row>
    <row r="12" spans="1:2" x14ac:dyDescent="0.45">
      <c r="B12"/>
    </row>
    <row r="13" spans="1:2" x14ac:dyDescent="0.45">
      <c r="B13"/>
    </row>
    <row r="14" spans="1:2" x14ac:dyDescent="0.45">
      <c r="B14"/>
    </row>
    <row r="15" spans="1:2" x14ac:dyDescent="0.45">
      <c r="B15"/>
    </row>
    <row r="16" spans="1:2" x14ac:dyDescent="0.45">
      <c r="B16"/>
    </row>
    <row r="17" spans="2:2" x14ac:dyDescent="0.45">
      <c r="B17"/>
    </row>
    <row r="18" spans="2:2" x14ac:dyDescent="0.45">
      <c r="B18"/>
    </row>
    <row r="19" spans="2:2" x14ac:dyDescent="0.45">
      <c r="B19"/>
    </row>
    <row r="20" spans="2:2" x14ac:dyDescent="0.45">
      <c r="B20"/>
    </row>
    <row r="21" spans="2:2" x14ac:dyDescent="0.45">
      <c r="B21"/>
    </row>
    <row r="22" spans="2:2" x14ac:dyDescent="0.45">
      <c r="B22"/>
    </row>
    <row r="23" spans="2:2" x14ac:dyDescent="0.45">
      <c r="B23"/>
    </row>
    <row r="24" spans="2:2" x14ac:dyDescent="0.45">
      <c r="B24"/>
    </row>
    <row r="25" spans="2:2" x14ac:dyDescent="0.45">
      <c r="B25"/>
    </row>
    <row r="26" spans="2:2" x14ac:dyDescent="0.45">
      <c r="B26"/>
    </row>
    <row r="27" spans="2:2" x14ac:dyDescent="0.45">
      <c r="B27"/>
    </row>
    <row r="28" spans="2:2" x14ac:dyDescent="0.45">
      <c r="B28"/>
    </row>
    <row r="29" spans="2:2" x14ac:dyDescent="0.45">
      <c r="B29"/>
    </row>
    <row r="30" spans="2:2" x14ac:dyDescent="0.45">
      <c r="B30"/>
    </row>
    <row r="31" spans="2:2" x14ac:dyDescent="0.45">
      <c r="B31"/>
    </row>
    <row r="32" spans="2:2" x14ac:dyDescent="0.45">
      <c r="B32"/>
    </row>
    <row r="33" spans="2:2" x14ac:dyDescent="0.45">
      <c r="B33"/>
    </row>
    <row r="34" spans="2:2" x14ac:dyDescent="0.45">
      <c r="B34"/>
    </row>
    <row r="35" spans="2:2" x14ac:dyDescent="0.45">
      <c r="B35"/>
    </row>
    <row r="36" spans="2:2" x14ac:dyDescent="0.45">
      <c r="B36"/>
    </row>
    <row r="37" spans="2:2" x14ac:dyDescent="0.45">
      <c r="B37"/>
    </row>
    <row r="38" spans="2:2" x14ac:dyDescent="0.45">
      <c r="B38"/>
    </row>
    <row r="39" spans="2:2" x14ac:dyDescent="0.45">
      <c r="B39"/>
    </row>
    <row r="40" spans="2:2" x14ac:dyDescent="0.45">
      <c r="B40"/>
    </row>
    <row r="41" spans="2:2" x14ac:dyDescent="0.45">
      <c r="B41"/>
    </row>
    <row r="42" spans="2:2" x14ac:dyDescent="0.45">
      <c r="B42"/>
    </row>
    <row r="43" spans="2:2" x14ac:dyDescent="0.45">
      <c r="B43"/>
    </row>
    <row r="44" spans="2:2" x14ac:dyDescent="0.45">
      <c r="B44"/>
    </row>
    <row r="45" spans="2:2" x14ac:dyDescent="0.45">
      <c r="B45"/>
    </row>
    <row r="46" spans="2:2" x14ac:dyDescent="0.45">
      <c r="B46"/>
    </row>
    <row r="47" spans="2:2" x14ac:dyDescent="0.45">
      <c r="B47"/>
    </row>
    <row r="48" spans="2:2" x14ac:dyDescent="0.45">
      <c r="B48"/>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row r="67" spans="2:2" x14ac:dyDescent="0.45">
      <c r="B67"/>
    </row>
    <row r="68" spans="2:2" x14ac:dyDescent="0.45">
      <c r="B68"/>
    </row>
    <row r="69" spans="2:2" x14ac:dyDescent="0.45">
      <c r="B69"/>
    </row>
    <row r="70" spans="2:2" x14ac:dyDescent="0.45">
      <c r="B70"/>
    </row>
    <row r="71" spans="2:2" x14ac:dyDescent="0.45">
      <c r="B71"/>
    </row>
    <row r="72" spans="2:2" x14ac:dyDescent="0.45">
      <c r="B72"/>
    </row>
    <row r="73" spans="2:2" x14ac:dyDescent="0.45">
      <c r="B73"/>
    </row>
    <row r="74" spans="2:2" x14ac:dyDescent="0.45">
      <c r="B74"/>
    </row>
    <row r="75" spans="2:2" x14ac:dyDescent="0.45">
      <c r="B75"/>
    </row>
    <row r="76" spans="2:2" x14ac:dyDescent="0.45">
      <c r="B76"/>
    </row>
    <row r="77" spans="2:2" x14ac:dyDescent="0.45">
      <c r="B77"/>
    </row>
    <row r="78" spans="2:2" x14ac:dyDescent="0.45">
      <c r="B78"/>
    </row>
    <row r="79" spans="2:2" x14ac:dyDescent="0.45">
      <c r="B79"/>
    </row>
    <row r="80" spans="2:2" x14ac:dyDescent="0.45">
      <c r="B80"/>
    </row>
    <row r="81" spans="2:2" x14ac:dyDescent="0.45">
      <c r="B81"/>
    </row>
    <row r="82" spans="2:2" x14ac:dyDescent="0.45">
      <c r="B82"/>
    </row>
    <row r="83" spans="2:2" x14ac:dyDescent="0.45">
      <c r="B83"/>
    </row>
    <row r="84" spans="2:2" x14ac:dyDescent="0.45">
      <c r="B84"/>
    </row>
    <row r="85" spans="2:2" x14ac:dyDescent="0.45">
      <c r="B85"/>
    </row>
    <row r="86" spans="2:2" x14ac:dyDescent="0.45">
      <c r="B86"/>
    </row>
    <row r="87" spans="2:2" x14ac:dyDescent="0.45">
      <c r="B87"/>
    </row>
    <row r="88" spans="2:2" x14ac:dyDescent="0.45">
      <c r="B88"/>
    </row>
    <row r="89" spans="2:2" x14ac:dyDescent="0.45">
      <c r="B89"/>
    </row>
    <row r="90" spans="2:2" x14ac:dyDescent="0.45">
      <c r="B90"/>
    </row>
    <row r="91" spans="2:2" x14ac:dyDescent="0.45">
      <c r="B91"/>
    </row>
    <row r="92" spans="2:2" x14ac:dyDescent="0.45">
      <c r="B92"/>
    </row>
    <row r="93" spans="2:2" x14ac:dyDescent="0.45">
      <c r="B93"/>
    </row>
    <row r="94" spans="2:2" x14ac:dyDescent="0.45">
      <c r="B94"/>
    </row>
    <row r="95" spans="2:2" x14ac:dyDescent="0.45">
      <c r="B95"/>
    </row>
    <row r="96" spans="2:2" x14ac:dyDescent="0.45">
      <c r="B96"/>
    </row>
    <row r="97" spans="2:2" x14ac:dyDescent="0.45">
      <c r="B97"/>
    </row>
    <row r="98" spans="2:2" x14ac:dyDescent="0.45">
      <c r="B98"/>
    </row>
    <row r="99" spans="2:2" x14ac:dyDescent="0.45">
      <c r="B99"/>
    </row>
    <row r="100" spans="2:2" x14ac:dyDescent="0.45">
      <c r="B100"/>
    </row>
    <row r="101" spans="2:2" x14ac:dyDescent="0.45">
      <c r="B101"/>
    </row>
    <row r="102" spans="2:2" x14ac:dyDescent="0.45">
      <c r="B102"/>
    </row>
    <row r="103" spans="2:2" x14ac:dyDescent="0.45">
      <c r="B103"/>
    </row>
    <row r="104" spans="2:2" x14ac:dyDescent="0.45">
      <c r="B104"/>
    </row>
    <row r="105" spans="2:2" x14ac:dyDescent="0.45">
      <c r="B105"/>
    </row>
    <row r="106" spans="2:2" x14ac:dyDescent="0.45">
      <c r="B106"/>
    </row>
    <row r="107" spans="2:2" x14ac:dyDescent="0.45">
      <c r="B107"/>
    </row>
    <row r="108" spans="2:2" x14ac:dyDescent="0.45">
      <c r="B108"/>
    </row>
    <row r="109" spans="2:2" x14ac:dyDescent="0.45">
      <c r="B109"/>
    </row>
    <row r="110" spans="2:2" x14ac:dyDescent="0.45">
      <c r="B110"/>
    </row>
    <row r="111" spans="2:2" x14ac:dyDescent="0.45">
      <c r="B111"/>
    </row>
    <row r="112" spans="2:2" x14ac:dyDescent="0.45">
      <c r="B112"/>
    </row>
    <row r="113" spans="2:2" x14ac:dyDescent="0.45">
      <c r="B113"/>
    </row>
    <row r="114" spans="2:2" x14ac:dyDescent="0.45">
      <c r="B114"/>
    </row>
    <row r="115" spans="2:2" x14ac:dyDescent="0.45">
      <c r="B115"/>
    </row>
    <row r="116" spans="2:2" x14ac:dyDescent="0.45">
      <c r="B116"/>
    </row>
    <row r="117" spans="2:2" x14ac:dyDescent="0.45">
      <c r="B117"/>
    </row>
    <row r="118" spans="2:2" x14ac:dyDescent="0.45">
      <c r="B118"/>
    </row>
    <row r="119" spans="2:2" x14ac:dyDescent="0.45">
      <c r="B119"/>
    </row>
    <row r="120" spans="2:2" x14ac:dyDescent="0.45">
      <c r="B120"/>
    </row>
    <row r="121" spans="2:2" x14ac:dyDescent="0.45">
      <c r="B121"/>
    </row>
    <row r="122" spans="2:2" x14ac:dyDescent="0.45">
      <c r="B122"/>
    </row>
    <row r="123" spans="2:2" x14ac:dyDescent="0.45">
      <c r="B123"/>
    </row>
    <row r="124" spans="2:2" x14ac:dyDescent="0.45">
      <c r="B124"/>
    </row>
    <row r="125" spans="2:2" x14ac:dyDescent="0.45">
      <c r="B125"/>
    </row>
    <row r="126" spans="2:2" x14ac:dyDescent="0.45">
      <c r="B126"/>
    </row>
    <row r="127" spans="2:2" x14ac:dyDescent="0.45">
      <c r="B127"/>
    </row>
    <row r="128" spans="2:2" x14ac:dyDescent="0.45">
      <c r="B128"/>
    </row>
    <row r="129" spans="2:2" x14ac:dyDescent="0.45">
      <c r="B129"/>
    </row>
    <row r="130" spans="2:2" x14ac:dyDescent="0.45">
      <c r="B130"/>
    </row>
    <row r="131" spans="2:2" x14ac:dyDescent="0.45">
      <c r="B131"/>
    </row>
    <row r="132" spans="2:2" x14ac:dyDescent="0.45">
      <c r="B132"/>
    </row>
    <row r="133" spans="2:2" x14ac:dyDescent="0.45">
      <c r="B133"/>
    </row>
    <row r="134" spans="2:2" x14ac:dyDescent="0.45">
      <c r="B134"/>
    </row>
    <row r="135" spans="2:2" x14ac:dyDescent="0.45">
      <c r="B135"/>
    </row>
    <row r="136" spans="2:2" x14ac:dyDescent="0.45">
      <c r="B136"/>
    </row>
    <row r="137" spans="2:2" x14ac:dyDescent="0.45">
      <c r="B137"/>
    </row>
    <row r="138" spans="2:2" x14ac:dyDescent="0.45">
      <c r="B138"/>
    </row>
    <row r="139" spans="2:2" x14ac:dyDescent="0.45">
      <c r="B139"/>
    </row>
    <row r="140" spans="2:2" x14ac:dyDescent="0.45">
      <c r="B140"/>
    </row>
    <row r="141" spans="2:2" x14ac:dyDescent="0.45">
      <c r="B141"/>
    </row>
    <row r="142" spans="2:2" x14ac:dyDescent="0.45">
      <c r="B142"/>
    </row>
    <row r="143" spans="2:2" x14ac:dyDescent="0.45">
      <c r="B143"/>
    </row>
    <row r="144" spans="2:2" x14ac:dyDescent="0.45">
      <c r="B144"/>
    </row>
    <row r="145" spans="2:2" x14ac:dyDescent="0.45">
      <c r="B145"/>
    </row>
    <row r="146" spans="2:2" x14ac:dyDescent="0.45">
      <c r="B146"/>
    </row>
    <row r="147" spans="2:2" x14ac:dyDescent="0.45">
      <c r="B147"/>
    </row>
    <row r="148" spans="2:2" x14ac:dyDescent="0.45">
      <c r="B148"/>
    </row>
    <row r="149" spans="2:2" x14ac:dyDescent="0.45">
      <c r="B149"/>
    </row>
    <row r="150" spans="2:2" x14ac:dyDescent="0.45">
      <c r="B150"/>
    </row>
    <row r="151" spans="2:2" x14ac:dyDescent="0.45">
      <c r="B151"/>
    </row>
    <row r="152" spans="2:2" x14ac:dyDescent="0.45">
      <c r="B152"/>
    </row>
    <row r="153" spans="2:2" x14ac:dyDescent="0.45">
      <c r="B153"/>
    </row>
    <row r="154" spans="2:2" x14ac:dyDescent="0.45">
      <c r="B154"/>
    </row>
    <row r="155" spans="2:2" x14ac:dyDescent="0.45">
      <c r="B155"/>
    </row>
    <row r="156" spans="2:2" x14ac:dyDescent="0.45">
      <c r="B156"/>
    </row>
    <row r="157" spans="2:2" x14ac:dyDescent="0.45">
      <c r="B157"/>
    </row>
    <row r="158" spans="2:2" x14ac:dyDescent="0.45">
      <c r="B158"/>
    </row>
    <row r="159" spans="2:2" x14ac:dyDescent="0.45">
      <c r="B159"/>
    </row>
    <row r="160" spans="2:2" x14ac:dyDescent="0.45">
      <c r="B160"/>
    </row>
    <row r="161" spans="2:2" x14ac:dyDescent="0.45">
      <c r="B161"/>
    </row>
    <row r="162" spans="2:2" x14ac:dyDescent="0.45">
      <c r="B162"/>
    </row>
    <row r="163" spans="2:2" x14ac:dyDescent="0.45">
      <c r="B163"/>
    </row>
    <row r="164" spans="2:2" x14ac:dyDescent="0.45">
      <c r="B164"/>
    </row>
    <row r="165" spans="2:2" x14ac:dyDescent="0.45">
      <c r="B165"/>
    </row>
    <row r="166" spans="2:2" x14ac:dyDescent="0.45">
      <c r="B166"/>
    </row>
    <row r="167" spans="2:2" x14ac:dyDescent="0.45">
      <c r="B167"/>
    </row>
    <row r="168" spans="2:2" x14ac:dyDescent="0.45">
      <c r="B168"/>
    </row>
    <row r="169" spans="2:2" x14ac:dyDescent="0.45">
      <c r="B169"/>
    </row>
    <row r="170" spans="2:2" x14ac:dyDescent="0.45">
      <c r="B170"/>
    </row>
    <row r="171" spans="2:2" x14ac:dyDescent="0.45">
      <c r="B171"/>
    </row>
    <row r="172" spans="2:2" x14ac:dyDescent="0.45">
      <c r="B172"/>
    </row>
    <row r="173" spans="2:2" x14ac:dyDescent="0.45">
      <c r="B173"/>
    </row>
    <row r="174" spans="2:2" x14ac:dyDescent="0.45">
      <c r="B174"/>
    </row>
    <row r="175" spans="2:2" x14ac:dyDescent="0.45">
      <c r="B175"/>
    </row>
    <row r="176" spans="2:2" x14ac:dyDescent="0.45">
      <c r="B176"/>
    </row>
    <row r="177" spans="2:2" x14ac:dyDescent="0.45">
      <c r="B177"/>
    </row>
    <row r="178" spans="2:2" x14ac:dyDescent="0.45">
      <c r="B178"/>
    </row>
    <row r="179" spans="2:2" x14ac:dyDescent="0.45">
      <c r="B179"/>
    </row>
    <row r="180" spans="2:2" x14ac:dyDescent="0.45">
      <c r="B180"/>
    </row>
    <row r="181" spans="2:2" x14ac:dyDescent="0.45">
      <c r="B181"/>
    </row>
    <row r="182" spans="2:2" x14ac:dyDescent="0.45">
      <c r="B182"/>
    </row>
    <row r="183" spans="2:2" x14ac:dyDescent="0.45">
      <c r="B183"/>
    </row>
    <row r="184" spans="2:2" x14ac:dyDescent="0.45">
      <c r="B184"/>
    </row>
    <row r="185" spans="2:2" x14ac:dyDescent="0.45">
      <c r="B185"/>
    </row>
    <row r="186" spans="2:2" x14ac:dyDescent="0.45">
      <c r="B186"/>
    </row>
    <row r="187" spans="2:2" x14ac:dyDescent="0.45">
      <c r="B187"/>
    </row>
    <row r="188" spans="2:2" x14ac:dyDescent="0.45">
      <c r="B188"/>
    </row>
    <row r="189" spans="2:2" x14ac:dyDescent="0.45">
      <c r="B189"/>
    </row>
    <row r="190" spans="2:2" x14ac:dyDescent="0.45">
      <c r="B190"/>
    </row>
    <row r="191" spans="2:2" x14ac:dyDescent="0.45">
      <c r="B191"/>
    </row>
    <row r="192" spans="2:2" x14ac:dyDescent="0.45">
      <c r="B192"/>
    </row>
    <row r="193" spans="2:2" x14ac:dyDescent="0.45">
      <c r="B193"/>
    </row>
    <row r="194" spans="2:2" x14ac:dyDescent="0.45">
      <c r="B194"/>
    </row>
    <row r="195" spans="2:2" x14ac:dyDescent="0.45">
      <c r="B195"/>
    </row>
    <row r="196" spans="2:2" x14ac:dyDescent="0.45">
      <c r="B196"/>
    </row>
    <row r="197" spans="2:2" x14ac:dyDescent="0.45">
      <c r="B197"/>
    </row>
    <row r="198" spans="2:2" x14ac:dyDescent="0.45">
      <c r="B198"/>
    </row>
    <row r="199" spans="2:2" x14ac:dyDescent="0.45">
      <c r="B199"/>
    </row>
    <row r="200" spans="2:2" x14ac:dyDescent="0.45">
      <c r="B200"/>
    </row>
    <row r="201" spans="2:2" x14ac:dyDescent="0.45">
      <c r="B201"/>
    </row>
    <row r="202" spans="2:2" x14ac:dyDescent="0.45">
      <c r="B202"/>
    </row>
    <row r="203" spans="2:2" x14ac:dyDescent="0.45">
      <c r="B203"/>
    </row>
    <row r="204" spans="2:2" x14ac:dyDescent="0.45">
      <c r="B204"/>
    </row>
    <row r="205" spans="2:2" x14ac:dyDescent="0.45">
      <c r="B205"/>
    </row>
    <row r="206" spans="2:2" x14ac:dyDescent="0.45">
      <c r="B206"/>
    </row>
    <row r="207" spans="2:2" x14ac:dyDescent="0.45">
      <c r="B207"/>
    </row>
    <row r="208" spans="2:2" x14ac:dyDescent="0.45">
      <c r="B208"/>
    </row>
    <row r="209" spans="2:2" x14ac:dyDescent="0.45">
      <c r="B209"/>
    </row>
    <row r="210" spans="2:2" x14ac:dyDescent="0.45">
      <c r="B210"/>
    </row>
    <row r="211" spans="2:2" x14ac:dyDescent="0.45">
      <c r="B211"/>
    </row>
    <row r="212" spans="2:2" x14ac:dyDescent="0.45">
      <c r="B212"/>
    </row>
    <row r="213" spans="2:2" x14ac:dyDescent="0.45">
      <c r="B213"/>
    </row>
    <row r="214" spans="2:2" x14ac:dyDescent="0.45">
      <c r="B214"/>
    </row>
    <row r="215" spans="2:2" x14ac:dyDescent="0.45">
      <c r="B215"/>
    </row>
    <row r="216" spans="2:2" x14ac:dyDescent="0.45">
      <c r="B216"/>
    </row>
    <row r="217" spans="2:2" x14ac:dyDescent="0.45">
      <c r="B217"/>
    </row>
    <row r="218" spans="2:2" x14ac:dyDescent="0.45">
      <c r="B218"/>
    </row>
    <row r="219" spans="2:2" x14ac:dyDescent="0.45">
      <c r="B219"/>
    </row>
    <row r="220" spans="2:2" x14ac:dyDescent="0.45">
      <c r="B220"/>
    </row>
    <row r="221" spans="2:2" x14ac:dyDescent="0.45">
      <c r="B221"/>
    </row>
    <row r="222" spans="2:2" x14ac:dyDescent="0.45">
      <c r="B222"/>
    </row>
    <row r="223" spans="2:2" x14ac:dyDescent="0.45">
      <c r="B223"/>
    </row>
    <row r="224" spans="2:2" x14ac:dyDescent="0.45">
      <c r="B224"/>
    </row>
    <row r="225" spans="2:2" x14ac:dyDescent="0.45">
      <c r="B225"/>
    </row>
    <row r="226" spans="2:2" x14ac:dyDescent="0.45">
      <c r="B226"/>
    </row>
    <row r="227" spans="2:2" x14ac:dyDescent="0.45">
      <c r="B227"/>
    </row>
    <row r="228" spans="2:2" x14ac:dyDescent="0.45">
      <c r="B228"/>
    </row>
    <row r="229" spans="2:2" x14ac:dyDescent="0.45">
      <c r="B229"/>
    </row>
    <row r="230" spans="2:2" x14ac:dyDescent="0.45">
      <c r="B230"/>
    </row>
    <row r="231" spans="2:2" x14ac:dyDescent="0.45">
      <c r="B231"/>
    </row>
    <row r="232" spans="2:2" x14ac:dyDescent="0.45">
      <c r="B232"/>
    </row>
    <row r="233" spans="2:2" x14ac:dyDescent="0.45">
      <c r="B233"/>
    </row>
    <row r="234" spans="2:2" x14ac:dyDescent="0.45">
      <c r="B234"/>
    </row>
    <row r="235" spans="2:2" x14ac:dyDescent="0.45">
      <c r="B235"/>
    </row>
    <row r="236" spans="2:2" x14ac:dyDescent="0.45">
      <c r="B236"/>
    </row>
    <row r="237" spans="2:2" x14ac:dyDescent="0.45">
      <c r="B237"/>
    </row>
    <row r="238" spans="2:2" x14ac:dyDescent="0.45">
      <c r="B238"/>
    </row>
    <row r="239" spans="2:2" x14ac:dyDescent="0.45">
      <c r="B239"/>
    </row>
    <row r="240" spans="2:2" x14ac:dyDescent="0.45">
      <c r="B240"/>
    </row>
    <row r="241" spans="2:2" x14ac:dyDescent="0.45">
      <c r="B241"/>
    </row>
    <row r="242" spans="2:2" x14ac:dyDescent="0.45">
      <c r="B242"/>
    </row>
    <row r="243" spans="2:2" x14ac:dyDescent="0.45">
      <c r="B243"/>
    </row>
    <row r="244" spans="2:2" x14ac:dyDescent="0.45">
      <c r="B244"/>
    </row>
    <row r="245" spans="2:2" x14ac:dyDescent="0.45">
      <c r="B245"/>
    </row>
    <row r="246" spans="2:2" x14ac:dyDescent="0.45">
      <c r="B246"/>
    </row>
    <row r="247" spans="2:2" x14ac:dyDescent="0.45">
      <c r="B247"/>
    </row>
    <row r="248" spans="2:2" x14ac:dyDescent="0.45">
      <c r="B248"/>
    </row>
    <row r="249" spans="2:2" x14ac:dyDescent="0.45">
      <c r="B249"/>
    </row>
    <row r="250" spans="2:2" x14ac:dyDescent="0.45">
      <c r="B250"/>
    </row>
    <row r="251" spans="2:2" x14ac:dyDescent="0.45">
      <c r="B251"/>
    </row>
    <row r="252" spans="2:2" x14ac:dyDescent="0.45">
      <c r="B252"/>
    </row>
    <row r="253" spans="2:2" x14ac:dyDescent="0.45">
      <c r="B253"/>
    </row>
    <row r="254" spans="2:2" x14ac:dyDescent="0.45">
      <c r="B254"/>
    </row>
    <row r="255" spans="2:2" x14ac:dyDescent="0.45">
      <c r="B255"/>
    </row>
    <row r="256" spans="2:2" x14ac:dyDescent="0.45">
      <c r="B256"/>
    </row>
    <row r="257" spans="2:2" x14ac:dyDescent="0.45">
      <c r="B257"/>
    </row>
    <row r="258" spans="2:2" x14ac:dyDescent="0.45">
      <c r="B258"/>
    </row>
    <row r="259" spans="2:2" x14ac:dyDescent="0.45">
      <c r="B259"/>
    </row>
    <row r="260" spans="2:2" x14ac:dyDescent="0.45">
      <c r="B260"/>
    </row>
    <row r="261" spans="2:2" x14ac:dyDescent="0.45">
      <c r="B261"/>
    </row>
    <row r="262" spans="2:2" x14ac:dyDescent="0.45">
      <c r="B262"/>
    </row>
    <row r="263" spans="2:2" x14ac:dyDescent="0.45">
      <c r="B263"/>
    </row>
    <row r="264" spans="2:2" x14ac:dyDescent="0.45">
      <c r="B264"/>
    </row>
    <row r="265" spans="2:2" x14ac:dyDescent="0.45">
      <c r="B265"/>
    </row>
    <row r="266" spans="2:2" x14ac:dyDescent="0.45">
      <c r="B266"/>
    </row>
    <row r="267" spans="2:2" x14ac:dyDescent="0.45">
      <c r="B267"/>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0AB3-AAE1-4711-982D-A32CBD2B24F5}">
  <sheetPr codeName="Sheet5">
    <tabColor rgb="FF00B0F0"/>
  </sheetPr>
  <dimension ref="A1:P267"/>
  <sheetViews>
    <sheetView workbookViewId="0">
      <pane xSplit="7" ySplit="1" topLeftCell="H254" activePane="bottomRight" state="frozen"/>
      <selection activeCell="I6" sqref="I6"/>
      <selection pane="topRight" activeCell="I6" sqref="I6"/>
      <selection pane="bottomLeft" activeCell="I6" sqref="I6"/>
      <selection pane="bottomRight" activeCell="P267" sqref="P267"/>
    </sheetView>
  </sheetViews>
  <sheetFormatPr defaultRowHeight="18" x14ac:dyDescent="0.45"/>
  <cols>
    <col min="1" max="1" width="4.5" bestFit="1" customWidth="1"/>
    <col min="2" max="2" width="7.8984375" bestFit="1" customWidth="1"/>
    <col min="3" max="3" width="7.09765625" style="1" bestFit="1" customWidth="1"/>
    <col min="4" max="4" width="29.59765625" bestFit="1" customWidth="1"/>
    <col min="5" max="5" width="40.09765625" bestFit="1" customWidth="1"/>
    <col min="6" max="6" width="11.8984375" bestFit="1" customWidth="1"/>
    <col min="7" max="7" width="5.19921875" style="1" bestFit="1" customWidth="1"/>
    <col min="8" max="8" width="11.8984375" style="1" bestFit="1" customWidth="1"/>
    <col min="9" max="9" width="5.19921875" style="1" bestFit="1" customWidth="1"/>
    <col min="10" max="10" width="7.09765625" bestFit="1" customWidth="1"/>
    <col min="11" max="11" width="9" bestFit="1" customWidth="1"/>
    <col min="12" max="12" width="48.3984375" bestFit="1" customWidth="1"/>
    <col min="13" max="13" width="17.19921875" bestFit="1" customWidth="1"/>
    <col min="14" max="14" width="98.09765625" customWidth="1"/>
    <col min="16" max="16" width="37.59765625" bestFit="1" customWidth="1"/>
  </cols>
  <sheetData>
    <row r="1" spans="1:16" s="1" customFormat="1" x14ac:dyDescent="0.45">
      <c r="A1" s="2" t="s">
        <v>1168</v>
      </c>
      <c r="B1" s="2" t="s">
        <v>1169</v>
      </c>
      <c r="C1" s="2" t="s">
        <v>434</v>
      </c>
      <c r="D1" s="2" t="s">
        <v>1091</v>
      </c>
      <c r="E1" s="2" t="s">
        <v>1173</v>
      </c>
      <c r="F1" s="2" t="s">
        <v>1170</v>
      </c>
      <c r="G1" s="2" t="s">
        <v>1092</v>
      </c>
      <c r="H1" s="2" t="s">
        <v>1171</v>
      </c>
      <c r="I1" s="2" t="s">
        <v>1093</v>
      </c>
      <c r="J1" s="2" t="s">
        <v>1094</v>
      </c>
      <c r="K1" s="2" t="s">
        <v>1095</v>
      </c>
      <c r="L1" s="2" t="s">
        <v>1097</v>
      </c>
      <c r="M1" s="2" t="s">
        <v>1096</v>
      </c>
      <c r="N1" s="2" t="s">
        <v>1098</v>
      </c>
      <c r="O1" s="2" t="s">
        <v>1172</v>
      </c>
      <c r="P1" s="2" t="s">
        <v>1441</v>
      </c>
    </row>
    <row r="2" spans="1:16" x14ac:dyDescent="0.45">
      <c r="A2" s="3">
        <v>1</v>
      </c>
      <c r="B2" s="3">
        <v>1</v>
      </c>
      <c r="C2" s="2" t="str">
        <f>VLOOKUP($B2,拳系マスタ!$A:$B,2,FALSE)</f>
        <v>仁王拳</v>
      </c>
      <c r="D2" s="3" t="s">
        <v>1100</v>
      </c>
      <c r="E2" s="3" t="s">
        <v>1174</v>
      </c>
      <c r="F2" s="3">
        <v>1</v>
      </c>
      <c r="G2" s="2" t="str">
        <f>VLOOKUP($F2,階級マスタ!$A:$B,2,FALSE)</f>
        <v>⑥</v>
      </c>
      <c r="H2" s="2">
        <v>1</v>
      </c>
      <c r="I2" s="2" t="str">
        <f>VLOOKUP($H2,分類マスタ!$A:$B,2,FALSE)</f>
        <v>剛法</v>
      </c>
      <c r="J2" s="3" t="s">
        <v>1135</v>
      </c>
      <c r="K2" s="3" t="s">
        <v>1137</v>
      </c>
      <c r="L2" s="3" t="s">
        <v>952</v>
      </c>
      <c r="M2" s="3" t="s">
        <v>1139</v>
      </c>
      <c r="N2" s="3" t="s">
        <v>954</v>
      </c>
      <c r="O2" s="7">
        <v>170</v>
      </c>
      <c r="P2" s="3" t="s">
        <v>1442</v>
      </c>
    </row>
    <row r="3" spans="1:16" x14ac:dyDescent="0.45">
      <c r="A3" s="3">
        <v>2</v>
      </c>
      <c r="B3" s="3">
        <v>1</v>
      </c>
      <c r="C3" s="2" t="str">
        <f>VLOOKUP($B3,拳系マスタ!$A:$B,2,FALSE)</f>
        <v>仁王拳</v>
      </c>
      <c r="D3" s="3" t="s">
        <v>1101</v>
      </c>
      <c r="E3" s="3" t="s">
        <v>1175</v>
      </c>
      <c r="F3" s="3">
        <v>2</v>
      </c>
      <c r="G3" s="2" t="str">
        <f>VLOOKUP($F3,階級マスタ!$A:$B,2,FALSE)</f>
        <v>⑤</v>
      </c>
      <c r="H3" s="2">
        <v>1</v>
      </c>
      <c r="I3" s="2" t="str">
        <f>VLOOKUP($H3,分類マスタ!$A:$B,2,FALSE)</f>
        <v>剛法</v>
      </c>
      <c r="J3" s="3" t="s">
        <v>1136</v>
      </c>
      <c r="K3" s="3" t="s">
        <v>1137</v>
      </c>
      <c r="L3" s="3" t="s">
        <v>952</v>
      </c>
      <c r="M3" s="3" t="s">
        <v>1138</v>
      </c>
      <c r="N3" s="3" t="s">
        <v>956</v>
      </c>
      <c r="O3" s="7">
        <v>170</v>
      </c>
      <c r="P3" s="3" t="s">
        <v>1442</v>
      </c>
    </row>
    <row r="4" spans="1:16" x14ac:dyDescent="0.45">
      <c r="A4" s="3">
        <v>3</v>
      </c>
      <c r="B4" s="3">
        <v>1</v>
      </c>
      <c r="C4" s="2" t="str">
        <f>VLOOKUP($B4,拳系マスタ!$A:$B,2,FALSE)</f>
        <v>仁王拳</v>
      </c>
      <c r="D4" s="3" t="s">
        <v>1102</v>
      </c>
      <c r="E4" s="3" t="s">
        <v>1176</v>
      </c>
      <c r="F4" s="3">
        <v>1</v>
      </c>
      <c r="G4" s="2" t="str">
        <f>VLOOKUP($F4,階級マスタ!$A:$B,2,FALSE)</f>
        <v>⑥</v>
      </c>
      <c r="H4" s="2">
        <v>1</v>
      </c>
      <c r="I4" s="2" t="str">
        <f>VLOOKUP($H4,分類マスタ!$A:$B,2,FALSE)</f>
        <v>剛法</v>
      </c>
      <c r="J4" s="3" t="s">
        <v>1136</v>
      </c>
      <c r="K4" s="3" t="s">
        <v>1137</v>
      </c>
      <c r="L4" s="3" t="s">
        <v>901</v>
      </c>
      <c r="M4" s="3" t="s">
        <v>1138</v>
      </c>
      <c r="N4" s="3" t="s">
        <v>937</v>
      </c>
      <c r="O4" s="7">
        <v>176</v>
      </c>
      <c r="P4" s="3" t="s">
        <v>1443</v>
      </c>
    </row>
    <row r="5" spans="1:16" x14ac:dyDescent="0.45">
      <c r="A5" s="3">
        <v>4</v>
      </c>
      <c r="B5" s="3">
        <v>1</v>
      </c>
      <c r="C5" s="2" t="str">
        <f>VLOOKUP($B5,拳系マスタ!$A:$B,2,FALSE)</f>
        <v>仁王拳</v>
      </c>
      <c r="D5" s="3" t="s">
        <v>1103</v>
      </c>
      <c r="E5" s="3" t="s">
        <v>1177</v>
      </c>
      <c r="F5" s="3">
        <v>1</v>
      </c>
      <c r="G5" s="2" t="str">
        <f>VLOOKUP($F5,階級マスタ!$A:$B,2,FALSE)</f>
        <v>⑥</v>
      </c>
      <c r="H5" s="2">
        <v>1</v>
      </c>
      <c r="I5" s="2" t="str">
        <f>VLOOKUP($H5,分類マスタ!$A:$B,2,FALSE)</f>
        <v>剛法</v>
      </c>
      <c r="J5" s="3" t="s">
        <v>1136</v>
      </c>
      <c r="K5" s="3" t="s">
        <v>1137</v>
      </c>
      <c r="L5" s="3" t="s">
        <v>952</v>
      </c>
      <c r="M5" s="3" t="s">
        <v>1138</v>
      </c>
      <c r="N5" s="3" t="s">
        <v>951</v>
      </c>
      <c r="O5" s="7">
        <v>173</v>
      </c>
      <c r="P5" s="3" t="s">
        <v>1444</v>
      </c>
    </row>
    <row r="6" spans="1:16" x14ac:dyDescent="0.45">
      <c r="A6" s="3">
        <v>5</v>
      </c>
      <c r="B6" s="3">
        <v>1</v>
      </c>
      <c r="C6" s="2" t="str">
        <f>VLOOKUP($B6,拳系マスタ!$A:$B,2,FALSE)</f>
        <v>仁王拳</v>
      </c>
      <c r="D6" s="3" t="s">
        <v>1104</v>
      </c>
      <c r="E6" s="3" t="s">
        <v>1178</v>
      </c>
      <c r="F6" s="3">
        <v>5</v>
      </c>
      <c r="G6" s="2" t="str">
        <f>VLOOKUP($F6,階級マスタ!$A:$B,2,FALSE)</f>
        <v>②</v>
      </c>
      <c r="H6" s="2">
        <v>1</v>
      </c>
      <c r="I6" s="2" t="str">
        <f>VLOOKUP($H6,分類マスタ!$A:$B,2,FALSE)</f>
        <v>剛法</v>
      </c>
      <c r="J6" s="3" t="s">
        <v>1135</v>
      </c>
      <c r="K6" s="3" t="s">
        <v>1137</v>
      </c>
      <c r="L6" s="3" t="s">
        <v>952</v>
      </c>
      <c r="M6" s="3" t="s">
        <v>1139</v>
      </c>
      <c r="N6" s="3" t="s">
        <v>1037</v>
      </c>
      <c r="O6" s="7">
        <v>173</v>
      </c>
      <c r="P6" s="3" t="s">
        <v>1444</v>
      </c>
    </row>
    <row r="7" spans="1:16" x14ac:dyDescent="0.45">
      <c r="A7" s="3">
        <v>6</v>
      </c>
      <c r="B7" s="3">
        <v>1</v>
      </c>
      <c r="C7" s="2" t="str">
        <f>VLOOKUP($B7,拳系マスタ!$A:$B,2,FALSE)</f>
        <v>仁王拳</v>
      </c>
      <c r="D7" s="3" t="s">
        <v>1105</v>
      </c>
      <c r="E7" s="3" t="s">
        <v>1179</v>
      </c>
      <c r="F7" s="3">
        <v>4</v>
      </c>
      <c r="G7" s="2" t="str">
        <f>VLOOKUP($F7,階級マスタ!$A:$B,2,FALSE)</f>
        <v>③</v>
      </c>
      <c r="H7" s="2">
        <v>1</v>
      </c>
      <c r="I7" s="2" t="str">
        <f>VLOOKUP($H7,分類マスタ!$A:$B,2,FALSE)</f>
        <v>剛法</v>
      </c>
      <c r="J7" s="3" t="s">
        <v>1135</v>
      </c>
      <c r="K7" s="3" t="s">
        <v>1137</v>
      </c>
      <c r="L7" s="3" t="s">
        <v>901</v>
      </c>
      <c r="M7" s="3" t="s">
        <v>1139</v>
      </c>
      <c r="N7" s="3" t="s">
        <v>933</v>
      </c>
      <c r="O7" s="7">
        <v>174</v>
      </c>
      <c r="P7" s="3" t="s">
        <v>1445</v>
      </c>
    </row>
    <row r="8" spans="1:16" x14ac:dyDescent="0.45">
      <c r="A8" s="3">
        <v>7</v>
      </c>
      <c r="B8" s="3">
        <v>1</v>
      </c>
      <c r="C8" s="2" t="str">
        <f>VLOOKUP($B8,拳系マスタ!$A:$B,2,FALSE)</f>
        <v>仁王拳</v>
      </c>
      <c r="D8" s="3" t="s">
        <v>1106</v>
      </c>
      <c r="E8" s="3" t="s">
        <v>1180</v>
      </c>
      <c r="F8" s="3">
        <v>4</v>
      </c>
      <c r="G8" s="2" t="str">
        <f>VLOOKUP($F8,階級マスタ!$A:$B,2,FALSE)</f>
        <v>③</v>
      </c>
      <c r="H8" s="2">
        <v>1</v>
      </c>
      <c r="I8" s="2" t="str">
        <f>VLOOKUP($H8,分類マスタ!$A:$B,2,FALSE)</f>
        <v>剛法</v>
      </c>
      <c r="J8" s="3" t="s">
        <v>1136</v>
      </c>
      <c r="K8" s="3" t="s">
        <v>1137</v>
      </c>
      <c r="L8" s="3" t="s">
        <v>901</v>
      </c>
      <c r="M8" s="3" t="s">
        <v>1138</v>
      </c>
      <c r="N8" s="3" t="s">
        <v>933</v>
      </c>
      <c r="O8" s="7">
        <v>174</v>
      </c>
      <c r="P8" s="3" t="s">
        <v>1445</v>
      </c>
    </row>
    <row r="9" spans="1:16" x14ac:dyDescent="0.45">
      <c r="A9" s="3">
        <v>8</v>
      </c>
      <c r="B9" s="3">
        <v>1</v>
      </c>
      <c r="C9" s="2" t="str">
        <f>VLOOKUP($B9,拳系マスタ!$A:$B,2,FALSE)</f>
        <v>仁王拳</v>
      </c>
      <c r="D9" s="3" t="s">
        <v>1107</v>
      </c>
      <c r="E9" s="3" t="s">
        <v>1181</v>
      </c>
      <c r="F9" s="3">
        <v>1</v>
      </c>
      <c r="G9" s="2" t="str">
        <f>VLOOKUP($F9,階級マスタ!$A:$B,2,FALSE)</f>
        <v>⑥</v>
      </c>
      <c r="H9" s="2">
        <v>1</v>
      </c>
      <c r="I9" s="2" t="str">
        <f>VLOOKUP($H9,分類マスタ!$A:$B,2,FALSE)</f>
        <v>剛法</v>
      </c>
      <c r="J9" s="3" t="s">
        <v>1136</v>
      </c>
      <c r="K9" s="3" t="s">
        <v>1137</v>
      </c>
      <c r="L9" s="3" t="s">
        <v>940</v>
      </c>
      <c r="M9" s="3" t="s">
        <v>1138</v>
      </c>
      <c r="N9" s="3" t="s">
        <v>943</v>
      </c>
      <c r="O9" s="7">
        <v>171</v>
      </c>
      <c r="P9" s="3" t="s">
        <v>1442</v>
      </c>
    </row>
    <row r="10" spans="1:16" x14ac:dyDescent="0.45">
      <c r="A10" s="3">
        <v>9</v>
      </c>
      <c r="B10" s="3">
        <v>1</v>
      </c>
      <c r="C10" s="2" t="str">
        <f>VLOOKUP($B10,拳系マスタ!$A:$B,2,FALSE)</f>
        <v>仁王拳</v>
      </c>
      <c r="D10" s="3" t="s">
        <v>1108</v>
      </c>
      <c r="E10" s="3" t="s">
        <v>1182</v>
      </c>
      <c r="F10" s="3">
        <v>1</v>
      </c>
      <c r="G10" s="2" t="str">
        <f>VLOOKUP($F10,階級マスタ!$A:$B,2,FALSE)</f>
        <v>⑥</v>
      </c>
      <c r="H10" s="2">
        <v>1</v>
      </c>
      <c r="I10" s="2" t="str">
        <f>VLOOKUP($H10,分類マスタ!$A:$B,2,FALSE)</f>
        <v>剛法</v>
      </c>
      <c r="J10" s="3" t="s">
        <v>1136</v>
      </c>
      <c r="K10" s="3" t="s">
        <v>1137</v>
      </c>
      <c r="L10" s="3" t="s">
        <v>940</v>
      </c>
      <c r="M10" s="3" t="s">
        <v>1138</v>
      </c>
      <c r="N10" s="3" t="s">
        <v>939</v>
      </c>
      <c r="O10" s="7">
        <v>171</v>
      </c>
      <c r="P10" s="3" t="s">
        <v>1442</v>
      </c>
    </row>
    <row r="11" spans="1:16" x14ac:dyDescent="0.45">
      <c r="A11" s="3">
        <v>10</v>
      </c>
      <c r="B11" s="3">
        <v>1</v>
      </c>
      <c r="C11" s="2" t="str">
        <f>VLOOKUP($B11,拳系マスタ!$A:$B,2,FALSE)</f>
        <v>仁王拳</v>
      </c>
      <c r="D11" s="3" t="s">
        <v>1109</v>
      </c>
      <c r="E11" s="3" t="s">
        <v>1183</v>
      </c>
      <c r="F11" s="3">
        <v>2</v>
      </c>
      <c r="G11" s="2" t="str">
        <f>VLOOKUP($F11,階級マスタ!$A:$B,2,FALSE)</f>
        <v>⑤</v>
      </c>
      <c r="H11" s="2">
        <v>1</v>
      </c>
      <c r="I11" s="2" t="str">
        <f>VLOOKUP($H11,分類マスタ!$A:$B,2,FALSE)</f>
        <v>剛法</v>
      </c>
      <c r="J11" s="3" t="s">
        <v>1136</v>
      </c>
      <c r="K11" s="3" t="s">
        <v>1137</v>
      </c>
      <c r="L11" s="3" t="s">
        <v>940</v>
      </c>
      <c r="M11" s="3" t="s">
        <v>1138</v>
      </c>
      <c r="N11" s="3" t="s">
        <v>948</v>
      </c>
      <c r="O11" s="7">
        <v>172</v>
      </c>
      <c r="P11" s="3" t="s">
        <v>1444</v>
      </c>
    </row>
    <row r="12" spans="1:16" x14ac:dyDescent="0.45">
      <c r="A12" s="3">
        <v>11</v>
      </c>
      <c r="B12" s="3">
        <v>1</v>
      </c>
      <c r="C12" s="2" t="str">
        <f>VLOOKUP($B12,拳系マスタ!$A:$B,2,FALSE)</f>
        <v>仁王拳</v>
      </c>
      <c r="D12" s="3" t="s">
        <v>1110</v>
      </c>
      <c r="E12" s="3" t="s">
        <v>1184</v>
      </c>
      <c r="F12" s="3">
        <v>2</v>
      </c>
      <c r="G12" s="2" t="str">
        <f>VLOOKUP($F12,階級マスタ!$A:$B,2,FALSE)</f>
        <v>⑤</v>
      </c>
      <c r="H12" s="2">
        <v>1</v>
      </c>
      <c r="I12" s="2" t="str">
        <f>VLOOKUP($H12,分類マスタ!$A:$B,2,FALSE)</f>
        <v>剛法</v>
      </c>
      <c r="J12" s="3" t="s">
        <v>1136</v>
      </c>
      <c r="K12" s="3" t="s">
        <v>1137</v>
      </c>
      <c r="L12" s="3" t="s">
        <v>940</v>
      </c>
      <c r="M12" s="3" t="s">
        <v>1138</v>
      </c>
      <c r="N12" s="3" t="s">
        <v>946</v>
      </c>
      <c r="O12" s="7">
        <v>172</v>
      </c>
      <c r="P12" s="3" t="s">
        <v>1444</v>
      </c>
    </row>
    <row r="13" spans="1:16" x14ac:dyDescent="0.45">
      <c r="A13" s="3">
        <v>12</v>
      </c>
      <c r="B13" s="3">
        <v>1</v>
      </c>
      <c r="C13" s="2" t="str">
        <f>VLOOKUP($B13,拳系マスタ!$A:$B,2,FALSE)</f>
        <v>仁王拳</v>
      </c>
      <c r="D13" s="3" t="s">
        <v>1111</v>
      </c>
      <c r="E13" s="3" t="s">
        <v>1185</v>
      </c>
      <c r="F13" s="3">
        <v>3</v>
      </c>
      <c r="G13" s="2" t="str">
        <f>VLOOKUP($F13,階級マスタ!$A:$B,2,FALSE)</f>
        <v>④</v>
      </c>
      <c r="H13" s="2">
        <v>1</v>
      </c>
      <c r="I13" s="2" t="str">
        <f>VLOOKUP($H13,分類マスタ!$A:$B,2,FALSE)</f>
        <v>剛法</v>
      </c>
      <c r="J13" s="3" t="s">
        <v>1136</v>
      </c>
      <c r="K13" s="3" t="s">
        <v>1137</v>
      </c>
      <c r="L13" s="3" t="s">
        <v>901</v>
      </c>
      <c r="M13" s="3" t="s">
        <v>1138</v>
      </c>
      <c r="N13" s="3" t="s">
        <v>925</v>
      </c>
      <c r="O13" s="7">
        <v>175</v>
      </c>
      <c r="P13" s="3" t="s">
        <v>1445</v>
      </c>
    </row>
    <row r="14" spans="1:16" x14ac:dyDescent="0.45">
      <c r="A14" s="3">
        <v>13</v>
      </c>
      <c r="B14" s="3">
        <v>1</v>
      </c>
      <c r="C14" s="2" t="str">
        <f>VLOOKUP($B14,拳系マスタ!$A:$B,2,FALSE)</f>
        <v>仁王拳</v>
      </c>
      <c r="D14" s="3" t="s">
        <v>1112</v>
      </c>
      <c r="E14" s="3" t="s">
        <v>1186</v>
      </c>
      <c r="F14" s="3">
        <v>3</v>
      </c>
      <c r="G14" s="2" t="str">
        <f>VLOOKUP($F14,階級マスタ!$A:$B,2,FALSE)</f>
        <v>④</v>
      </c>
      <c r="H14" s="2">
        <v>1</v>
      </c>
      <c r="I14" s="2" t="str">
        <f>VLOOKUP($H14,分類マスタ!$A:$B,2,FALSE)</f>
        <v>剛法</v>
      </c>
      <c r="J14" s="3" t="s">
        <v>1135</v>
      </c>
      <c r="K14" s="3" t="s">
        <v>1137</v>
      </c>
      <c r="L14" s="3" t="s">
        <v>901</v>
      </c>
      <c r="M14" s="3" t="s">
        <v>1139</v>
      </c>
      <c r="N14" s="3" t="s">
        <v>930</v>
      </c>
      <c r="O14" s="7">
        <v>174</v>
      </c>
      <c r="P14" s="3" t="s">
        <v>1445</v>
      </c>
    </row>
    <row r="15" spans="1:16" x14ac:dyDescent="0.45">
      <c r="A15" s="3">
        <v>14</v>
      </c>
      <c r="B15" s="3">
        <v>1</v>
      </c>
      <c r="C15" s="2" t="str">
        <f>VLOOKUP($B15,拳系マスタ!$A:$B,2,FALSE)</f>
        <v>仁王拳</v>
      </c>
      <c r="D15" s="3" t="s">
        <v>1113</v>
      </c>
      <c r="E15" s="3" t="s">
        <v>1187</v>
      </c>
      <c r="F15" s="3">
        <v>3</v>
      </c>
      <c r="G15" s="2" t="str">
        <f>VLOOKUP($F15,階級マスタ!$A:$B,2,FALSE)</f>
        <v>④</v>
      </c>
      <c r="H15" s="2">
        <v>1</v>
      </c>
      <c r="I15" s="2" t="str">
        <f>VLOOKUP($H15,分類マスタ!$A:$B,2,FALSE)</f>
        <v>剛法</v>
      </c>
      <c r="J15" s="3" t="s">
        <v>1136</v>
      </c>
      <c r="K15" s="3" t="s">
        <v>1137</v>
      </c>
      <c r="L15" s="3" t="s">
        <v>901</v>
      </c>
      <c r="M15" s="3" t="s">
        <v>1138</v>
      </c>
      <c r="N15" s="3" t="s">
        <v>928</v>
      </c>
      <c r="O15" s="7">
        <v>174</v>
      </c>
      <c r="P15" s="3" t="s">
        <v>1445</v>
      </c>
    </row>
    <row r="16" spans="1:16" x14ac:dyDescent="0.45">
      <c r="A16" s="3">
        <v>15</v>
      </c>
      <c r="B16" s="3">
        <v>1</v>
      </c>
      <c r="C16" s="2" t="str">
        <f>VLOOKUP($B16,拳系マスタ!$A:$B,2,FALSE)</f>
        <v>仁王拳</v>
      </c>
      <c r="D16" s="3" t="s">
        <v>1114</v>
      </c>
      <c r="E16" s="3" t="s">
        <v>1188</v>
      </c>
      <c r="F16" s="3">
        <v>9</v>
      </c>
      <c r="G16" s="2" t="str">
        <f>VLOOKUP($F16,階級マスタ!$A:$B,2,FALSE)</f>
        <v>三</v>
      </c>
      <c r="H16" s="2">
        <v>1</v>
      </c>
      <c r="I16" s="2" t="str">
        <f>VLOOKUP($H16,分類マスタ!$A:$B,2,FALSE)</f>
        <v>剛法</v>
      </c>
      <c r="J16" s="3" t="s">
        <v>1136</v>
      </c>
      <c r="K16" s="3" t="s">
        <v>1137</v>
      </c>
      <c r="L16" s="3" t="s">
        <v>901</v>
      </c>
      <c r="M16" s="3" t="s">
        <v>1138</v>
      </c>
      <c r="N16" s="3" t="s">
        <v>1042</v>
      </c>
      <c r="O16" s="7">
        <v>178</v>
      </c>
      <c r="P16" s="3" t="s">
        <v>1446</v>
      </c>
    </row>
    <row r="17" spans="1:16" x14ac:dyDescent="0.45">
      <c r="A17" s="3">
        <v>16</v>
      </c>
      <c r="B17" s="3">
        <v>1</v>
      </c>
      <c r="C17" s="2" t="str">
        <f>VLOOKUP($B17,拳系マスタ!$A:$B,2,FALSE)</f>
        <v>仁王拳</v>
      </c>
      <c r="D17" s="3" t="s">
        <v>1115</v>
      </c>
      <c r="E17" s="3" t="s">
        <v>1189</v>
      </c>
      <c r="F17" s="3">
        <v>4</v>
      </c>
      <c r="G17" s="2" t="str">
        <f>VLOOKUP($F17,階級マスタ!$A:$B,2,FALSE)</f>
        <v>③</v>
      </c>
      <c r="H17" s="2">
        <v>1</v>
      </c>
      <c r="I17" s="2" t="str">
        <f>VLOOKUP($H17,分類マスタ!$A:$B,2,FALSE)</f>
        <v>剛法</v>
      </c>
      <c r="J17" s="3" t="s">
        <v>1136</v>
      </c>
      <c r="K17" s="3" t="s">
        <v>1137</v>
      </c>
      <c r="L17" s="3" t="s">
        <v>908</v>
      </c>
      <c r="M17" s="3" t="s">
        <v>1138</v>
      </c>
      <c r="N17" s="3" t="s">
        <v>922</v>
      </c>
      <c r="O17" s="7">
        <v>175</v>
      </c>
      <c r="P17" s="3" t="s">
        <v>1445</v>
      </c>
    </row>
    <row r="18" spans="1:16" x14ac:dyDescent="0.45">
      <c r="A18" s="3">
        <v>17</v>
      </c>
      <c r="B18" s="3">
        <v>1</v>
      </c>
      <c r="C18" s="2" t="str">
        <f>VLOOKUP($B18,拳系マスタ!$A:$B,2,FALSE)</f>
        <v>仁王拳</v>
      </c>
      <c r="D18" s="3" t="s">
        <v>1116</v>
      </c>
      <c r="E18" s="3" t="s">
        <v>1190</v>
      </c>
      <c r="F18" s="3">
        <v>5</v>
      </c>
      <c r="G18" s="2" t="str">
        <f>VLOOKUP($F18,階級マスタ!$A:$B,2,FALSE)</f>
        <v>②</v>
      </c>
      <c r="H18" s="2">
        <v>1</v>
      </c>
      <c r="I18" s="2" t="str">
        <f>VLOOKUP($H18,分類マスタ!$A:$B,2,FALSE)</f>
        <v>剛法</v>
      </c>
      <c r="J18" s="3" t="s">
        <v>1136</v>
      </c>
      <c r="K18" s="3" t="s">
        <v>1137</v>
      </c>
      <c r="L18" s="3" t="s">
        <v>908</v>
      </c>
      <c r="M18" s="3" t="s">
        <v>1138</v>
      </c>
      <c r="N18" s="3" t="s">
        <v>907</v>
      </c>
      <c r="O18" s="7">
        <v>175</v>
      </c>
      <c r="P18" s="3" t="s">
        <v>1445</v>
      </c>
    </row>
    <row r="19" spans="1:16" x14ac:dyDescent="0.45">
      <c r="A19" s="3">
        <v>18</v>
      </c>
      <c r="B19" s="3">
        <v>1</v>
      </c>
      <c r="C19" s="2" t="str">
        <f>VLOOKUP($B19,拳系マスタ!$A:$B,2,FALSE)</f>
        <v>仁王拳</v>
      </c>
      <c r="D19" s="3" t="s">
        <v>1117</v>
      </c>
      <c r="E19" s="3" t="s">
        <v>1191</v>
      </c>
      <c r="F19" s="3">
        <v>4</v>
      </c>
      <c r="G19" s="2" t="str">
        <f>VLOOKUP($F19,階級マスタ!$A:$B,2,FALSE)</f>
        <v>③</v>
      </c>
      <c r="H19" s="2">
        <v>1</v>
      </c>
      <c r="I19" s="2" t="str">
        <f>VLOOKUP($H19,分類マスタ!$A:$B,2,FALSE)</f>
        <v>剛法</v>
      </c>
      <c r="J19" s="3" t="s">
        <v>1135</v>
      </c>
      <c r="K19" s="3" t="s">
        <v>1137</v>
      </c>
      <c r="L19" s="3" t="s">
        <v>908</v>
      </c>
      <c r="M19" s="3" t="s">
        <v>1139</v>
      </c>
      <c r="N19" s="3" t="s">
        <v>1039</v>
      </c>
      <c r="O19" s="7">
        <v>175</v>
      </c>
      <c r="P19" s="3" t="s">
        <v>1445</v>
      </c>
    </row>
    <row r="20" spans="1:16" x14ac:dyDescent="0.45">
      <c r="A20" s="3">
        <v>19</v>
      </c>
      <c r="B20" s="3">
        <v>1</v>
      </c>
      <c r="C20" s="2" t="str">
        <f>VLOOKUP($B20,拳系マスタ!$A:$B,2,FALSE)</f>
        <v>仁王拳</v>
      </c>
      <c r="D20" s="3" t="s">
        <v>1118</v>
      </c>
      <c r="E20" s="3" t="s">
        <v>1192</v>
      </c>
      <c r="F20" s="3">
        <v>5</v>
      </c>
      <c r="G20" s="2" t="str">
        <f>VLOOKUP($F20,階級マスタ!$A:$B,2,FALSE)</f>
        <v>②</v>
      </c>
      <c r="H20" s="2">
        <v>1</v>
      </c>
      <c r="I20" s="2" t="str">
        <f>VLOOKUP($H20,分類マスタ!$A:$B,2,FALSE)</f>
        <v>剛法</v>
      </c>
      <c r="J20" s="3" t="s">
        <v>1135</v>
      </c>
      <c r="K20" s="3" t="s">
        <v>1137</v>
      </c>
      <c r="L20" s="3" t="s">
        <v>908</v>
      </c>
      <c r="M20" s="3" t="s">
        <v>1139</v>
      </c>
      <c r="N20" s="3" t="s">
        <v>911</v>
      </c>
      <c r="O20" s="3"/>
      <c r="P20" s="3"/>
    </row>
    <row r="21" spans="1:16" x14ac:dyDescent="0.45">
      <c r="A21" s="3">
        <v>20</v>
      </c>
      <c r="B21" s="3">
        <v>1</v>
      </c>
      <c r="C21" s="2" t="str">
        <f>VLOOKUP($B21,拳系マスタ!$A:$B,2,FALSE)</f>
        <v>仁王拳</v>
      </c>
      <c r="D21" s="3" t="s">
        <v>1119</v>
      </c>
      <c r="E21" s="3" t="s">
        <v>1193</v>
      </c>
      <c r="F21" s="3">
        <v>3</v>
      </c>
      <c r="G21" s="2" t="str">
        <f>VLOOKUP($F21,階級マスタ!$A:$B,2,FALSE)</f>
        <v>④</v>
      </c>
      <c r="H21" s="2">
        <v>1</v>
      </c>
      <c r="I21" s="2" t="str">
        <f>VLOOKUP($H21,分類マスタ!$A:$B,2,FALSE)</f>
        <v>剛法</v>
      </c>
      <c r="J21" s="3" t="s">
        <v>1135</v>
      </c>
      <c r="K21" s="3" t="s">
        <v>1137</v>
      </c>
      <c r="L21" s="3" t="s">
        <v>901</v>
      </c>
      <c r="M21" s="3" t="s">
        <v>1139</v>
      </c>
      <c r="N21" s="3" t="s">
        <v>914</v>
      </c>
      <c r="O21" s="7">
        <v>173</v>
      </c>
      <c r="P21" s="3" t="s">
        <v>1444</v>
      </c>
    </row>
    <row r="22" spans="1:16" x14ac:dyDescent="0.45">
      <c r="A22" s="3">
        <v>21</v>
      </c>
      <c r="B22" s="3">
        <v>1</v>
      </c>
      <c r="C22" s="2" t="str">
        <f>VLOOKUP($B22,拳系マスタ!$A:$B,2,FALSE)</f>
        <v>仁王拳</v>
      </c>
      <c r="D22" s="3" t="s">
        <v>1120</v>
      </c>
      <c r="E22" s="3" t="s">
        <v>1194</v>
      </c>
      <c r="F22" s="3">
        <v>3</v>
      </c>
      <c r="G22" s="2" t="str">
        <f>VLOOKUP($F22,階級マスタ!$A:$B,2,FALSE)</f>
        <v>④</v>
      </c>
      <c r="H22" s="2">
        <v>1</v>
      </c>
      <c r="I22" s="2" t="str">
        <f>VLOOKUP($H22,分類マスタ!$A:$B,2,FALSE)</f>
        <v>剛法</v>
      </c>
      <c r="J22" s="3" t="s">
        <v>1136</v>
      </c>
      <c r="K22" s="3" t="s">
        <v>1137</v>
      </c>
      <c r="L22" s="3" t="s">
        <v>901</v>
      </c>
      <c r="M22" s="3" t="s">
        <v>1138</v>
      </c>
      <c r="N22" s="3" t="s">
        <v>916</v>
      </c>
      <c r="O22" s="7">
        <v>172</v>
      </c>
      <c r="P22" s="3" t="s">
        <v>1444</v>
      </c>
    </row>
    <row r="23" spans="1:16" x14ac:dyDescent="0.45">
      <c r="A23" s="3">
        <v>22</v>
      </c>
      <c r="B23" s="3">
        <v>1</v>
      </c>
      <c r="C23" s="2" t="str">
        <f>VLOOKUP($B23,拳系マスタ!$A:$B,2,FALSE)</f>
        <v>仁王拳</v>
      </c>
      <c r="D23" s="3" t="s">
        <v>1121</v>
      </c>
      <c r="E23" s="3" t="s">
        <v>1195</v>
      </c>
      <c r="F23" s="3">
        <v>9</v>
      </c>
      <c r="G23" s="2" t="str">
        <f>VLOOKUP($F23,階級マスタ!$A:$B,2,FALSE)</f>
        <v>三</v>
      </c>
      <c r="H23" s="2">
        <v>1</v>
      </c>
      <c r="I23" s="2" t="str">
        <f>VLOOKUP($H23,分類マスタ!$A:$B,2,FALSE)</f>
        <v>剛法</v>
      </c>
      <c r="J23" s="3" t="s">
        <v>1136</v>
      </c>
      <c r="K23" s="3" t="s">
        <v>1137</v>
      </c>
      <c r="L23" s="3" t="s">
        <v>901</v>
      </c>
      <c r="M23" s="3" t="s">
        <v>1138</v>
      </c>
      <c r="N23" s="3" t="s">
        <v>1044</v>
      </c>
      <c r="O23" s="7">
        <v>178</v>
      </c>
      <c r="P23" s="3" t="s">
        <v>1446</v>
      </c>
    </row>
    <row r="24" spans="1:16" x14ac:dyDescent="0.45">
      <c r="A24" s="3">
        <v>23</v>
      </c>
      <c r="B24" s="3">
        <v>1</v>
      </c>
      <c r="C24" s="2" t="str">
        <f>VLOOKUP($B24,拳系マスタ!$A:$B,2,FALSE)</f>
        <v>仁王拳</v>
      </c>
      <c r="D24" s="3" t="s">
        <v>1132</v>
      </c>
      <c r="E24" s="3" t="s">
        <v>1196</v>
      </c>
      <c r="F24" s="3">
        <v>5</v>
      </c>
      <c r="G24" s="2" t="str">
        <f>VLOOKUP($F24,階級マスタ!$A:$B,2,FALSE)</f>
        <v>②</v>
      </c>
      <c r="H24" s="2">
        <v>1</v>
      </c>
      <c r="I24" s="2" t="str">
        <f>VLOOKUP($H24,分類マスタ!$A:$B,2,FALSE)</f>
        <v>剛法</v>
      </c>
      <c r="J24" s="3" t="s">
        <v>1136</v>
      </c>
      <c r="K24" s="3" t="s">
        <v>1137</v>
      </c>
      <c r="L24" s="3" t="s">
        <v>908</v>
      </c>
      <c r="M24" s="3" t="s">
        <v>1138</v>
      </c>
      <c r="N24" s="3" t="s">
        <v>920</v>
      </c>
      <c r="O24" s="7">
        <v>176</v>
      </c>
      <c r="P24" s="3" t="s">
        <v>1443</v>
      </c>
    </row>
    <row r="25" spans="1:16" x14ac:dyDescent="0.45">
      <c r="A25" s="3">
        <v>24</v>
      </c>
      <c r="B25" s="3">
        <v>1</v>
      </c>
      <c r="C25" s="2" t="str">
        <f>VLOOKUP($B25,拳系マスタ!$A:$B,2,FALSE)</f>
        <v>仁王拳</v>
      </c>
      <c r="D25" s="3" t="s">
        <v>1133</v>
      </c>
      <c r="E25" s="3" t="s">
        <v>1197</v>
      </c>
      <c r="F25" s="3">
        <v>5</v>
      </c>
      <c r="G25" s="2" t="str">
        <f>VLOOKUP($F25,階級マスタ!$A:$B,2,FALSE)</f>
        <v>②</v>
      </c>
      <c r="H25" s="2">
        <v>1</v>
      </c>
      <c r="I25" s="2" t="str">
        <f>VLOOKUP($H25,分類マスタ!$A:$B,2,FALSE)</f>
        <v>剛法</v>
      </c>
      <c r="J25" s="3" t="s">
        <v>1136</v>
      </c>
      <c r="K25" s="3" t="s">
        <v>1137</v>
      </c>
      <c r="L25" s="3" t="s">
        <v>908</v>
      </c>
      <c r="M25" s="3" t="s">
        <v>1138</v>
      </c>
      <c r="N25" s="3" t="s">
        <v>919</v>
      </c>
      <c r="O25" s="7">
        <v>176</v>
      </c>
      <c r="P25" s="3" t="s">
        <v>1443</v>
      </c>
    </row>
    <row r="26" spans="1:16" x14ac:dyDescent="0.45">
      <c r="A26" s="3">
        <v>25</v>
      </c>
      <c r="B26" s="3">
        <v>1</v>
      </c>
      <c r="C26" s="2" t="str">
        <f>VLOOKUP($B26,拳系マスタ!$A:$B,2,FALSE)</f>
        <v>仁王拳</v>
      </c>
      <c r="D26" s="3" t="s">
        <v>1134</v>
      </c>
      <c r="E26" s="3" t="s">
        <v>1198</v>
      </c>
      <c r="F26" s="3">
        <v>5</v>
      </c>
      <c r="G26" s="2" t="str">
        <f>VLOOKUP($F26,階級マスタ!$A:$B,2,FALSE)</f>
        <v>②</v>
      </c>
      <c r="H26" s="2">
        <v>1</v>
      </c>
      <c r="I26" s="2" t="str">
        <f>VLOOKUP($H26,分類マスタ!$A:$B,2,FALSE)</f>
        <v>剛法</v>
      </c>
      <c r="J26" s="3" t="s">
        <v>1136</v>
      </c>
      <c r="K26" s="3" t="s">
        <v>1137</v>
      </c>
      <c r="L26" s="3" t="s">
        <v>908</v>
      </c>
      <c r="M26" s="3" t="s">
        <v>1138</v>
      </c>
      <c r="N26" s="3" t="s">
        <v>1085</v>
      </c>
      <c r="O26" s="3"/>
      <c r="P26" s="3"/>
    </row>
    <row r="27" spans="1:16" x14ac:dyDescent="0.45">
      <c r="A27" s="3">
        <v>26</v>
      </c>
      <c r="B27" s="3">
        <v>1</v>
      </c>
      <c r="C27" s="2" t="str">
        <f>VLOOKUP($B27,拳系マスタ!$A:$B,2,FALSE)</f>
        <v>仁王拳</v>
      </c>
      <c r="D27" s="3" t="s">
        <v>1122</v>
      </c>
      <c r="E27" s="3" t="s">
        <v>1199</v>
      </c>
      <c r="F27" s="3">
        <v>8</v>
      </c>
      <c r="G27" s="2" t="str">
        <f>VLOOKUP($F27,階級マスタ!$A:$B,2,FALSE)</f>
        <v>二</v>
      </c>
      <c r="H27" s="2">
        <v>1</v>
      </c>
      <c r="I27" s="2" t="str">
        <f>VLOOKUP($H27,分類マスタ!$A:$B,2,FALSE)</f>
        <v>剛法</v>
      </c>
      <c r="J27" s="3" t="s">
        <v>1135</v>
      </c>
      <c r="K27" s="3" t="s">
        <v>1137</v>
      </c>
      <c r="L27" s="3" t="s">
        <v>901</v>
      </c>
      <c r="M27" s="3" t="s">
        <v>1140</v>
      </c>
      <c r="N27" s="3" t="s">
        <v>903</v>
      </c>
      <c r="O27" s="7">
        <v>176</v>
      </c>
      <c r="P27" s="3" t="s">
        <v>1443</v>
      </c>
    </row>
    <row r="28" spans="1:16" x14ac:dyDescent="0.45">
      <c r="A28" s="3">
        <v>27</v>
      </c>
      <c r="B28" s="3">
        <v>1</v>
      </c>
      <c r="C28" s="2" t="str">
        <f>VLOOKUP($B28,拳系マスタ!$A:$B,2,FALSE)</f>
        <v>仁王拳</v>
      </c>
      <c r="D28" s="3" t="s">
        <v>1123</v>
      </c>
      <c r="E28" s="3" t="s">
        <v>1200</v>
      </c>
      <c r="F28" s="3">
        <v>8</v>
      </c>
      <c r="G28" s="2" t="str">
        <f>VLOOKUP($F28,階級マスタ!$A:$B,2,FALSE)</f>
        <v>二</v>
      </c>
      <c r="H28" s="2">
        <v>1</v>
      </c>
      <c r="I28" s="2" t="str">
        <f>VLOOKUP($H28,分類マスタ!$A:$B,2,FALSE)</f>
        <v>剛法</v>
      </c>
      <c r="J28" s="3" t="s">
        <v>1136</v>
      </c>
      <c r="K28" s="3" t="s">
        <v>1137</v>
      </c>
      <c r="L28" s="3" t="s">
        <v>901</v>
      </c>
      <c r="M28" s="3" t="s">
        <v>1141</v>
      </c>
      <c r="N28" s="3" t="s">
        <v>899</v>
      </c>
      <c r="O28" s="7">
        <v>176</v>
      </c>
      <c r="P28" s="3" t="s">
        <v>1443</v>
      </c>
    </row>
    <row r="29" spans="1:16" x14ac:dyDescent="0.45">
      <c r="A29" s="3">
        <v>28</v>
      </c>
      <c r="B29" s="3">
        <v>1</v>
      </c>
      <c r="C29" s="2" t="str">
        <f>VLOOKUP($B29,拳系マスタ!$A:$B,2,FALSE)</f>
        <v>仁王拳</v>
      </c>
      <c r="D29" s="3" t="s">
        <v>1124</v>
      </c>
      <c r="E29" s="3" t="s">
        <v>1201</v>
      </c>
      <c r="F29" s="3">
        <v>8</v>
      </c>
      <c r="G29" s="2" t="str">
        <f>VLOOKUP($F29,階級マスタ!$A:$B,2,FALSE)</f>
        <v>二</v>
      </c>
      <c r="H29" s="2">
        <v>1</v>
      </c>
      <c r="I29" s="2" t="str">
        <f>VLOOKUP($H29,分類マスタ!$A:$B,2,FALSE)</f>
        <v>剛法</v>
      </c>
      <c r="J29" s="3" t="s">
        <v>1136</v>
      </c>
      <c r="K29" s="3" t="s">
        <v>1137</v>
      </c>
      <c r="L29" s="3" t="s">
        <v>901</v>
      </c>
      <c r="M29" s="3" t="s">
        <v>1141</v>
      </c>
      <c r="N29" s="3" t="s">
        <v>1040</v>
      </c>
      <c r="O29" s="7">
        <v>177</v>
      </c>
      <c r="P29" s="3" t="s">
        <v>1443</v>
      </c>
    </row>
    <row r="30" spans="1:16" x14ac:dyDescent="0.45">
      <c r="A30" s="3">
        <v>29</v>
      </c>
      <c r="B30" s="3">
        <v>1</v>
      </c>
      <c r="C30" s="2" t="str">
        <f>VLOOKUP($B30,拳系マスタ!$A:$B,2,FALSE)</f>
        <v>仁王拳</v>
      </c>
      <c r="D30" s="3" t="s">
        <v>1125</v>
      </c>
      <c r="E30" s="3" t="s">
        <v>1202</v>
      </c>
      <c r="F30" s="3">
        <v>9</v>
      </c>
      <c r="G30" s="2" t="str">
        <f>VLOOKUP($F30,階級マスタ!$A:$B,2,FALSE)</f>
        <v>三</v>
      </c>
      <c r="H30" s="2">
        <v>1</v>
      </c>
      <c r="I30" s="2" t="str">
        <f>VLOOKUP($H30,分類マスタ!$A:$B,2,FALSE)</f>
        <v>剛法</v>
      </c>
      <c r="J30" s="3" t="s">
        <v>1136</v>
      </c>
      <c r="K30" s="3" t="s">
        <v>1138</v>
      </c>
      <c r="L30" s="3" t="s">
        <v>1046</v>
      </c>
      <c r="M30" s="3" t="s">
        <v>1142</v>
      </c>
      <c r="N30" s="3" t="s">
        <v>1047</v>
      </c>
      <c r="O30" s="7">
        <v>177</v>
      </c>
      <c r="P30" s="3" t="s">
        <v>1443</v>
      </c>
    </row>
    <row r="31" spans="1:16" x14ac:dyDescent="0.45">
      <c r="A31" s="3">
        <v>30</v>
      </c>
      <c r="B31" s="3">
        <v>1</v>
      </c>
      <c r="C31" s="2" t="str">
        <f>VLOOKUP($B31,拳系マスタ!$A:$B,2,FALSE)</f>
        <v>仁王拳</v>
      </c>
      <c r="D31" s="3" t="s">
        <v>1126</v>
      </c>
      <c r="E31" s="3" t="s">
        <v>1203</v>
      </c>
      <c r="F31" s="3">
        <v>9</v>
      </c>
      <c r="G31" s="2" t="str">
        <f>VLOOKUP($F31,階級マスタ!$A:$B,2,FALSE)</f>
        <v>三</v>
      </c>
      <c r="H31" s="2">
        <v>1</v>
      </c>
      <c r="I31" s="2" t="str">
        <f>VLOOKUP($H31,分類マスタ!$A:$B,2,FALSE)</f>
        <v>剛法</v>
      </c>
      <c r="J31" s="3" t="s">
        <v>1136</v>
      </c>
      <c r="K31" s="3" t="s">
        <v>1138</v>
      </c>
      <c r="L31" s="3" t="s">
        <v>1046</v>
      </c>
      <c r="M31" s="3" t="s">
        <v>1142</v>
      </c>
      <c r="N31" s="3" t="s">
        <v>1048</v>
      </c>
      <c r="O31" s="7">
        <v>177</v>
      </c>
      <c r="P31" s="3" t="s">
        <v>1443</v>
      </c>
    </row>
    <row r="32" spans="1:16" x14ac:dyDescent="0.45">
      <c r="A32" s="3">
        <v>31</v>
      </c>
      <c r="B32" s="3">
        <v>1</v>
      </c>
      <c r="C32" s="2" t="str">
        <f>VLOOKUP($B32,拳系マスタ!$A:$B,2,FALSE)</f>
        <v>仁王拳</v>
      </c>
      <c r="D32" s="3" t="s">
        <v>1127</v>
      </c>
      <c r="E32" s="3" t="s">
        <v>1204</v>
      </c>
      <c r="F32" s="3">
        <v>9</v>
      </c>
      <c r="G32" s="2" t="str">
        <f>VLOOKUP($F32,階級マスタ!$A:$B,2,FALSE)</f>
        <v>三</v>
      </c>
      <c r="H32" s="2">
        <v>1</v>
      </c>
      <c r="I32" s="2" t="str">
        <f>VLOOKUP($H32,分類マスタ!$A:$B,2,FALSE)</f>
        <v>剛法</v>
      </c>
      <c r="J32" s="3" t="s">
        <v>1136</v>
      </c>
      <c r="K32" s="3" t="s">
        <v>1138</v>
      </c>
      <c r="L32" s="3" t="s">
        <v>896</v>
      </c>
      <c r="M32" s="3" t="s">
        <v>1142</v>
      </c>
      <c r="N32" s="3" t="s">
        <v>895</v>
      </c>
      <c r="O32" s="7">
        <v>179</v>
      </c>
      <c r="P32" s="3" t="s">
        <v>1446</v>
      </c>
    </row>
    <row r="33" spans="1:16" x14ac:dyDescent="0.45">
      <c r="A33" s="3">
        <v>32</v>
      </c>
      <c r="B33" s="3">
        <v>1</v>
      </c>
      <c r="C33" s="2" t="str">
        <f>VLOOKUP($B33,拳系マスタ!$A:$B,2,FALSE)</f>
        <v>仁王拳</v>
      </c>
      <c r="D33" s="3" t="s">
        <v>1128</v>
      </c>
      <c r="E33" s="3" t="s">
        <v>1205</v>
      </c>
      <c r="F33" s="3">
        <v>9</v>
      </c>
      <c r="G33" s="2" t="str">
        <f>VLOOKUP($F33,階級マスタ!$A:$B,2,FALSE)</f>
        <v>三</v>
      </c>
      <c r="H33" s="2">
        <v>1</v>
      </c>
      <c r="I33" s="2" t="str">
        <f>VLOOKUP($H33,分類マスタ!$A:$B,2,FALSE)</f>
        <v>剛法</v>
      </c>
      <c r="J33" s="3" t="s">
        <v>1135</v>
      </c>
      <c r="K33" s="3" t="s">
        <v>1137</v>
      </c>
      <c r="L33" s="3" t="s">
        <v>893</v>
      </c>
      <c r="M33" s="3" t="s">
        <v>1139</v>
      </c>
      <c r="N33" s="3" t="s">
        <v>892</v>
      </c>
      <c r="O33" s="3"/>
      <c r="P33" s="3"/>
    </row>
    <row r="34" spans="1:16" x14ac:dyDescent="0.45">
      <c r="A34" s="3">
        <v>33</v>
      </c>
      <c r="B34" s="3">
        <v>2</v>
      </c>
      <c r="C34" s="2" t="str">
        <f>VLOOKUP($B34,拳系マスタ!$A:$B,2,FALSE)</f>
        <v>三合拳</v>
      </c>
      <c r="D34" s="3" t="s">
        <v>889</v>
      </c>
      <c r="E34" s="3" t="s">
        <v>1206</v>
      </c>
      <c r="F34" s="3">
        <v>2</v>
      </c>
      <c r="G34" s="2" t="str">
        <f>VLOOKUP($F34,階級マスタ!$A:$B,2,FALSE)</f>
        <v>⑤</v>
      </c>
      <c r="H34" s="2">
        <v>1</v>
      </c>
      <c r="I34" s="2" t="str">
        <f>VLOOKUP($H34,分類マスタ!$A:$B,2,FALSE)</f>
        <v>剛法</v>
      </c>
      <c r="J34" s="3" t="s">
        <v>1136</v>
      </c>
      <c r="K34" s="3" t="s">
        <v>1138</v>
      </c>
      <c r="L34" s="3" t="s">
        <v>888</v>
      </c>
      <c r="M34" s="3" t="s">
        <v>1142</v>
      </c>
      <c r="N34" s="3" t="s">
        <v>887</v>
      </c>
      <c r="O34" s="7">
        <v>182</v>
      </c>
      <c r="P34" s="3" t="s">
        <v>1447</v>
      </c>
    </row>
    <row r="35" spans="1:16" x14ac:dyDescent="0.45">
      <c r="A35" s="3">
        <v>34</v>
      </c>
      <c r="B35" s="3">
        <v>2</v>
      </c>
      <c r="C35" s="2" t="str">
        <f>VLOOKUP($B35,拳系マスタ!$A:$B,2,FALSE)</f>
        <v>三合拳</v>
      </c>
      <c r="D35" s="3" t="s">
        <v>885</v>
      </c>
      <c r="E35" s="3" t="s">
        <v>1207</v>
      </c>
      <c r="F35" s="3">
        <v>2</v>
      </c>
      <c r="G35" s="2" t="str">
        <f>VLOOKUP($F35,階級マスタ!$A:$B,2,FALSE)</f>
        <v>⑤</v>
      </c>
      <c r="H35" s="2">
        <v>1</v>
      </c>
      <c r="I35" s="2" t="str">
        <f>VLOOKUP($H35,分類マスタ!$A:$B,2,FALSE)</f>
        <v>剛法</v>
      </c>
      <c r="J35" s="3" t="s">
        <v>1136</v>
      </c>
      <c r="K35" s="3" t="s">
        <v>1138</v>
      </c>
      <c r="L35" s="3" t="s">
        <v>884</v>
      </c>
      <c r="M35" s="3" t="s">
        <v>1142</v>
      </c>
      <c r="N35" s="3" t="s">
        <v>882</v>
      </c>
      <c r="O35" s="7">
        <v>182</v>
      </c>
      <c r="P35" s="3" t="s">
        <v>1447</v>
      </c>
    </row>
    <row r="36" spans="1:16" x14ac:dyDescent="0.45">
      <c r="A36" s="3">
        <v>35</v>
      </c>
      <c r="B36" s="3">
        <v>2</v>
      </c>
      <c r="C36" s="2" t="str">
        <f>VLOOKUP($B36,拳系マスタ!$A:$B,2,FALSE)</f>
        <v>三合拳</v>
      </c>
      <c r="D36" s="3" t="s">
        <v>877</v>
      </c>
      <c r="E36" s="3" t="s">
        <v>1208</v>
      </c>
      <c r="F36" s="3">
        <v>4</v>
      </c>
      <c r="G36" s="2" t="str">
        <f>VLOOKUP($F36,階級マスタ!$A:$B,2,FALSE)</f>
        <v>③</v>
      </c>
      <c r="H36" s="2">
        <v>1</v>
      </c>
      <c r="I36" s="2" t="str">
        <f>VLOOKUP($H36,分類マスタ!$A:$B,2,FALSE)</f>
        <v>剛法</v>
      </c>
      <c r="J36" s="3" t="s">
        <v>1136</v>
      </c>
      <c r="K36" s="3" t="s">
        <v>1139</v>
      </c>
      <c r="L36" s="3" t="s">
        <v>876</v>
      </c>
      <c r="M36" s="3" t="s">
        <v>1139</v>
      </c>
      <c r="N36" s="3" t="s">
        <v>967</v>
      </c>
      <c r="O36" s="7">
        <v>183</v>
      </c>
      <c r="P36" s="3" t="s">
        <v>1447</v>
      </c>
    </row>
    <row r="37" spans="1:16" x14ac:dyDescent="0.45">
      <c r="A37" s="3">
        <v>36</v>
      </c>
      <c r="B37" s="3">
        <v>2</v>
      </c>
      <c r="C37" s="2" t="str">
        <f>VLOOKUP($B37,拳系マスタ!$A:$B,2,FALSE)</f>
        <v>三合拳</v>
      </c>
      <c r="D37" s="3" t="s">
        <v>84</v>
      </c>
      <c r="E37" s="3" t="s">
        <v>1209</v>
      </c>
      <c r="F37" s="3">
        <v>5</v>
      </c>
      <c r="G37" s="2" t="str">
        <f>VLOOKUP($F37,階級マスタ!$A:$B,2,FALSE)</f>
        <v>②</v>
      </c>
      <c r="H37" s="2">
        <v>1</v>
      </c>
      <c r="I37" s="2" t="str">
        <f>VLOOKUP($H37,分類マスタ!$A:$B,2,FALSE)</f>
        <v>剛法</v>
      </c>
      <c r="J37" s="3" t="s">
        <v>1136</v>
      </c>
      <c r="K37" s="3" t="s">
        <v>1138</v>
      </c>
      <c r="L37" s="3" t="s">
        <v>880</v>
      </c>
      <c r="M37" s="3" t="s">
        <v>1137</v>
      </c>
      <c r="N37" s="3" t="s">
        <v>963</v>
      </c>
      <c r="O37" s="7">
        <v>183</v>
      </c>
      <c r="P37" s="3" t="s">
        <v>1447</v>
      </c>
    </row>
    <row r="38" spans="1:16" x14ac:dyDescent="0.45">
      <c r="A38" s="3">
        <v>37</v>
      </c>
      <c r="B38" s="3">
        <v>2</v>
      </c>
      <c r="C38" s="2" t="str">
        <f>VLOOKUP($B38,拳系マスタ!$A:$B,2,FALSE)</f>
        <v>三合拳</v>
      </c>
      <c r="D38" s="3" t="s">
        <v>82</v>
      </c>
      <c r="E38" s="3" t="s">
        <v>1210</v>
      </c>
      <c r="F38" s="3">
        <v>5</v>
      </c>
      <c r="G38" s="2" t="str">
        <f>VLOOKUP($F38,階級マスタ!$A:$B,2,FALSE)</f>
        <v>②</v>
      </c>
      <c r="H38" s="2">
        <v>1</v>
      </c>
      <c r="I38" s="2" t="str">
        <f>VLOOKUP($H38,分類マスタ!$A:$B,2,FALSE)</f>
        <v>剛法</v>
      </c>
      <c r="J38" s="3" t="s">
        <v>1135</v>
      </c>
      <c r="K38" s="3" t="s">
        <v>1139</v>
      </c>
      <c r="L38" s="3" t="s">
        <v>879</v>
      </c>
      <c r="M38" s="3" t="s">
        <v>1137</v>
      </c>
      <c r="N38" s="3" t="s">
        <v>965</v>
      </c>
      <c r="O38" s="7">
        <v>183</v>
      </c>
      <c r="P38" s="3" t="s">
        <v>1447</v>
      </c>
    </row>
    <row r="39" spans="1:16" x14ac:dyDescent="0.45">
      <c r="A39" s="3">
        <v>38</v>
      </c>
      <c r="B39" s="3">
        <v>2</v>
      </c>
      <c r="C39" s="2" t="str">
        <f>VLOOKUP($B39,拳系マスタ!$A:$B,2,FALSE)</f>
        <v>三合拳</v>
      </c>
      <c r="D39" s="3" t="s">
        <v>80</v>
      </c>
      <c r="E39" s="3" t="s">
        <v>1211</v>
      </c>
      <c r="F39" s="3">
        <v>7</v>
      </c>
      <c r="G39" s="2" t="str">
        <f>VLOOKUP($F39,階級マスタ!$A:$B,2,FALSE)</f>
        <v>初</v>
      </c>
      <c r="H39" s="2">
        <v>1</v>
      </c>
      <c r="I39" s="2" t="str">
        <f>VLOOKUP($H39,分類マスタ!$A:$B,2,FALSE)</f>
        <v>剛法</v>
      </c>
      <c r="J39" s="3" t="s">
        <v>1135</v>
      </c>
      <c r="K39" s="3" t="s">
        <v>1138</v>
      </c>
      <c r="L39" s="3" t="s">
        <v>875</v>
      </c>
      <c r="M39" s="3" t="s">
        <v>1143</v>
      </c>
      <c r="N39" s="3" t="s">
        <v>969</v>
      </c>
      <c r="O39" s="7">
        <v>183</v>
      </c>
      <c r="P39" s="3" t="s">
        <v>1447</v>
      </c>
    </row>
    <row r="40" spans="1:16" x14ac:dyDescent="0.45">
      <c r="A40" s="3">
        <v>39</v>
      </c>
      <c r="B40" s="3">
        <v>2</v>
      </c>
      <c r="C40" s="2" t="str">
        <f>VLOOKUP($B40,拳系マスタ!$A:$B,2,FALSE)</f>
        <v>三合拳</v>
      </c>
      <c r="D40" s="3" t="s">
        <v>873</v>
      </c>
      <c r="E40" s="3" t="s">
        <v>1212</v>
      </c>
      <c r="F40" s="3">
        <v>6</v>
      </c>
      <c r="G40" s="2" t="str">
        <f>VLOOKUP($F40,階級マスタ!$A:$B,2,FALSE)</f>
        <v>①</v>
      </c>
      <c r="H40" s="2">
        <v>1</v>
      </c>
      <c r="I40" s="2" t="str">
        <f>VLOOKUP($H40,分類マスタ!$A:$B,2,FALSE)</f>
        <v>剛法</v>
      </c>
      <c r="J40" s="3" t="s">
        <v>1135</v>
      </c>
      <c r="K40" s="3" t="s">
        <v>1138</v>
      </c>
      <c r="L40" s="3" t="s">
        <v>871</v>
      </c>
      <c r="M40" s="3" t="s">
        <v>1139</v>
      </c>
      <c r="N40" s="3" t="s">
        <v>971</v>
      </c>
      <c r="O40" s="7">
        <v>180</v>
      </c>
      <c r="P40" s="3" t="s">
        <v>1448</v>
      </c>
    </row>
    <row r="41" spans="1:16" x14ac:dyDescent="0.45">
      <c r="A41" s="3">
        <v>40</v>
      </c>
      <c r="B41" s="3">
        <v>2</v>
      </c>
      <c r="C41" s="2" t="str">
        <f>VLOOKUP($B41,拳系マスタ!$A:$B,2,FALSE)</f>
        <v>三合拳</v>
      </c>
      <c r="D41" s="3" t="s">
        <v>71</v>
      </c>
      <c r="E41" s="3" t="s">
        <v>1213</v>
      </c>
      <c r="F41" s="3">
        <v>7</v>
      </c>
      <c r="G41" s="2" t="str">
        <f>VLOOKUP($F41,階級マスタ!$A:$B,2,FALSE)</f>
        <v>初</v>
      </c>
      <c r="H41" s="2">
        <v>1</v>
      </c>
      <c r="I41" s="2" t="str">
        <f>VLOOKUP($H41,分類マスタ!$A:$B,2,FALSE)</f>
        <v>剛法</v>
      </c>
      <c r="J41" s="3" t="s">
        <v>1135</v>
      </c>
      <c r="K41" s="3" t="s">
        <v>1138</v>
      </c>
      <c r="L41" s="3" t="s">
        <v>871</v>
      </c>
      <c r="M41" s="3" t="s">
        <v>1139</v>
      </c>
      <c r="N41" s="3" t="s">
        <v>1084</v>
      </c>
      <c r="O41" s="7">
        <v>180</v>
      </c>
      <c r="P41" s="3" t="s">
        <v>1448</v>
      </c>
    </row>
    <row r="42" spans="1:16" x14ac:dyDescent="0.45">
      <c r="A42" s="3">
        <v>41</v>
      </c>
      <c r="B42" s="3">
        <v>2</v>
      </c>
      <c r="C42" s="2" t="str">
        <f>VLOOKUP($B42,拳系マスタ!$A:$B,2,FALSE)</f>
        <v>三合拳</v>
      </c>
      <c r="D42" s="3" t="s">
        <v>73</v>
      </c>
      <c r="E42" s="3" t="s">
        <v>1214</v>
      </c>
      <c r="F42" s="3">
        <v>7</v>
      </c>
      <c r="G42" s="2" t="str">
        <f>VLOOKUP($F42,階級マスタ!$A:$B,2,FALSE)</f>
        <v>初</v>
      </c>
      <c r="H42" s="2">
        <v>1</v>
      </c>
      <c r="I42" s="2" t="str">
        <f>VLOOKUP($H42,分類マスタ!$A:$B,2,FALSE)</f>
        <v>剛法</v>
      </c>
      <c r="J42" s="3" t="s">
        <v>1135</v>
      </c>
      <c r="K42" s="3" t="s">
        <v>1138</v>
      </c>
      <c r="L42" s="3" t="s">
        <v>871</v>
      </c>
      <c r="M42" s="3" t="s">
        <v>1144</v>
      </c>
      <c r="N42" s="3" t="s">
        <v>1050</v>
      </c>
      <c r="O42" s="7">
        <v>180</v>
      </c>
      <c r="P42" s="3" t="s">
        <v>1448</v>
      </c>
    </row>
    <row r="43" spans="1:16" x14ac:dyDescent="0.45">
      <c r="A43" s="3">
        <v>42</v>
      </c>
      <c r="B43" s="3">
        <v>3</v>
      </c>
      <c r="C43" s="2" t="str">
        <f>VLOOKUP($B43,拳系マスタ!$A:$B,2,FALSE)</f>
        <v>天王拳</v>
      </c>
      <c r="D43" s="3" t="s">
        <v>974</v>
      </c>
      <c r="E43" s="3" t="s">
        <v>1215</v>
      </c>
      <c r="F43" s="3">
        <v>4</v>
      </c>
      <c r="G43" s="2" t="str">
        <f>VLOOKUP($F43,階級マスタ!$A:$B,2,FALSE)</f>
        <v>③</v>
      </c>
      <c r="H43" s="2">
        <v>1</v>
      </c>
      <c r="I43" s="2" t="str">
        <f>VLOOKUP($H43,分類マスタ!$A:$B,2,FALSE)</f>
        <v>剛法</v>
      </c>
      <c r="J43" s="3" t="s">
        <v>1135</v>
      </c>
      <c r="K43" s="3" t="s">
        <v>1137</v>
      </c>
      <c r="L43" s="3" t="s">
        <v>977</v>
      </c>
      <c r="M43" s="3" t="s">
        <v>1139</v>
      </c>
      <c r="N43" s="3" t="s">
        <v>985</v>
      </c>
      <c r="O43" s="7">
        <v>185</v>
      </c>
      <c r="P43" s="3" t="s">
        <v>1449</v>
      </c>
    </row>
    <row r="44" spans="1:16" x14ac:dyDescent="0.45">
      <c r="A44" s="3">
        <v>43</v>
      </c>
      <c r="B44" s="3">
        <v>3</v>
      </c>
      <c r="C44" s="2" t="str">
        <f>VLOOKUP($B44,拳系マスタ!$A:$B,2,FALSE)</f>
        <v>天王拳</v>
      </c>
      <c r="D44" s="3" t="s">
        <v>975</v>
      </c>
      <c r="E44" s="3" t="s">
        <v>1216</v>
      </c>
      <c r="F44" s="3">
        <v>6</v>
      </c>
      <c r="G44" s="2" t="str">
        <f>VLOOKUP($F44,階級マスタ!$A:$B,2,FALSE)</f>
        <v>①</v>
      </c>
      <c r="H44" s="2">
        <v>1</v>
      </c>
      <c r="I44" s="2" t="str">
        <f>VLOOKUP($H44,分類マスタ!$A:$B,2,FALSE)</f>
        <v>剛法</v>
      </c>
      <c r="J44" s="3" t="s">
        <v>1135</v>
      </c>
      <c r="K44" s="3" t="s">
        <v>1137</v>
      </c>
      <c r="L44" s="3" t="s">
        <v>978</v>
      </c>
      <c r="M44" s="3" t="s">
        <v>1139</v>
      </c>
      <c r="N44" s="3" t="s">
        <v>987</v>
      </c>
      <c r="O44" s="7">
        <v>188</v>
      </c>
      <c r="P44" s="3" t="s">
        <v>1450</v>
      </c>
    </row>
    <row r="45" spans="1:16" x14ac:dyDescent="0.45">
      <c r="A45" s="3">
        <v>44</v>
      </c>
      <c r="B45" s="3">
        <v>3</v>
      </c>
      <c r="C45" s="2" t="str">
        <f>VLOOKUP($B45,拳系マスタ!$A:$B,2,FALSE)</f>
        <v>天王拳</v>
      </c>
      <c r="D45" s="3" t="s">
        <v>100</v>
      </c>
      <c r="E45" s="3" t="s">
        <v>1217</v>
      </c>
      <c r="F45" s="3">
        <v>6</v>
      </c>
      <c r="G45" s="2" t="str">
        <f>VLOOKUP($F45,階級マスタ!$A:$B,2,FALSE)</f>
        <v>①</v>
      </c>
      <c r="H45" s="2">
        <v>1</v>
      </c>
      <c r="I45" s="2" t="str">
        <f>VLOOKUP($H45,分類マスタ!$A:$B,2,FALSE)</f>
        <v>剛法</v>
      </c>
      <c r="J45" s="3" t="s">
        <v>1135</v>
      </c>
      <c r="K45" s="3" t="s">
        <v>1137</v>
      </c>
      <c r="L45" s="3" t="s">
        <v>979</v>
      </c>
      <c r="M45" s="3" t="s">
        <v>1139</v>
      </c>
      <c r="N45" s="3" t="s">
        <v>989</v>
      </c>
      <c r="O45" s="7">
        <v>189</v>
      </c>
      <c r="P45" s="3" t="s">
        <v>1450</v>
      </c>
    </row>
    <row r="46" spans="1:16" x14ac:dyDescent="0.45">
      <c r="A46" s="3">
        <v>45</v>
      </c>
      <c r="B46" s="3">
        <v>3</v>
      </c>
      <c r="C46" s="2" t="str">
        <f>VLOOKUP($B46,拳系マスタ!$A:$B,2,FALSE)</f>
        <v>天王拳</v>
      </c>
      <c r="D46" s="3" t="s">
        <v>976</v>
      </c>
      <c r="E46" s="3" t="s">
        <v>1218</v>
      </c>
      <c r="F46" s="3">
        <v>5</v>
      </c>
      <c r="G46" s="2" t="str">
        <f>VLOOKUP($F46,階級マスタ!$A:$B,2,FALSE)</f>
        <v>②</v>
      </c>
      <c r="H46" s="2">
        <v>1</v>
      </c>
      <c r="I46" s="2" t="str">
        <f>VLOOKUP($H46,分類マスタ!$A:$B,2,FALSE)</f>
        <v>剛法</v>
      </c>
      <c r="J46" s="3" t="s">
        <v>1135</v>
      </c>
      <c r="K46" s="3" t="s">
        <v>1138</v>
      </c>
      <c r="L46" s="3" t="s">
        <v>983</v>
      </c>
      <c r="M46" s="3" t="s">
        <v>1139</v>
      </c>
      <c r="N46" s="3" t="s">
        <v>998</v>
      </c>
      <c r="O46" s="7">
        <v>190</v>
      </c>
      <c r="P46" s="3" t="s">
        <v>1451</v>
      </c>
    </row>
    <row r="47" spans="1:16" x14ac:dyDescent="0.45">
      <c r="A47" s="3">
        <v>46</v>
      </c>
      <c r="B47" s="3">
        <v>3</v>
      </c>
      <c r="C47" s="2" t="str">
        <f>VLOOKUP($B47,拳系マスタ!$A:$B,2,FALSE)</f>
        <v>天王拳</v>
      </c>
      <c r="D47" s="3" t="s">
        <v>482</v>
      </c>
      <c r="E47" s="3" t="s">
        <v>1219</v>
      </c>
      <c r="F47" s="3">
        <v>6</v>
      </c>
      <c r="G47" s="2" t="str">
        <f>VLOOKUP($F47,階級マスタ!$A:$B,2,FALSE)</f>
        <v>①</v>
      </c>
      <c r="H47" s="2">
        <v>1</v>
      </c>
      <c r="I47" s="2" t="str">
        <f>VLOOKUP($H47,分類マスタ!$A:$B,2,FALSE)</f>
        <v>剛法</v>
      </c>
      <c r="J47" s="3" t="s">
        <v>1135</v>
      </c>
      <c r="K47" s="3" t="s">
        <v>1138</v>
      </c>
      <c r="L47" s="3" t="s">
        <v>980</v>
      </c>
      <c r="M47" s="3" t="s">
        <v>1139</v>
      </c>
      <c r="N47" s="3" t="s">
        <v>992</v>
      </c>
      <c r="O47" s="7">
        <v>188</v>
      </c>
      <c r="P47" s="3" t="s">
        <v>1450</v>
      </c>
    </row>
    <row r="48" spans="1:16" x14ac:dyDescent="0.45">
      <c r="A48" s="3">
        <v>47</v>
      </c>
      <c r="B48" s="3">
        <v>3</v>
      </c>
      <c r="C48" s="2" t="str">
        <f>VLOOKUP($B48,拳系マスタ!$A:$B,2,FALSE)</f>
        <v>天王拳</v>
      </c>
      <c r="D48" s="3" t="s">
        <v>91</v>
      </c>
      <c r="E48" s="3" t="s">
        <v>1220</v>
      </c>
      <c r="F48" s="3">
        <v>9</v>
      </c>
      <c r="G48" s="2" t="str">
        <f>VLOOKUP($F48,階級マスタ!$A:$B,2,FALSE)</f>
        <v>三</v>
      </c>
      <c r="H48" s="2">
        <v>1</v>
      </c>
      <c r="I48" s="2" t="str">
        <f>VLOOKUP($H48,分類マスタ!$A:$B,2,FALSE)</f>
        <v>剛法</v>
      </c>
      <c r="J48" s="3" t="s">
        <v>1136</v>
      </c>
      <c r="K48" s="3" t="s">
        <v>1137</v>
      </c>
      <c r="L48" s="3" t="s">
        <v>981</v>
      </c>
      <c r="M48" s="3" t="s">
        <v>1138</v>
      </c>
      <c r="N48" s="3" t="s">
        <v>994</v>
      </c>
      <c r="O48" s="7">
        <v>186</v>
      </c>
      <c r="P48" s="3" t="s">
        <v>1452</v>
      </c>
    </row>
    <row r="49" spans="1:16" x14ac:dyDescent="0.45">
      <c r="A49" s="3">
        <v>48</v>
      </c>
      <c r="B49" s="3">
        <v>3</v>
      </c>
      <c r="C49" s="2" t="str">
        <f>VLOOKUP($B49,拳系マスタ!$A:$B,2,FALSE)</f>
        <v>天王拳</v>
      </c>
      <c r="D49" s="3" t="s">
        <v>98</v>
      </c>
      <c r="E49" s="3" t="s">
        <v>1221</v>
      </c>
      <c r="F49" s="3">
        <v>6</v>
      </c>
      <c r="G49" s="2" t="str">
        <f>VLOOKUP($F49,階級マスタ!$A:$B,2,FALSE)</f>
        <v>①</v>
      </c>
      <c r="H49" s="2">
        <v>1</v>
      </c>
      <c r="I49" s="2" t="str">
        <f>VLOOKUP($H49,分類マスタ!$A:$B,2,FALSE)</f>
        <v>剛法</v>
      </c>
      <c r="J49" s="3" t="s">
        <v>1135</v>
      </c>
      <c r="K49" s="3" t="s">
        <v>1137</v>
      </c>
      <c r="L49" s="3" t="s">
        <v>982</v>
      </c>
      <c r="M49" s="3" t="s">
        <v>1139</v>
      </c>
      <c r="N49" s="3" t="s">
        <v>996</v>
      </c>
      <c r="O49" s="7">
        <v>189</v>
      </c>
      <c r="P49" s="3" t="s">
        <v>1450</v>
      </c>
    </row>
    <row r="50" spans="1:16" x14ac:dyDescent="0.45">
      <c r="A50" s="3">
        <v>49</v>
      </c>
      <c r="B50" s="3">
        <v>3</v>
      </c>
      <c r="C50" s="2" t="str">
        <f>VLOOKUP($B50,拳系マスタ!$A:$B,2,FALSE)</f>
        <v>天王拳</v>
      </c>
      <c r="D50" s="3" t="s">
        <v>104</v>
      </c>
      <c r="E50" s="3" t="s">
        <v>1222</v>
      </c>
      <c r="F50" s="3">
        <v>8</v>
      </c>
      <c r="G50" s="2" t="str">
        <f>VLOOKUP($F50,階級マスタ!$A:$B,2,FALSE)</f>
        <v>二</v>
      </c>
      <c r="H50" s="2">
        <v>1</v>
      </c>
      <c r="I50" s="2" t="str">
        <f>VLOOKUP($H50,分類マスタ!$A:$B,2,FALSE)</f>
        <v>剛法</v>
      </c>
      <c r="J50" s="3" t="s">
        <v>1136</v>
      </c>
      <c r="K50" s="3" t="s">
        <v>1137</v>
      </c>
      <c r="L50" s="3" t="s">
        <v>977</v>
      </c>
      <c r="M50" s="3" t="s">
        <v>1138</v>
      </c>
      <c r="N50" s="3" t="s">
        <v>990</v>
      </c>
      <c r="O50" s="7">
        <v>191</v>
      </c>
      <c r="P50" s="3" t="s">
        <v>1451</v>
      </c>
    </row>
    <row r="51" spans="1:16" x14ac:dyDescent="0.45">
      <c r="A51" s="3">
        <v>50</v>
      </c>
      <c r="B51" s="3">
        <v>3</v>
      </c>
      <c r="C51" s="2" t="str">
        <f>VLOOKUP($B51,拳系マスタ!$A:$B,2,FALSE)</f>
        <v>天王拳</v>
      </c>
      <c r="D51" s="3" t="s">
        <v>92</v>
      </c>
      <c r="E51" s="3" t="s">
        <v>1223</v>
      </c>
      <c r="F51" s="3">
        <v>8</v>
      </c>
      <c r="G51" s="2" t="str">
        <f>VLOOKUP($F51,階級マスタ!$A:$B,2,FALSE)</f>
        <v>二</v>
      </c>
      <c r="H51" s="2">
        <v>1</v>
      </c>
      <c r="I51" s="2" t="str">
        <f>VLOOKUP($H51,分類マスタ!$A:$B,2,FALSE)</f>
        <v>剛法</v>
      </c>
      <c r="J51" s="3" t="s">
        <v>1135</v>
      </c>
      <c r="K51" s="3" t="s">
        <v>1137</v>
      </c>
      <c r="L51" s="3" t="s">
        <v>984</v>
      </c>
      <c r="M51" s="3" t="s">
        <v>1139</v>
      </c>
      <c r="N51" s="3" t="s">
        <v>999</v>
      </c>
      <c r="O51" s="7">
        <v>187</v>
      </c>
      <c r="P51" s="3" t="s">
        <v>1452</v>
      </c>
    </row>
    <row r="52" spans="1:16" x14ac:dyDescent="0.45">
      <c r="A52" s="3">
        <v>51</v>
      </c>
      <c r="B52" s="3">
        <v>4</v>
      </c>
      <c r="C52" s="2" t="str">
        <f>VLOOKUP($B52,拳系マスタ!$A:$B,2,FALSE)</f>
        <v>白蓮拳</v>
      </c>
      <c r="D52" s="3" t="s">
        <v>1002</v>
      </c>
      <c r="E52" s="3" t="s">
        <v>1224</v>
      </c>
      <c r="F52" s="3">
        <v>6</v>
      </c>
      <c r="G52" s="2" t="str">
        <f>VLOOKUP($F52,階級マスタ!$A:$B,2,FALSE)</f>
        <v>①</v>
      </c>
      <c r="H52" s="2">
        <v>1</v>
      </c>
      <c r="I52" s="2" t="str">
        <f>VLOOKUP($H52,分類マスタ!$A:$B,2,FALSE)</f>
        <v>剛法</v>
      </c>
      <c r="J52" s="3" t="s">
        <v>1135</v>
      </c>
      <c r="K52" s="3" t="s">
        <v>1137</v>
      </c>
      <c r="L52" s="3" t="s">
        <v>1004</v>
      </c>
      <c r="M52" s="3" t="s">
        <v>1145</v>
      </c>
      <c r="N52" s="3" t="s">
        <v>1008</v>
      </c>
      <c r="O52" s="7">
        <v>193</v>
      </c>
      <c r="P52" s="3" t="s">
        <v>1453</v>
      </c>
    </row>
    <row r="53" spans="1:16" x14ac:dyDescent="0.45">
      <c r="A53" s="3">
        <v>52</v>
      </c>
      <c r="B53" s="3">
        <v>4</v>
      </c>
      <c r="C53" s="2" t="str">
        <f>VLOOKUP($B53,拳系マスタ!$A:$B,2,FALSE)</f>
        <v>白蓮拳</v>
      </c>
      <c r="D53" s="3" t="s">
        <v>1003</v>
      </c>
      <c r="E53" s="3" t="s">
        <v>1225</v>
      </c>
      <c r="F53" s="3">
        <v>6</v>
      </c>
      <c r="G53" s="2" t="str">
        <f>VLOOKUP($F53,階級マスタ!$A:$B,2,FALSE)</f>
        <v>①</v>
      </c>
      <c r="H53" s="2">
        <v>1</v>
      </c>
      <c r="I53" s="2" t="str">
        <f>VLOOKUP($H53,分類マスタ!$A:$B,2,FALSE)</f>
        <v>剛法</v>
      </c>
      <c r="J53" s="3" t="s">
        <v>1136</v>
      </c>
      <c r="K53" s="3" t="s">
        <v>1138</v>
      </c>
      <c r="L53" s="3" t="s">
        <v>1005</v>
      </c>
      <c r="M53" s="3" t="s">
        <v>1144</v>
      </c>
      <c r="N53" s="3" t="s">
        <v>1010</v>
      </c>
      <c r="O53" s="7">
        <v>193</v>
      </c>
      <c r="P53" s="3" t="s">
        <v>1453</v>
      </c>
    </row>
    <row r="54" spans="1:16" x14ac:dyDescent="0.45">
      <c r="A54" s="3">
        <v>53</v>
      </c>
      <c r="B54" s="3">
        <v>4</v>
      </c>
      <c r="C54" s="2" t="str">
        <f>VLOOKUP($B54,拳系マスタ!$A:$B,2,FALSE)</f>
        <v>白蓮拳</v>
      </c>
      <c r="D54" s="3" t="s">
        <v>1034</v>
      </c>
      <c r="E54" s="3" t="s">
        <v>1226</v>
      </c>
      <c r="F54" s="3">
        <v>8</v>
      </c>
      <c r="G54" s="2" t="str">
        <f>VLOOKUP($F54,階級マスタ!$A:$B,2,FALSE)</f>
        <v>二</v>
      </c>
      <c r="H54" s="2">
        <v>1</v>
      </c>
      <c r="I54" s="2" t="str">
        <f>VLOOKUP($H54,分類マスタ!$A:$B,2,FALSE)</f>
        <v>剛法</v>
      </c>
      <c r="J54" s="3" t="s">
        <v>1135</v>
      </c>
      <c r="K54" s="3" t="s">
        <v>1138</v>
      </c>
      <c r="L54" s="3" t="s">
        <v>871</v>
      </c>
      <c r="M54" s="3" t="s">
        <v>1139</v>
      </c>
      <c r="N54" s="3" t="s">
        <v>1052</v>
      </c>
      <c r="O54" s="7">
        <v>194</v>
      </c>
      <c r="P54" s="3" t="s">
        <v>1454</v>
      </c>
    </row>
    <row r="55" spans="1:16" x14ac:dyDescent="0.45">
      <c r="A55" s="3">
        <v>54</v>
      </c>
      <c r="B55" s="3">
        <v>4</v>
      </c>
      <c r="C55" s="2" t="str">
        <f>VLOOKUP($B55,拳系マスタ!$A:$B,2,FALSE)</f>
        <v>白蓮拳</v>
      </c>
      <c r="D55" s="3" t="s">
        <v>485</v>
      </c>
      <c r="E55" s="3" t="s">
        <v>1227</v>
      </c>
      <c r="F55" s="3">
        <v>9</v>
      </c>
      <c r="G55" s="2" t="str">
        <f>VLOOKUP($F55,階級マスタ!$A:$B,2,FALSE)</f>
        <v>三</v>
      </c>
      <c r="H55" s="2">
        <v>1</v>
      </c>
      <c r="I55" s="2" t="str">
        <f>VLOOKUP($H55,分類マスタ!$A:$B,2,FALSE)</f>
        <v>剛法</v>
      </c>
      <c r="J55" s="3" t="s">
        <v>1136</v>
      </c>
      <c r="K55" s="3" t="s">
        <v>1146</v>
      </c>
      <c r="L55" s="3" t="s">
        <v>1054</v>
      </c>
      <c r="M55" s="3" t="s">
        <v>1141</v>
      </c>
      <c r="N55" s="3" t="s">
        <v>1055</v>
      </c>
      <c r="O55" s="7">
        <v>194</v>
      </c>
      <c r="P55" s="3" t="s">
        <v>1454</v>
      </c>
    </row>
    <row r="56" spans="1:16" x14ac:dyDescent="0.45">
      <c r="A56" s="3">
        <v>55</v>
      </c>
      <c r="B56" s="3">
        <v>4</v>
      </c>
      <c r="C56" s="2" t="str">
        <f>VLOOKUP($B56,拳系マスタ!$A:$B,2,FALSE)</f>
        <v>白蓮拳</v>
      </c>
      <c r="D56" s="3" t="s">
        <v>1061</v>
      </c>
      <c r="E56" s="3" t="s">
        <v>1228</v>
      </c>
      <c r="F56" s="3">
        <v>9</v>
      </c>
      <c r="G56" s="2" t="str">
        <f>VLOOKUP($F56,階級マスタ!$A:$B,2,FALSE)</f>
        <v>三</v>
      </c>
      <c r="H56" s="2">
        <v>1</v>
      </c>
      <c r="I56" s="2" t="str">
        <f>VLOOKUP($H56,分類マスタ!$A:$B,2,FALSE)</f>
        <v>剛法</v>
      </c>
      <c r="J56" s="3" t="s">
        <v>1136</v>
      </c>
      <c r="K56" s="3" t="s">
        <v>1137</v>
      </c>
      <c r="L56" s="3" t="s">
        <v>1057</v>
      </c>
      <c r="M56" s="3" t="s">
        <v>1144</v>
      </c>
      <c r="N56" s="3" t="s">
        <v>1058</v>
      </c>
      <c r="O56" s="7">
        <v>194</v>
      </c>
      <c r="P56" s="3" t="s">
        <v>1454</v>
      </c>
    </row>
    <row r="57" spans="1:16" x14ac:dyDescent="0.45">
      <c r="A57" s="3">
        <v>56</v>
      </c>
      <c r="B57" s="3">
        <v>4</v>
      </c>
      <c r="C57" s="2" t="str">
        <f>VLOOKUP($B57,拳系マスタ!$A:$B,2,FALSE)</f>
        <v>白蓮拳</v>
      </c>
      <c r="D57" s="3" t="s">
        <v>1060</v>
      </c>
      <c r="E57" s="3" t="s">
        <v>1229</v>
      </c>
      <c r="F57" s="3">
        <v>9</v>
      </c>
      <c r="G57" s="2" t="str">
        <f>VLOOKUP($F57,階級マスタ!$A:$B,2,FALSE)</f>
        <v>三</v>
      </c>
      <c r="H57" s="2">
        <v>1</v>
      </c>
      <c r="I57" s="2" t="str">
        <f>VLOOKUP($H57,分類マスタ!$A:$B,2,FALSE)</f>
        <v>剛法</v>
      </c>
      <c r="J57" s="3" t="s">
        <v>1136</v>
      </c>
      <c r="K57" s="3" t="s">
        <v>1137</v>
      </c>
      <c r="L57" s="3" t="s">
        <v>1057</v>
      </c>
      <c r="M57" s="3" t="s">
        <v>1144</v>
      </c>
      <c r="N57" s="3" t="s">
        <v>1062</v>
      </c>
      <c r="O57" s="7">
        <v>194</v>
      </c>
      <c r="P57" s="3" t="s">
        <v>1454</v>
      </c>
    </row>
    <row r="58" spans="1:16" x14ac:dyDescent="0.45">
      <c r="A58" s="3">
        <v>57</v>
      </c>
      <c r="B58" s="3">
        <v>5</v>
      </c>
      <c r="C58" s="2" t="str">
        <f>VLOOKUP($B58,拳系マスタ!$A:$B,2,FALSE)</f>
        <v>鶴立拳</v>
      </c>
      <c r="D58" s="3" t="s">
        <v>1013</v>
      </c>
      <c r="E58" s="3" t="s">
        <v>1230</v>
      </c>
      <c r="F58" s="3">
        <v>7</v>
      </c>
      <c r="G58" s="2" t="str">
        <f>VLOOKUP($F58,階級マスタ!$A:$B,2,FALSE)</f>
        <v>初</v>
      </c>
      <c r="H58" s="2">
        <v>1</v>
      </c>
      <c r="I58" s="2" t="str">
        <f>VLOOKUP($H58,分類マスタ!$A:$B,2,FALSE)</f>
        <v>剛法</v>
      </c>
      <c r="J58" s="3" t="s">
        <v>1136</v>
      </c>
      <c r="K58" s="3" t="s">
        <v>1139</v>
      </c>
      <c r="L58" s="3" t="s">
        <v>1016</v>
      </c>
      <c r="M58" s="3" t="s">
        <v>1139</v>
      </c>
      <c r="N58" s="3" t="s">
        <v>1019</v>
      </c>
      <c r="O58" s="7">
        <v>200</v>
      </c>
      <c r="P58" s="3" t="s">
        <v>1457</v>
      </c>
    </row>
    <row r="59" spans="1:16" x14ac:dyDescent="0.45">
      <c r="A59" s="3">
        <v>58</v>
      </c>
      <c r="B59" s="3">
        <v>5</v>
      </c>
      <c r="C59" s="2" t="str">
        <f>VLOOKUP($B59,拳系マスタ!$A:$B,2,FALSE)</f>
        <v>鶴立拳</v>
      </c>
      <c r="D59" s="3" t="s">
        <v>1014</v>
      </c>
      <c r="E59" s="3" t="s">
        <v>1231</v>
      </c>
      <c r="F59" s="3">
        <v>7</v>
      </c>
      <c r="G59" s="2" t="str">
        <f>VLOOKUP($F59,階級マスタ!$A:$B,2,FALSE)</f>
        <v>初</v>
      </c>
      <c r="H59" s="2">
        <v>1</v>
      </c>
      <c r="I59" s="2" t="str">
        <f>VLOOKUP($H59,分類マスタ!$A:$B,2,FALSE)</f>
        <v>剛法</v>
      </c>
      <c r="J59" s="3" t="s">
        <v>1135</v>
      </c>
      <c r="K59" s="3" t="s">
        <v>1138</v>
      </c>
      <c r="L59" s="3" t="s">
        <v>1017</v>
      </c>
      <c r="M59" s="3" t="s">
        <v>1139</v>
      </c>
      <c r="N59" s="3" t="s">
        <v>1020</v>
      </c>
      <c r="O59" s="7">
        <v>200</v>
      </c>
      <c r="P59" s="3" t="s">
        <v>1457</v>
      </c>
    </row>
    <row r="60" spans="1:16" x14ac:dyDescent="0.45">
      <c r="A60" s="3">
        <v>59</v>
      </c>
      <c r="B60" s="3">
        <v>5</v>
      </c>
      <c r="C60" s="2" t="str">
        <f>VLOOKUP($B60,拳系マスタ!$A:$B,2,FALSE)</f>
        <v>鶴立拳</v>
      </c>
      <c r="D60" s="3" t="s">
        <v>1015</v>
      </c>
      <c r="E60" s="3" t="s">
        <v>1232</v>
      </c>
      <c r="F60" s="3">
        <v>8</v>
      </c>
      <c r="G60" s="2" t="str">
        <f>VLOOKUP($F60,階級マスタ!$A:$B,2,FALSE)</f>
        <v>二</v>
      </c>
      <c r="H60" s="2">
        <v>1</v>
      </c>
      <c r="I60" s="2" t="str">
        <f>VLOOKUP($H60,分類マスタ!$A:$B,2,FALSE)</f>
        <v>剛法</v>
      </c>
      <c r="J60" s="3" t="s">
        <v>1136</v>
      </c>
      <c r="K60" s="3" t="s">
        <v>1139</v>
      </c>
      <c r="L60" s="3" t="s">
        <v>1018</v>
      </c>
      <c r="M60" s="3" t="s">
        <v>1139</v>
      </c>
      <c r="N60" s="3" t="s">
        <v>1021</v>
      </c>
      <c r="O60" s="7">
        <v>200</v>
      </c>
      <c r="P60" s="3" t="s">
        <v>1457</v>
      </c>
    </row>
    <row r="61" spans="1:16" x14ac:dyDescent="0.45">
      <c r="A61" s="3">
        <v>60</v>
      </c>
      <c r="B61" s="3">
        <v>5</v>
      </c>
      <c r="C61" s="2" t="str">
        <f>VLOOKUP($B61,拳系マスタ!$A:$B,2,FALSE)</f>
        <v>鶴立拳</v>
      </c>
      <c r="D61" s="3" t="s">
        <v>492</v>
      </c>
      <c r="E61" s="3" t="s">
        <v>1233</v>
      </c>
      <c r="F61" s="3">
        <v>8</v>
      </c>
      <c r="G61" s="2" t="str">
        <f>VLOOKUP($F61,階級マスタ!$A:$B,2,FALSE)</f>
        <v>二</v>
      </c>
      <c r="H61" s="2">
        <v>1</v>
      </c>
      <c r="I61" s="2" t="str">
        <f>VLOOKUP($H61,分類マスタ!$A:$B,2,FALSE)</f>
        <v>剛法</v>
      </c>
      <c r="J61" s="3" t="s">
        <v>1136</v>
      </c>
      <c r="K61" s="3" t="s">
        <v>1139</v>
      </c>
      <c r="L61" s="3" t="s">
        <v>1064</v>
      </c>
      <c r="M61" s="3" t="s">
        <v>1139</v>
      </c>
      <c r="N61" s="3" t="s">
        <v>1066</v>
      </c>
      <c r="O61" s="7">
        <v>200</v>
      </c>
      <c r="P61" s="3" t="s">
        <v>1457</v>
      </c>
    </row>
    <row r="62" spans="1:16" x14ac:dyDescent="0.45">
      <c r="A62" s="3">
        <v>61</v>
      </c>
      <c r="B62" s="3">
        <v>5</v>
      </c>
      <c r="C62" s="2" t="str">
        <f>VLOOKUP($B62,拳系マスタ!$A:$B,2,FALSE)</f>
        <v>鶴立拳</v>
      </c>
      <c r="D62" s="3" t="s">
        <v>494</v>
      </c>
      <c r="E62" s="3" t="s">
        <v>1234</v>
      </c>
      <c r="F62" s="3">
        <v>8</v>
      </c>
      <c r="G62" s="2" t="str">
        <f>VLOOKUP($F62,階級マスタ!$A:$B,2,FALSE)</f>
        <v>二</v>
      </c>
      <c r="H62" s="2">
        <v>1</v>
      </c>
      <c r="I62" s="2" t="str">
        <f>VLOOKUP($H62,分類マスタ!$A:$B,2,FALSE)</f>
        <v>剛法</v>
      </c>
      <c r="J62" s="3" t="s">
        <v>1136</v>
      </c>
      <c r="K62" s="3" t="s">
        <v>1139</v>
      </c>
      <c r="L62" s="3" t="s">
        <v>1067</v>
      </c>
      <c r="M62" s="3" t="s">
        <v>1139</v>
      </c>
      <c r="N62" s="3" t="s">
        <v>1068</v>
      </c>
      <c r="O62" s="7">
        <v>201</v>
      </c>
      <c r="P62" s="3" t="s">
        <v>1457</v>
      </c>
    </row>
    <row r="63" spans="1:16" x14ac:dyDescent="0.45">
      <c r="A63" s="3">
        <v>62</v>
      </c>
      <c r="B63" s="3">
        <v>6</v>
      </c>
      <c r="C63" s="2" t="str">
        <f>VLOOKUP($B63,拳系マスタ!$A:$B,2,FALSE)</f>
        <v>地王拳</v>
      </c>
      <c r="D63" s="3" t="s">
        <v>1025</v>
      </c>
      <c r="E63" s="3" t="s">
        <v>1235</v>
      </c>
      <c r="F63" s="3">
        <v>8</v>
      </c>
      <c r="G63" s="2" t="str">
        <f>VLOOKUP($F63,階級マスタ!$A:$B,2,FALSE)</f>
        <v>二</v>
      </c>
      <c r="H63" s="2">
        <v>1</v>
      </c>
      <c r="I63" s="2" t="str">
        <f>VLOOKUP($H63,分類マスタ!$A:$B,2,FALSE)</f>
        <v>剛法</v>
      </c>
      <c r="J63" s="3" t="s">
        <v>1136</v>
      </c>
      <c r="K63" s="3" t="s">
        <v>1139</v>
      </c>
      <c r="L63" s="3" t="s">
        <v>1027</v>
      </c>
      <c r="M63" s="3" t="s">
        <v>1139</v>
      </c>
      <c r="N63" s="3" t="s">
        <v>1029</v>
      </c>
      <c r="O63" s="7">
        <v>195</v>
      </c>
      <c r="P63" s="3" t="s">
        <v>1454</v>
      </c>
    </row>
    <row r="64" spans="1:16" x14ac:dyDescent="0.45">
      <c r="A64" s="3">
        <v>63</v>
      </c>
      <c r="B64" s="3">
        <v>6</v>
      </c>
      <c r="C64" s="2" t="str">
        <f>VLOOKUP($B64,拳系マスタ!$A:$B,2,FALSE)</f>
        <v>地王拳</v>
      </c>
      <c r="D64" s="3" t="s">
        <v>1026</v>
      </c>
      <c r="E64" s="3" t="s">
        <v>1236</v>
      </c>
      <c r="F64" s="3">
        <v>8</v>
      </c>
      <c r="G64" s="2" t="str">
        <f>VLOOKUP($F64,階級マスタ!$A:$B,2,FALSE)</f>
        <v>二</v>
      </c>
      <c r="H64" s="2">
        <v>1</v>
      </c>
      <c r="I64" s="2" t="str">
        <f>VLOOKUP($H64,分類マスタ!$A:$B,2,FALSE)</f>
        <v>剛法</v>
      </c>
      <c r="J64" s="3" t="s">
        <v>1135</v>
      </c>
      <c r="K64" s="3" t="s">
        <v>1138</v>
      </c>
      <c r="L64" s="3" t="s">
        <v>1028</v>
      </c>
      <c r="M64" s="3" t="s">
        <v>1139</v>
      </c>
      <c r="N64" s="3" t="s">
        <v>1029</v>
      </c>
      <c r="O64" s="7">
        <v>196</v>
      </c>
      <c r="P64" s="3" t="s">
        <v>1455</v>
      </c>
    </row>
    <row r="65" spans="1:16" x14ac:dyDescent="0.45">
      <c r="A65" s="3">
        <v>64</v>
      </c>
      <c r="B65" s="3">
        <v>6</v>
      </c>
      <c r="C65" s="2" t="str">
        <f>VLOOKUP($B65,拳系マスタ!$A:$B,2,FALSE)</f>
        <v>地王拳</v>
      </c>
      <c r="D65" s="3" t="s">
        <v>1035</v>
      </c>
      <c r="E65" s="3" t="s">
        <v>1238</v>
      </c>
      <c r="F65" s="3">
        <v>8</v>
      </c>
      <c r="G65" s="2" t="str">
        <f>VLOOKUP($F65,階級マスタ!$A:$B,2,FALSE)</f>
        <v>二</v>
      </c>
      <c r="H65" s="2">
        <v>1</v>
      </c>
      <c r="I65" s="2" t="str">
        <f>VLOOKUP($H65,分類マスタ!$A:$B,2,FALSE)</f>
        <v>剛法</v>
      </c>
      <c r="J65" s="3" t="s">
        <v>1135</v>
      </c>
      <c r="K65" s="3" t="s">
        <v>1138</v>
      </c>
      <c r="L65" s="3" t="s">
        <v>1071</v>
      </c>
      <c r="M65" s="3" t="s">
        <v>1139</v>
      </c>
      <c r="N65" s="3" t="s">
        <v>1072</v>
      </c>
      <c r="O65" s="7">
        <v>198</v>
      </c>
      <c r="P65" s="3" t="s">
        <v>1456</v>
      </c>
    </row>
    <row r="66" spans="1:16" x14ac:dyDescent="0.45">
      <c r="A66" s="3">
        <v>65</v>
      </c>
      <c r="B66" s="3">
        <v>6</v>
      </c>
      <c r="C66" s="2" t="str">
        <f>VLOOKUP($B66,拳系マスタ!$A:$B,2,FALSE)</f>
        <v>地王拳</v>
      </c>
      <c r="D66" s="3" t="s">
        <v>489</v>
      </c>
      <c r="E66" s="3" t="s">
        <v>1237</v>
      </c>
      <c r="F66" s="3">
        <v>8</v>
      </c>
      <c r="G66" s="2" t="str">
        <f>VLOOKUP($F66,階級マスタ!$A:$B,2,FALSE)</f>
        <v>二</v>
      </c>
      <c r="H66" s="2">
        <v>1</v>
      </c>
      <c r="I66" s="2" t="str">
        <f>VLOOKUP($H66,分類マスタ!$A:$B,2,FALSE)</f>
        <v>剛法</v>
      </c>
      <c r="J66" s="3" t="s">
        <v>1135</v>
      </c>
      <c r="K66" s="3" t="s">
        <v>1138</v>
      </c>
      <c r="L66" s="3" t="s">
        <v>1073</v>
      </c>
      <c r="M66" s="3" t="s">
        <v>1139</v>
      </c>
      <c r="N66" s="3" t="s">
        <v>1074</v>
      </c>
      <c r="O66" s="7">
        <v>199</v>
      </c>
      <c r="P66" s="3" t="s">
        <v>1456</v>
      </c>
    </row>
    <row r="67" spans="1:16" x14ac:dyDescent="0.45">
      <c r="A67" s="3">
        <v>66</v>
      </c>
      <c r="B67" s="3">
        <v>6</v>
      </c>
      <c r="C67" s="2" t="str">
        <f>VLOOKUP($B67,拳系マスタ!$A:$B,2,FALSE)</f>
        <v>地王拳</v>
      </c>
      <c r="D67" s="3" t="s">
        <v>1036</v>
      </c>
      <c r="E67" s="3" t="s">
        <v>1239</v>
      </c>
      <c r="F67" s="3">
        <v>8</v>
      </c>
      <c r="G67" s="2" t="str">
        <f>VLOOKUP($F67,階級マスタ!$A:$B,2,FALSE)</f>
        <v>二</v>
      </c>
      <c r="H67" s="2">
        <v>1</v>
      </c>
      <c r="I67" s="2" t="str">
        <f>VLOOKUP($H67,分類マスタ!$A:$B,2,FALSE)</f>
        <v>剛法</v>
      </c>
      <c r="J67" s="3" t="s">
        <v>1075</v>
      </c>
      <c r="K67" s="3" t="s">
        <v>1137</v>
      </c>
      <c r="L67" s="3" t="s">
        <v>1076</v>
      </c>
      <c r="M67" s="3" t="s">
        <v>1147</v>
      </c>
      <c r="N67" s="3" t="s">
        <v>1078</v>
      </c>
      <c r="O67" s="7">
        <v>197</v>
      </c>
      <c r="P67" s="3" t="s">
        <v>1455</v>
      </c>
    </row>
    <row r="68" spans="1:16" x14ac:dyDescent="0.45">
      <c r="A68" s="3">
        <v>67</v>
      </c>
      <c r="B68" s="3">
        <v>6</v>
      </c>
      <c r="C68" s="2" t="str">
        <f>VLOOKUP($B68,拳系マスタ!$A:$B,2,FALSE)</f>
        <v>地王拳</v>
      </c>
      <c r="D68" s="3" t="s">
        <v>126</v>
      </c>
      <c r="E68" s="3" t="s">
        <v>1240</v>
      </c>
      <c r="F68" s="3">
        <v>9</v>
      </c>
      <c r="G68" s="2" t="str">
        <f>VLOOKUP($F68,階級マスタ!$A:$B,2,FALSE)</f>
        <v>三</v>
      </c>
      <c r="H68" s="2">
        <v>1</v>
      </c>
      <c r="I68" s="2" t="str">
        <f>VLOOKUP($H68,分類マスタ!$A:$B,2,FALSE)</f>
        <v>剛法</v>
      </c>
      <c r="J68" s="3"/>
      <c r="K68" s="3" t="s">
        <v>1138</v>
      </c>
      <c r="L68" s="3" t="s">
        <v>1081</v>
      </c>
      <c r="M68" s="3" t="s">
        <v>1148</v>
      </c>
      <c r="N68" s="3" t="s">
        <v>1082</v>
      </c>
      <c r="O68" s="7">
        <v>196</v>
      </c>
      <c r="P68" s="3" t="s">
        <v>1455</v>
      </c>
    </row>
    <row r="69" spans="1:16" x14ac:dyDescent="0.45">
      <c r="A69" s="3">
        <v>68</v>
      </c>
      <c r="B69" s="3">
        <v>7</v>
      </c>
      <c r="C69" s="2" t="str">
        <f>VLOOKUP($B69,拳系マスタ!$A:$B,2,FALSE)</f>
        <v>龍王拳</v>
      </c>
      <c r="D69" s="3" t="s">
        <v>146</v>
      </c>
      <c r="E69" s="3" t="s">
        <v>1241</v>
      </c>
      <c r="F69" s="3">
        <v>1</v>
      </c>
      <c r="G69" s="2" t="str">
        <f>VLOOKUP($F69,階級マスタ!$A:$B,2,FALSE)</f>
        <v>⑥</v>
      </c>
      <c r="H69" s="2">
        <v>2</v>
      </c>
      <c r="I69" s="2" t="str">
        <f>VLOOKUP($H69,分類マスタ!$A:$B,2,FALSE)</f>
        <v>柔法</v>
      </c>
      <c r="J69" s="3" t="s">
        <v>1136</v>
      </c>
      <c r="K69" s="3" t="s">
        <v>1152</v>
      </c>
      <c r="L69" s="3"/>
      <c r="M69" s="3" t="s">
        <v>1152</v>
      </c>
      <c r="N69" s="3"/>
      <c r="O69" s="7">
        <v>213</v>
      </c>
      <c r="P69" s="3" t="s">
        <v>1458</v>
      </c>
    </row>
    <row r="70" spans="1:16" x14ac:dyDescent="0.45">
      <c r="A70" s="3">
        <v>69</v>
      </c>
      <c r="B70" s="3">
        <v>7</v>
      </c>
      <c r="C70" s="2" t="str">
        <f>VLOOKUP($B70,拳系マスタ!$A:$B,2,FALSE)</f>
        <v>龍王拳</v>
      </c>
      <c r="D70" s="3" t="s">
        <v>149</v>
      </c>
      <c r="E70" s="3" t="s">
        <v>1242</v>
      </c>
      <c r="F70" s="3">
        <v>2</v>
      </c>
      <c r="G70" s="2" t="str">
        <f>VLOOKUP($F70,階級マスタ!$A:$B,2,FALSE)</f>
        <v>⑤</v>
      </c>
      <c r="H70" s="2">
        <v>2</v>
      </c>
      <c r="I70" s="2" t="str">
        <f>VLOOKUP($H70,分類マスタ!$A:$B,2,FALSE)</f>
        <v>柔法</v>
      </c>
      <c r="J70" s="3" t="s">
        <v>709</v>
      </c>
      <c r="K70" s="3" t="s">
        <v>1152</v>
      </c>
      <c r="L70" s="3"/>
      <c r="M70" s="3" t="s">
        <v>1152</v>
      </c>
      <c r="N70" s="3"/>
      <c r="O70" s="3"/>
      <c r="P70" s="3"/>
    </row>
    <row r="71" spans="1:16" x14ac:dyDescent="0.45">
      <c r="A71" s="3">
        <v>70</v>
      </c>
      <c r="B71" s="3">
        <v>7</v>
      </c>
      <c r="C71" s="2" t="str">
        <f>VLOOKUP($B71,拳系マスタ!$A:$B,2,FALSE)</f>
        <v>龍王拳</v>
      </c>
      <c r="D71" s="3" t="s">
        <v>152</v>
      </c>
      <c r="E71" s="3" t="s">
        <v>1243</v>
      </c>
      <c r="F71" s="3">
        <v>4</v>
      </c>
      <c r="G71" s="2" t="str">
        <f>VLOOKUP($F71,階級マスタ!$A:$B,2,FALSE)</f>
        <v>③</v>
      </c>
      <c r="H71" s="2">
        <v>2</v>
      </c>
      <c r="I71" s="2" t="str">
        <f>VLOOKUP($H71,分類マスタ!$A:$B,2,FALSE)</f>
        <v>柔法</v>
      </c>
      <c r="J71" s="3" t="s">
        <v>1136</v>
      </c>
      <c r="K71" s="3" t="s">
        <v>1152</v>
      </c>
      <c r="L71" s="3"/>
      <c r="M71" s="3" t="s">
        <v>1152</v>
      </c>
      <c r="N71" s="3"/>
      <c r="O71" s="7">
        <v>218</v>
      </c>
      <c r="P71" s="3" t="s">
        <v>1459</v>
      </c>
    </row>
    <row r="72" spans="1:16" x14ac:dyDescent="0.45">
      <c r="A72" s="3">
        <v>71</v>
      </c>
      <c r="B72" s="3">
        <v>7</v>
      </c>
      <c r="C72" s="2" t="str">
        <f>VLOOKUP($B72,拳系マスタ!$A:$B,2,FALSE)</f>
        <v>龍王拳</v>
      </c>
      <c r="D72" s="3" t="s">
        <v>154</v>
      </c>
      <c r="E72" s="3" t="s">
        <v>1244</v>
      </c>
      <c r="F72" s="3">
        <v>4</v>
      </c>
      <c r="G72" s="2" t="str">
        <f>VLOOKUP($F72,階級マスタ!$A:$B,2,FALSE)</f>
        <v>③</v>
      </c>
      <c r="H72" s="2">
        <v>2</v>
      </c>
      <c r="I72" s="2" t="str">
        <f>VLOOKUP($H72,分類マスタ!$A:$B,2,FALSE)</f>
        <v>柔法</v>
      </c>
      <c r="J72" s="3" t="s">
        <v>1136</v>
      </c>
      <c r="K72" s="3"/>
      <c r="L72" s="3"/>
      <c r="M72" s="3" t="s">
        <v>1152</v>
      </c>
      <c r="N72" s="3"/>
      <c r="O72" s="7">
        <v>220</v>
      </c>
      <c r="P72" s="3" t="s">
        <v>1460</v>
      </c>
    </row>
    <row r="73" spans="1:16" x14ac:dyDescent="0.45">
      <c r="A73" s="3">
        <v>72</v>
      </c>
      <c r="B73" s="3">
        <v>7</v>
      </c>
      <c r="C73" s="2" t="str">
        <f>VLOOKUP($B73,拳系マスタ!$A:$B,2,FALSE)</f>
        <v>龍王拳</v>
      </c>
      <c r="D73" s="3" t="s">
        <v>156</v>
      </c>
      <c r="E73" s="3" t="s">
        <v>1245</v>
      </c>
      <c r="F73" s="3">
        <v>3</v>
      </c>
      <c r="G73" s="2" t="str">
        <f>VLOOKUP($F73,階級マスタ!$A:$B,2,FALSE)</f>
        <v>④</v>
      </c>
      <c r="H73" s="2">
        <v>2</v>
      </c>
      <c r="I73" s="2" t="str">
        <f>VLOOKUP($H73,分類マスタ!$A:$B,2,FALSE)</f>
        <v>柔法</v>
      </c>
      <c r="J73" s="3" t="s">
        <v>709</v>
      </c>
      <c r="K73" s="3"/>
      <c r="L73" s="3"/>
      <c r="M73" s="3" t="s">
        <v>1152</v>
      </c>
      <c r="N73" s="3"/>
      <c r="O73" s="3"/>
      <c r="P73" s="3"/>
    </row>
    <row r="74" spans="1:16" x14ac:dyDescent="0.45">
      <c r="A74" s="3">
        <v>73</v>
      </c>
      <c r="B74" s="3">
        <v>7</v>
      </c>
      <c r="C74" s="2" t="str">
        <f>VLOOKUP($B74,拳系マスタ!$A:$B,2,FALSE)</f>
        <v>龍王拳</v>
      </c>
      <c r="D74" s="3" t="s">
        <v>159</v>
      </c>
      <c r="E74" s="3" t="s">
        <v>1246</v>
      </c>
      <c r="F74" s="3">
        <v>3</v>
      </c>
      <c r="G74" s="2" t="str">
        <f>VLOOKUP($F74,階級マスタ!$A:$B,2,FALSE)</f>
        <v>④</v>
      </c>
      <c r="H74" s="2">
        <v>2</v>
      </c>
      <c r="I74" s="2" t="str">
        <f>VLOOKUP($H74,分類マスタ!$A:$B,2,FALSE)</f>
        <v>柔法</v>
      </c>
      <c r="J74" s="3" t="s">
        <v>1136</v>
      </c>
      <c r="K74" s="3"/>
      <c r="L74" s="3"/>
      <c r="M74" s="3" t="s">
        <v>1152</v>
      </c>
      <c r="N74" s="3"/>
      <c r="O74" s="3"/>
      <c r="P74" s="3"/>
    </row>
    <row r="75" spans="1:16" x14ac:dyDescent="0.45">
      <c r="A75" s="3">
        <v>74</v>
      </c>
      <c r="B75" s="3">
        <v>7</v>
      </c>
      <c r="C75" s="2" t="str">
        <f>VLOOKUP($B75,拳系マスタ!$A:$B,2,FALSE)</f>
        <v>龍王拳</v>
      </c>
      <c r="D75" s="3" t="s">
        <v>160</v>
      </c>
      <c r="E75" s="3" t="s">
        <v>1247</v>
      </c>
      <c r="F75" s="3">
        <v>6</v>
      </c>
      <c r="G75" s="2" t="str">
        <f>VLOOKUP($F75,階級マスタ!$A:$B,2,FALSE)</f>
        <v>①</v>
      </c>
      <c r="H75" s="2">
        <v>2</v>
      </c>
      <c r="I75" s="2" t="str">
        <f>VLOOKUP($H75,分類マスタ!$A:$B,2,FALSE)</f>
        <v>柔法</v>
      </c>
      <c r="J75" s="3" t="s">
        <v>709</v>
      </c>
      <c r="K75" s="3" t="s">
        <v>1152</v>
      </c>
      <c r="L75" s="3"/>
      <c r="M75" s="3" t="s">
        <v>1152</v>
      </c>
      <c r="N75" s="3"/>
      <c r="O75" s="7">
        <v>221</v>
      </c>
      <c r="P75" s="3" t="s">
        <v>1460</v>
      </c>
    </row>
    <row r="76" spans="1:16" x14ac:dyDescent="0.45">
      <c r="A76" s="3">
        <v>75</v>
      </c>
      <c r="B76" s="3">
        <v>7</v>
      </c>
      <c r="C76" s="2" t="str">
        <f>VLOOKUP($B76,拳系マスタ!$A:$B,2,FALSE)</f>
        <v>龍王拳</v>
      </c>
      <c r="D76" s="3" t="s">
        <v>162</v>
      </c>
      <c r="E76" s="3" t="s">
        <v>1248</v>
      </c>
      <c r="F76" s="3">
        <v>4</v>
      </c>
      <c r="G76" s="2" t="str">
        <f>VLOOKUP($F76,階級マスタ!$A:$B,2,FALSE)</f>
        <v>③</v>
      </c>
      <c r="H76" s="2">
        <v>2</v>
      </c>
      <c r="I76" s="2" t="str">
        <f>VLOOKUP($H76,分類マスタ!$A:$B,2,FALSE)</f>
        <v>柔法</v>
      </c>
      <c r="J76" s="3" t="s">
        <v>1136</v>
      </c>
      <c r="K76" s="3" t="s">
        <v>1152</v>
      </c>
      <c r="L76" s="3"/>
      <c r="M76" s="3" t="s">
        <v>1152</v>
      </c>
      <c r="N76" s="3"/>
      <c r="O76" s="7">
        <v>221</v>
      </c>
      <c r="P76" s="3" t="s">
        <v>1460</v>
      </c>
    </row>
    <row r="77" spans="1:16" x14ac:dyDescent="0.45">
      <c r="A77" s="3">
        <v>76</v>
      </c>
      <c r="B77" s="3">
        <v>7</v>
      </c>
      <c r="C77" s="2" t="str">
        <f>VLOOKUP($B77,拳系マスタ!$A:$B,2,FALSE)</f>
        <v>龍王拳</v>
      </c>
      <c r="D77" s="3" t="s">
        <v>163</v>
      </c>
      <c r="E77" s="3" t="s">
        <v>1249</v>
      </c>
      <c r="F77" s="3">
        <v>2</v>
      </c>
      <c r="G77" s="2" t="str">
        <f>VLOOKUP($F77,階級マスタ!$A:$B,2,FALSE)</f>
        <v>⑤</v>
      </c>
      <c r="H77" s="2">
        <v>2</v>
      </c>
      <c r="I77" s="2" t="str">
        <f>VLOOKUP($H77,分類マスタ!$A:$B,2,FALSE)</f>
        <v>柔法</v>
      </c>
      <c r="J77" s="3" t="s">
        <v>709</v>
      </c>
      <c r="K77" s="3" t="s">
        <v>1152</v>
      </c>
      <c r="L77" s="3"/>
      <c r="M77" s="3" t="s">
        <v>1152</v>
      </c>
      <c r="N77" s="3"/>
      <c r="O77" s="3"/>
      <c r="P77" s="3"/>
    </row>
    <row r="78" spans="1:16" x14ac:dyDescent="0.45">
      <c r="A78" s="3">
        <v>77</v>
      </c>
      <c r="B78" s="3">
        <v>7</v>
      </c>
      <c r="C78" s="2" t="str">
        <f>VLOOKUP($B78,拳系マスタ!$A:$B,2,FALSE)</f>
        <v>龍王拳</v>
      </c>
      <c r="D78" s="3" t="s">
        <v>164</v>
      </c>
      <c r="E78" s="3" t="s">
        <v>1250</v>
      </c>
      <c r="F78" s="3">
        <v>7</v>
      </c>
      <c r="G78" s="2" t="str">
        <f>VLOOKUP($F78,階級マスタ!$A:$B,2,FALSE)</f>
        <v>初</v>
      </c>
      <c r="H78" s="2">
        <v>2</v>
      </c>
      <c r="I78" s="2" t="str">
        <f>VLOOKUP($H78,分類マスタ!$A:$B,2,FALSE)</f>
        <v>柔法</v>
      </c>
      <c r="J78" s="3" t="s">
        <v>709</v>
      </c>
      <c r="K78" s="3" t="s">
        <v>1152</v>
      </c>
      <c r="L78" s="3"/>
      <c r="M78" s="3" t="s">
        <v>1152</v>
      </c>
      <c r="N78" s="3"/>
      <c r="O78" s="7">
        <v>222</v>
      </c>
      <c r="P78" s="3" t="s">
        <v>1461</v>
      </c>
    </row>
    <row r="79" spans="1:16" x14ac:dyDescent="0.45">
      <c r="A79" s="3">
        <v>78</v>
      </c>
      <c r="B79" s="3">
        <v>7</v>
      </c>
      <c r="C79" s="2" t="str">
        <f>VLOOKUP($B79,拳系マスタ!$A:$B,2,FALSE)</f>
        <v>龍王拳</v>
      </c>
      <c r="D79" s="3" t="s">
        <v>165</v>
      </c>
      <c r="E79" s="3" t="s">
        <v>1251</v>
      </c>
      <c r="F79" s="3">
        <v>9</v>
      </c>
      <c r="G79" s="2" t="str">
        <f>VLOOKUP($F79,階級マスタ!$A:$B,2,FALSE)</f>
        <v>三</v>
      </c>
      <c r="H79" s="2">
        <v>2</v>
      </c>
      <c r="I79" s="2" t="str">
        <f>VLOOKUP($H79,分類マスタ!$A:$B,2,FALSE)</f>
        <v>柔法</v>
      </c>
      <c r="J79" s="3"/>
      <c r="K79" s="3" t="s">
        <v>1152</v>
      </c>
      <c r="L79" s="3"/>
      <c r="M79" s="3" t="s">
        <v>1148</v>
      </c>
      <c r="N79" s="3"/>
      <c r="O79" s="7">
        <v>222</v>
      </c>
      <c r="P79" s="3" t="s">
        <v>1461</v>
      </c>
    </row>
    <row r="80" spans="1:16" x14ac:dyDescent="0.45">
      <c r="A80" s="3">
        <v>79</v>
      </c>
      <c r="B80" s="3">
        <v>7</v>
      </c>
      <c r="C80" s="2" t="str">
        <f>VLOOKUP($B80,拳系マスタ!$A:$B,2,FALSE)</f>
        <v>龍王拳</v>
      </c>
      <c r="D80" s="3" t="s">
        <v>167</v>
      </c>
      <c r="E80" s="3" t="s">
        <v>1252</v>
      </c>
      <c r="F80" s="3">
        <v>6</v>
      </c>
      <c r="G80" s="2" t="str">
        <f>VLOOKUP($F80,階級マスタ!$A:$B,2,FALSE)</f>
        <v>①</v>
      </c>
      <c r="H80" s="2">
        <v>2</v>
      </c>
      <c r="I80" s="2" t="str">
        <f>VLOOKUP($H80,分類マスタ!$A:$B,2,FALSE)</f>
        <v>柔法</v>
      </c>
      <c r="J80" s="3" t="s">
        <v>709</v>
      </c>
      <c r="K80" s="3" t="s">
        <v>1152</v>
      </c>
      <c r="L80" s="3"/>
      <c r="M80" s="3" t="s">
        <v>1154</v>
      </c>
      <c r="N80" s="3"/>
      <c r="O80" s="7">
        <v>223</v>
      </c>
      <c r="P80" s="3" t="s">
        <v>1461</v>
      </c>
    </row>
    <row r="81" spans="1:16" x14ac:dyDescent="0.45">
      <c r="A81" s="3">
        <v>80</v>
      </c>
      <c r="B81" s="3">
        <v>7</v>
      </c>
      <c r="C81" s="2" t="str">
        <f>VLOOKUP($B81,拳系マスタ!$A:$B,2,FALSE)</f>
        <v>龍王拳</v>
      </c>
      <c r="D81" s="3" t="s">
        <v>169</v>
      </c>
      <c r="E81" s="3" t="s">
        <v>1253</v>
      </c>
      <c r="F81" s="3">
        <v>7</v>
      </c>
      <c r="G81" s="2" t="str">
        <f>VLOOKUP($F81,階級マスタ!$A:$B,2,FALSE)</f>
        <v>初</v>
      </c>
      <c r="H81" s="2">
        <v>2</v>
      </c>
      <c r="I81" s="2" t="str">
        <f>VLOOKUP($H81,分類マスタ!$A:$B,2,FALSE)</f>
        <v>柔法</v>
      </c>
      <c r="J81" s="3" t="s">
        <v>1136</v>
      </c>
      <c r="K81" s="3" t="s">
        <v>1152</v>
      </c>
      <c r="L81" s="3"/>
      <c r="M81" s="3" t="s">
        <v>1152</v>
      </c>
      <c r="N81" s="3"/>
      <c r="O81" s="7">
        <v>223</v>
      </c>
      <c r="P81" s="3" t="s">
        <v>1461</v>
      </c>
    </row>
    <row r="82" spans="1:16" x14ac:dyDescent="0.45">
      <c r="A82" s="3">
        <v>81</v>
      </c>
      <c r="B82" s="3">
        <v>7</v>
      </c>
      <c r="C82" s="2" t="str">
        <f>VLOOKUP($B82,拳系マスタ!$A:$B,2,FALSE)</f>
        <v>龍王拳</v>
      </c>
      <c r="D82" s="3" t="s">
        <v>170</v>
      </c>
      <c r="E82" s="3" t="s">
        <v>1254</v>
      </c>
      <c r="F82" s="3">
        <v>3</v>
      </c>
      <c r="G82" s="2" t="str">
        <f>VLOOKUP($F82,階級マスタ!$A:$B,2,FALSE)</f>
        <v>④</v>
      </c>
      <c r="H82" s="2">
        <v>2</v>
      </c>
      <c r="I82" s="2" t="str">
        <f>VLOOKUP($H82,分類マスタ!$A:$B,2,FALSE)</f>
        <v>柔法</v>
      </c>
      <c r="J82" s="3" t="s">
        <v>709</v>
      </c>
      <c r="K82" s="3" t="s">
        <v>1152</v>
      </c>
      <c r="L82" s="3"/>
      <c r="M82" s="3" t="s">
        <v>1152</v>
      </c>
      <c r="N82" s="3"/>
      <c r="O82" s="7">
        <v>223</v>
      </c>
      <c r="P82" s="3" t="s">
        <v>1461</v>
      </c>
    </row>
    <row r="83" spans="1:16" x14ac:dyDescent="0.45">
      <c r="A83" s="3">
        <v>82</v>
      </c>
      <c r="B83" s="3">
        <v>7</v>
      </c>
      <c r="C83" s="2" t="str">
        <f>VLOOKUP($B83,拳系マスタ!$A:$B,2,FALSE)</f>
        <v>龍王拳</v>
      </c>
      <c r="D83" s="3" t="s">
        <v>171</v>
      </c>
      <c r="E83" s="3" t="s">
        <v>1255</v>
      </c>
      <c r="F83" s="3">
        <v>3</v>
      </c>
      <c r="G83" s="2" t="str">
        <f>VLOOKUP($F83,階級マスタ!$A:$B,2,FALSE)</f>
        <v>④</v>
      </c>
      <c r="H83" s="2">
        <v>2</v>
      </c>
      <c r="I83" s="2" t="str">
        <f>VLOOKUP($H83,分類マスタ!$A:$B,2,FALSE)</f>
        <v>柔法</v>
      </c>
      <c r="J83" s="3" t="s">
        <v>1136</v>
      </c>
      <c r="K83" s="3" t="s">
        <v>1152</v>
      </c>
      <c r="L83" s="3"/>
      <c r="M83" s="3" t="s">
        <v>1152</v>
      </c>
      <c r="N83" s="3"/>
      <c r="O83" s="3"/>
      <c r="P83" s="3"/>
    </row>
    <row r="84" spans="1:16" x14ac:dyDescent="0.45">
      <c r="A84" s="3">
        <v>83</v>
      </c>
      <c r="B84" s="3">
        <v>7</v>
      </c>
      <c r="C84" s="2" t="str">
        <f>VLOOKUP($B84,拳系マスタ!$A:$B,2,FALSE)</f>
        <v>龍王拳</v>
      </c>
      <c r="D84" s="3" t="s">
        <v>172</v>
      </c>
      <c r="E84" s="3" t="s">
        <v>1256</v>
      </c>
      <c r="F84" s="3">
        <v>4</v>
      </c>
      <c r="G84" s="2" t="str">
        <f>VLOOKUP($F84,階級マスタ!$A:$B,2,FALSE)</f>
        <v>③</v>
      </c>
      <c r="H84" s="2">
        <v>2</v>
      </c>
      <c r="I84" s="2" t="str">
        <f>VLOOKUP($H84,分類マスタ!$A:$B,2,FALSE)</f>
        <v>柔法</v>
      </c>
      <c r="J84" s="3" t="s">
        <v>709</v>
      </c>
      <c r="K84" s="3" t="s">
        <v>1152</v>
      </c>
      <c r="L84" s="3"/>
      <c r="M84" s="3" t="s">
        <v>1152</v>
      </c>
      <c r="N84" s="3"/>
      <c r="O84" s="7">
        <v>224</v>
      </c>
      <c r="P84" s="3" t="s">
        <v>1462</v>
      </c>
    </row>
    <row r="85" spans="1:16" x14ac:dyDescent="0.45">
      <c r="A85" s="3">
        <v>84</v>
      </c>
      <c r="B85" s="3">
        <v>7</v>
      </c>
      <c r="C85" s="2" t="str">
        <f>VLOOKUP($B85,拳系マスタ!$A:$B,2,FALSE)</f>
        <v>龍王拳</v>
      </c>
      <c r="D85" s="3" t="s">
        <v>173</v>
      </c>
      <c r="E85" s="3" t="s">
        <v>1257</v>
      </c>
      <c r="F85" s="3">
        <v>5</v>
      </c>
      <c r="G85" s="2" t="str">
        <f>VLOOKUP($F85,階級マスタ!$A:$B,2,FALSE)</f>
        <v>②</v>
      </c>
      <c r="H85" s="2">
        <v>2</v>
      </c>
      <c r="I85" s="2" t="str">
        <f>VLOOKUP($H85,分類マスタ!$A:$B,2,FALSE)</f>
        <v>柔法</v>
      </c>
      <c r="J85" s="3" t="s">
        <v>1136</v>
      </c>
      <c r="K85" s="3" t="s">
        <v>1152</v>
      </c>
      <c r="L85" s="3"/>
      <c r="M85" s="3" t="s">
        <v>1152</v>
      </c>
      <c r="N85" s="3"/>
      <c r="O85" s="3"/>
      <c r="P85" s="3"/>
    </row>
    <row r="86" spans="1:16" x14ac:dyDescent="0.45">
      <c r="A86" s="3">
        <v>85</v>
      </c>
      <c r="B86" s="3">
        <v>7</v>
      </c>
      <c r="C86" s="2" t="str">
        <f>VLOOKUP($B86,拳系マスタ!$A:$B,2,FALSE)</f>
        <v>龍王拳</v>
      </c>
      <c r="D86" s="3" t="s">
        <v>175</v>
      </c>
      <c r="E86" s="3" t="s">
        <v>1258</v>
      </c>
      <c r="F86" s="3">
        <v>6</v>
      </c>
      <c r="G86" s="2" t="str">
        <f>VLOOKUP($F86,階級マスタ!$A:$B,2,FALSE)</f>
        <v>①</v>
      </c>
      <c r="H86" s="2">
        <v>2</v>
      </c>
      <c r="I86" s="2" t="str">
        <f>VLOOKUP($H86,分類マスタ!$A:$B,2,FALSE)</f>
        <v>柔法</v>
      </c>
      <c r="J86" s="3" t="s">
        <v>709</v>
      </c>
      <c r="K86" s="3" t="s">
        <v>1152</v>
      </c>
      <c r="L86" s="3"/>
      <c r="M86" s="3" t="s">
        <v>1152</v>
      </c>
      <c r="N86" s="3"/>
      <c r="O86" s="7">
        <v>224</v>
      </c>
      <c r="P86" s="3" t="s">
        <v>1462</v>
      </c>
    </row>
    <row r="87" spans="1:16" x14ac:dyDescent="0.45">
      <c r="A87" s="3">
        <v>86</v>
      </c>
      <c r="B87" s="3">
        <v>7</v>
      </c>
      <c r="C87" s="2" t="str">
        <f>VLOOKUP($B87,拳系マスタ!$A:$B,2,FALSE)</f>
        <v>龍王拳</v>
      </c>
      <c r="D87" s="3" t="s">
        <v>176</v>
      </c>
      <c r="E87" s="3" t="s">
        <v>1259</v>
      </c>
      <c r="F87" s="3">
        <v>5</v>
      </c>
      <c r="G87" s="2" t="str">
        <f>VLOOKUP($F87,階級マスタ!$A:$B,2,FALSE)</f>
        <v>②</v>
      </c>
      <c r="H87" s="2">
        <v>2</v>
      </c>
      <c r="I87" s="2" t="str">
        <f>VLOOKUP($H87,分類マスタ!$A:$B,2,FALSE)</f>
        <v>柔法</v>
      </c>
      <c r="J87" s="3" t="s">
        <v>1136</v>
      </c>
      <c r="K87" s="3" t="s">
        <v>1152</v>
      </c>
      <c r="L87" s="3"/>
      <c r="M87" s="3" t="s">
        <v>1152</v>
      </c>
      <c r="N87" s="3"/>
      <c r="O87" s="7">
        <v>225</v>
      </c>
      <c r="P87" s="3" t="s">
        <v>1462</v>
      </c>
    </row>
    <row r="88" spans="1:16" x14ac:dyDescent="0.45">
      <c r="A88" s="3">
        <v>87</v>
      </c>
      <c r="B88" s="3">
        <v>7</v>
      </c>
      <c r="C88" s="2" t="str">
        <f>VLOOKUP($B88,拳系マスタ!$A:$B,2,FALSE)</f>
        <v>龍王拳</v>
      </c>
      <c r="D88" s="3" t="s">
        <v>177</v>
      </c>
      <c r="E88" s="3" t="s">
        <v>1260</v>
      </c>
      <c r="F88" s="3">
        <v>4</v>
      </c>
      <c r="G88" s="2" t="str">
        <f>VLOOKUP($F88,階級マスタ!$A:$B,2,FALSE)</f>
        <v>③</v>
      </c>
      <c r="H88" s="2">
        <v>2</v>
      </c>
      <c r="I88" s="2" t="str">
        <f>VLOOKUP($H88,分類マスタ!$A:$B,2,FALSE)</f>
        <v>柔法</v>
      </c>
      <c r="J88" s="3" t="s">
        <v>709</v>
      </c>
      <c r="K88" s="3" t="s">
        <v>1152</v>
      </c>
      <c r="L88" s="3"/>
      <c r="M88" s="3" t="s">
        <v>1152</v>
      </c>
      <c r="N88" s="3"/>
      <c r="O88" s="7">
        <v>225</v>
      </c>
      <c r="P88" s="3" t="s">
        <v>1462</v>
      </c>
    </row>
    <row r="89" spans="1:16" x14ac:dyDescent="0.45">
      <c r="A89" s="3">
        <v>88</v>
      </c>
      <c r="B89" s="3">
        <v>7</v>
      </c>
      <c r="C89" s="2" t="str">
        <f>VLOOKUP($B89,拳系マスタ!$A:$B,2,FALSE)</f>
        <v>龍王拳</v>
      </c>
      <c r="D89" s="3" t="s">
        <v>178</v>
      </c>
      <c r="E89" s="3" t="s">
        <v>1261</v>
      </c>
      <c r="F89" s="3">
        <v>4</v>
      </c>
      <c r="G89" s="2" t="str">
        <f>VLOOKUP($F89,階級マスタ!$A:$B,2,FALSE)</f>
        <v>③</v>
      </c>
      <c r="H89" s="2">
        <v>2</v>
      </c>
      <c r="I89" s="2" t="str">
        <f>VLOOKUP($H89,分類マスタ!$A:$B,2,FALSE)</f>
        <v>柔法</v>
      </c>
      <c r="J89" s="3" t="s">
        <v>709</v>
      </c>
      <c r="K89" s="3" t="s">
        <v>1152</v>
      </c>
      <c r="L89" s="3"/>
      <c r="M89" s="3" t="s">
        <v>1152</v>
      </c>
      <c r="N89" s="3"/>
      <c r="O89" s="7">
        <v>225</v>
      </c>
      <c r="P89" s="3" t="s">
        <v>1462</v>
      </c>
    </row>
    <row r="90" spans="1:16" x14ac:dyDescent="0.45">
      <c r="A90" s="3">
        <v>89</v>
      </c>
      <c r="B90" s="3">
        <v>7</v>
      </c>
      <c r="C90" s="2" t="str">
        <f>VLOOKUP($B90,拳系マスタ!$A:$B,2,FALSE)</f>
        <v>龍王拳</v>
      </c>
      <c r="D90" s="3" t="s">
        <v>179</v>
      </c>
      <c r="E90" s="3" t="s">
        <v>1262</v>
      </c>
      <c r="F90" s="3">
        <v>6</v>
      </c>
      <c r="G90" s="2" t="str">
        <f>VLOOKUP($F90,階級マスタ!$A:$B,2,FALSE)</f>
        <v>①</v>
      </c>
      <c r="H90" s="2">
        <v>2</v>
      </c>
      <c r="I90" s="2" t="str">
        <f>VLOOKUP($H90,分類マスタ!$A:$B,2,FALSE)</f>
        <v>柔法</v>
      </c>
      <c r="J90" s="3" t="s">
        <v>709</v>
      </c>
      <c r="K90" s="3" t="s">
        <v>1152</v>
      </c>
      <c r="L90" s="3"/>
      <c r="M90" s="3" t="s">
        <v>1152</v>
      </c>
      <c r="N90" s="3"/>
      <c r="O90" s="7">
        <v>226</v>
      </c>
      <c r="P90" s="3" t="s">
        <v>1463</v>
      </c>
    </row>
    <row r="91" spans="1:16" x14ac:dyDescent="0.45">
      <c r="A91" s="3">
        <v>90</v>
      </c>
      <c r="B91" s="3">
        <v>7</v>
      </c>
      <c r="C91" s="2" t="str">
        <f>VLOOKUP($B91,拳系マスタ!$A:$B,2,FALSE)</f>
        <v>龍王拳</v>
      </c>
      <c r="D91" s="3" t="s">
        <v>180</v>
      </c>
      <c r="E91" s="3" t="s">
        <v>1263</v>
      </c>
      <c r="F91" s="3">
        <v>7</v>
      </c>
      <c r="G91" s="2" t="str">
        <f>VLOOKUP($F91,階級マスタ!$A:$B,2,FALSE)</f>
        <v>初</v>
      </c>
      <c r="H91" s="2">
        <v>2</v>
      </c>
      <c r="I91" s="2" t="str">
        <f>VLOOKUP($H91,分類マスタ!$A:$B,2,FALSE)</f>
        <v>柔法</v>
      </c>
      <c r="J91" s="3" t="s">
        <v>709</v>
      </c>
      <c r="K91" s="3" t="s">
        <v>1152</v>
      </c>
      <c r="L91" s="3"/>
      <c r="M91" s="3" t="s">
        <v>1152</v>
      </c>
      <c r="N91" s="3"/>
      <c r="O91" s="7">
        <v>226</v>
      </c>
      <c r="P91" s="3" t="s">
        <v>1463</v>
      </c>
    </row>
    <row r="92" spans="1:16" x14ac:dyDescent="0.45">
      <c r="A92" s="3">
        <v>91</v>
      </c>
      <c r="B92" s="3">
        <v>7</v>
      </c>
      <c r="C92" s="2" t="str">
        <f>VLOOKUP($B92,拳系マスタ!$A:$B,2,FALSE)</f>
        <v>龍王拳</v>
      </c>
      <c r="D92" s="3" t="s">
        <v>181</v>
      </c>
      <c r="E92" s="3" t="s">
        <v>1264</v>
      </c>
      <c r="F92" s="3">
        <v>5</v>
      </c>
      <c r="G92" s="2" t="str">
        <f>VLOOKUP($F92,階級マスタ!$A:$B,2,FALSE)</f>
        <v>②</v>
      </c>
      <c r="H92" s="2">
        <v>2</v>
      </c>
      <c r="I92" s="2" t="str">
        <f>VLOOKUP($H92,分類マスタ!$A:$B,2,FALSE)</f>
        <v>柔法</v>
      </c>
      <c r="J92" s="3"/>
      <c r="K92" s="3" t="s">
        <v>1152</v>
      </c>
      <c r="L92" s="3"/>
      <c r="M92" s="3" t="s">
        <v>1152</v>
      </c>
      <c r="N92" s="3"/>
      <c r="O92" s="7">
        <v>227</v>
      </c>
      <c r="P92" s="3" t="s">
        <v>1463</v>
      </c>
    </row>
    <row r="93" spans="1:16" x14ac:dyDescent="0.45">
      <c r="A93" s="3">
        <v>92</v>
      </c>
      <c r="B93" s="3">
        <v>7</v>
      </c>
      <c r="C93" s="2" t="str">
        <f>VLOOKUP($B93,拳系マスタ!$A:$B,2,FALSE)</f>
        <v>龍王拳</v>
      </c>
      <c r="D93" s="3" t="s">
        <v>183</v>
      </c>
      <c r="E93" s="3" t="s">
        <v>1265</v>
      </c>
      <c r="F93" s="3">
        <v>5</v>
      </c>
      <c r="G93" s="2" t="str">
        <f>VLOOKUP($F93,階級マスタ!$A:$B,2,FALSE)</f>
        <v>②</v>
      </c>
      <c r="H93" s="2">
        <v>2</v>
      </c>
      <c r="I93" s="2" t="str">
        <f>VLOOKUP($H93,分類マスタ!$A:$B,2,FALSE)</f>
        <v>柔法</v>
      </c>
      <c r="J93" s="3"/>
      <c r="K93" s="3" t="s">
        <v>1152</v>
      </c>
      <c r="L93" s="3"/>
      <c r="M93" s="3" t="s">
        <v>1152</v>
      </c>
      <c r="N93" s="3"/>
      <c r="O93" s="3"/>
      <c r="P93" s="3"/>
    </row>
    <row r="94" spans="1:16" x14ac:dyDescent="0.45">
      <c r="A94" s="3">
        <v>93</v>
      </c>
      <c r="B94" s="3">
        <v>7</v>
      </c>
      <c r="C94" s="2" t="str">
        <f>VLOOKUP($B94,拳系マスタ!$A:$B,2,FALSE)</f>
        <v>龍王拳</v>
      </c>
      <c r="D94" s="3" t="s">
        <v>184</v>
      </c>
      <c r="E94" s="3" t="s">
        <v>1266</v>
      </c>
      <c r="F94" s="3">
        <v>5</v>
      </c>
      <c r="G94" s="2" t="str">
        <f>VLOOKUP($F94,階級マスタ!$A:$B,2,FALSE)</f>
        <v>②</v>
      </c>
      <c r="H94" s="2">
        <v>2</v>
      </c>
      <c r="I94" s="2" t="str">
        <f>VLOOKUP($H94,分類マスタ!$A:$B,2,FALSE)</f>
        <v>柔法</v>
      </c>
      <c r="J94" s="3" t="s">
        <v>1136</v>
      </c>
      <c r="K94" s="3" t="s">
        <v>1152</v>
      </c>
      <c r="L94" s="3"/>
      <c r="M94" s="3" t="s">
        <v>1152</v>
      </c>
      <c r="N94" s="3"/>
      <c r="O94" s="7">
        <v>227</v>
      </c>
      <c r="P94" s="3" t="s">
        <v>1463</v>
      </c>
    </row>
    <row r="95" spans="1:16" x14ac:dyDescent="0.45">
      <c r="A95" s="3">
        <v>94</v>
      </c>
      <c r="B95" s="3">
        <v>7</v>
      </c>
      <c r="C95" s="2" t="str">
        <f>VLOOKUP($B95,拳系マスタ!$A:$B,2,FALSE)</f>
        <v>龍王拳</v>
      </c>
      <c r="D95" s="3" t="s">
        <v>185</v>
      </c>
      <c r="E95" s="3" t="s">
        <v>1267</v>
      </c>
      <c r="F95" s="3">
        <v>5</v>
      </c>
      <c r="G95" s="2" t="str">
        <f>VLOOKUP($F95,階級マスタ!$A:$B,2,FALSE)</f>
        <v>②</v>
      </c>
      <c r="H95" s="2">
        <v>2</v>
      </c>
      <c r="I95" s="2" t="str">
        <f>VLOOKUP($H95,分類マスタ!$A:$B,2,FALSE)</f>
        <v>柔法</v>
      </c>
      <c r="J95" s="3" t="s">
        <v>1150</v>
      </c>
      <c r="K95" s="3" t="s">
        <v>1165</v>
      </c>
      <c r="L95" s="3"/>
      <c r="M95" s="3" t="s">
        <v>1154</v>
      </c>
      <c r="N95" s="3"/>
      <c r="O95" s="3"/>
      <c r="P95" s="3"/>
    </row>
    <row r="96" spans="1:16" x14ac:dyDescent="0.45">
      <c r="A96" s="3">
        <v>95</v>
      </c>
      <c r="B96" s="3">
        <v>7</v>
      </c>
      <c r="C96" s="2" t="str">
        <f>VLOOKUP($B96,拳系マスタ!$A:$B,2,FALSE)</f>
        <v>龍王拳</v>
      </c>
      <c r="D96" s="3" t="s">
        <v>187</v>
      </c>
      <c r="E96" s="3" t="s">
        <v>1268</v>
      </c>
      <c r="F96" s="3">
        <v>5</v>
      </c>
      <c r="G96" s="2" t="str">
        <f>VLOOKUP($F96,階級マスタ!$A:$B,2,FALSE)</f>
        <v>②</v>
      </c>
      <c r="H96" s="2">
        <v>2</v>
      </c>
      <c r="I96" s="2" t="str">
        <f>VLOOKUP($H96,分類マスタ!$A:$B,2,FALSE)</f>
        <v>柔法</v>
      </c>
      <c r="J96" s="3" t="s">
        <v>1150</v>
      </c>
      <c r="K96" s="3" t="s">
        <v>1165</v>
      </c>
      <c r="L96" s="3"/>
      <c r="M96" s="3" t="s">
        <v>1154</v>
      </c>
      <c r="N96" s="3"/>
      <c r="O96" s="7">
        <v>227</v>
      </c>
      <c r="P96" s="3" t="s">
        <v>1463</v>
      </c>
    </row>
    <row r="97" spans="1:16" x14ac:dyDescent="0.45">
      <c r="A97" s="3">
        <v>96</v>
      </c>
      <c r="B97" s="3">
        <v>7</v>
      </c>
      <c r="C97" s="2" t="str">
        <f>VLOOKUP($B97,拳系マスタ!$A:$B,2,FALSE)</f>
        <v>龍王拳</v>
      </c>
      <c r="D97" s="3" t="s">
        <v>188</v>
      </c>
      <c r="E97" s="3" t="s">
        <v>1269</v>
      </c>
      <c r="F97" s="3">
        <v>8</v>
      </c>
      <c r="G97" s="2" t="str">
        <f>VLOOKUP($F97,階級マスタ!$A:$B,2,FALSE)</f>
        <v>二</v>
      </c>
      <c r="H97" s="2">
        <v>2</v>
      </c>
      <c r="I97" s="2" t="str">
        <f>VLOOKUP($H97,分類マスタ!$A:$B,2,FALSE)</f>
        <v>柔法</v>
      </c>
      <c r="J97" s="3" t="s">
        <v>1135</v>
      </c>
      <c r="K97" s="3" t="s">
        <v>1152</v>
      </c>
      <c r="L97" s="3"/>
      <c r="M97" s="3" t="s">
        <v>1152</v>
      </c>
      <c r="N97" s="3"/>
      <c r="O97" s="7">
        <v>228</v>
      </c>
      <c r="P97" s="3" t="s">
        <v>1464</v>
      </c>
    </row>
    <row r="98" spans="1:16" x14ac:dyDescent="0.45">
      <c r="A98" s="3">
        <v>97</v>
      </c>
      <c r="B98" s="3">
        <v>7</v>
      </c>
      <c r="C98" s="2" t="str">
        <f>VLOOKUP($B98,拳系マスタ!$A:$B,2,FALSE)</f>
        <v>龍王拳</v>
      </c>
      <c r="D98" s="3" t="s">
        <v>191</v>
      </c>
      <c r="E98" s="3" t="s">
        <v>1270</v>
      </c>
      <c r="F98" s="3">
        <v>8</v>
      </c>
      <c r="G98" s="2" t="str">
        <f>VLOOKUP($F98,階級マスタ!$A:$B,2,FALSE)</f>
        <v>二</v>
      </c>
      <c r="H98" s="2">
        <v>2</v>
      </c>
      <c r="I98" s="2" t="str">
        <f>VLOOKUP($H98,分類マスタ!$A:$B,2,FALSE)</f>
        <v>柔法</v>
      </c>
      <c r="J98" s="3" t="s">
        <v>1136</v>
      </c>
      <c r="K98" s="3" t="s">
        <v>1152</v>
      </c>
      <c r="L98" s="3"/>
      <c r="M98" s="3" t="s">
        <v>1152</v>
      </c>
      <c r="N98" s="3"/>
      <c r="O98" s="7">
        <v>228</v>
      </c>
      <c r="P98" s="3" t="s">
        <v>1464</v>
      </c>
    </row>
    <row r="99" spans="1:16" x14ac:dyDescent="0.45">
      <c r="A99" s="3">
        <v>98</v>
      </c>
      <c r="B99" s="3">
        <v>7</v>
      </c>
      <c r="C99" s="2" t="str">
        <f>VLOOKUP($B99,拳系マスタ!$A:$B,2,FALSE)</f>
        <v>龍王拳</v>
      </c>
      <c r="D99" s="3" t="s">
        <v>193</v>
      </c>
      <c r="E99" s="3" t="s">
        <v>1271</v>
      </c>
      <c r="F99" s="3">
        <v>5</v>
      </c>
      <c r="G99" s="2" t="str">
        <f>VLOOKUP($F99,階級マスタ!$A:$B,2,FALSE)</f>
        <v>②</v>
      </c>
      <c r="H99" s="2">
        <v>2</v>
      </c>
      <c r="I99" s="2" t="str">
        <f>VLOOKUP($H99,分類マスタ!$A:$B,2,FALSE)</f>
        <v>柔法</v>
      </c>
      <c r="J99" s="3" t="s">
        <v>1150</v>
      </c>
      <c r="K99" s="3" t="s">
        <v>1152</v>
      </c>
      <c r="L99" s="3"/>
      <c r="M99" s="3" t="s">
        <v>1154</v>
      </c>
      <c r="N99" s="3"/>
      <c r="O99" s="7">
        <v>228</v>
      </c>
      <c r="P99" s="3" t="s">
        <v>1464</v>
      </c>
    </row>
    <row r="100" spans="1:16" x14ac:dyDescent="0.45">
      <c r="A100" s="3">
        <v>99</v>
      </c>
      <c r="B100" s="3">
        <v>7</v>
      </c>
      <c r="C100" s="2" t="str">
        <f>VLOOKUP($B100,拳系マスタ!$A:$B,2,FALSE)</f>
        <v>龍王拳</v>
      </c>
      <c r="D100" s="3" t="s">
        <v>195</v>
      </c>
      <c r="E100" s="3" t="s">
        <v>1272</v>
      </c>
      <c r="F100" s="3">
        <v>6</v>
      </c>
      <c r="G100" s="2" t="str">
        <f>VLOOKUP($F100,階級マスタ!$A:$B,2,FALSE)</f>
        <v>①</v>
      </c>
      <c r="H100" s="2">
        <v>2</v>
      </c>
      <c r="I100" s="2" t="str">
        <f>VLOOKUP($H100,分類マスタ!$A:$B,2,FALSE)</f>
        <v>柔法</v>
      </c>
      <c r="J100" s="3"/>
      <c r="K100" s="3" t="s">
        <v>1165</v>
      </c>
      <c r="L100" s="3"/>
      <c r="M100" s="3" t="s">
        <v>1155</v>
      </c>
      <c r="N100" s="3"/>
      <c r="O100" s="7">
        <v>229</v>
      </c>
      <c r="P100" s="3" t="s">
        <v>1464</v>
      </c>
    </row>
    <row r="101" spans="1:16" x14ac:dyDescent="0.45">
      <c r="A101" s="3">
        <v>100</v>
      </c>
      <c r="B101" s="3">
        <v>7</v>
      </c>
      <c r="C101" s="2" t="str">
        <f>VLOOKUP($B101,拳系マスタ!$A:$B,2,FALSE)</f>
        <v>龍王拳</v>
      </c>
      <c r="D101" s="3" t="s">
        <v>197</v>
      </c>
      <c r="E101" s="3" t="s">
        <v>1273</v>
      </c>
      <c r="F101" s="3">
        <v>6</v>
      </c>
      <c r="G101" s="2" t="str">
        <f>VLOOKUP($F101,階級マスタ!$A:$B,2,FALSE)</f>
        <v>①</v>
      </c>
      <c r="H101" s="2">
        <v>2</v>
      </c>
      <c r="I101" s="2" t="str">
        <f>VLOOKUP($H101,分類マスタ!$A:$B,2,FALSE)</f>
        <v>柔法</v>
      </c>
      <c r="J101" s="3"/>
      <c r="K101" s="3" t="s">
        <v>1152</v>
      </c>
      <c r="L101" s="3"/>
      <c r="M101" s="3" t="s">
        <v>1155</v>
      </c>
      <c r="N101" s="3"/>
      <c r="O101" s="7">
        <v>229</v>
      </c>
      <c r="P101" s="3" t="s">
        <v>1464</v>
      </c>
    </row>
    <row r="102" spans="1:16" x14ac:dyDescent="0.45">
      <c r="A102" s="3">
        <v>101</v>
      </c>
      <c r="B102" s="3">
        <v>7</v>
      </c>
      <c r="C102" s="2" t="str">
        <f>VLOOKUP($B102,拳系マスタ!$A:$B,2,FALSE)</f>
        <v>龍王拳</v>
      </c>
      <c r="D102" s="3" t="s">
        <v>199</v>
      </c>
      <c r="E102" s="3" t="s">
        <v>1274</v>
      </c>
      <c r="F102" s="3">
        <v>10</v>
      </c>
      <c r="G102" s="2" t="str">
        <f>VLOOKUP($F102,階級マスタ!$A:$B,2,FALSE)</f>
        <v>四</v>
      </c>
      <c r="H102" s="2">
        <v>2</v>
      </c>
      <c r="I102" s="2" t="str">
        <f>VLOOKUP($H102,分類マスタ!$A:$B,2,FALSE)</f>
        <v>柔法</v>
      </c>
      <c r="J102" s="3" t="s">
        <v>1136</v>
      </c>
      <c r="K102" s="3" t="s">
        <v>1165</v>
      </c>
      <c r="L102" s="3"/>
      <c r="M102" s="3" t="s">
        <v>1165</v>
      </c>
      <c r="N102" s="3"/>
      <c r="O102" s="7">
        <v>229</v>
      </c>
      <c r="P102" s="3" t="s">
        <v>1464</v>
      </c>
    </row>
    <row r="103" spans="1:16" x14ac:dyDescent="0.45">
      <c r="A103" s="3">
        <v>102</v>
      </c>
      <c r="B103" s="3">
        <v>8</v>
      </c>
      <c r="C103" s="2" t="str">
        <f>VLOOKUP($B103,拳系マスタ!$A:$B,2,FALSE)</f>
        <v>龍華拳</v>
      </c>
      <c r="D103" s="3" t="s">
        <v>203</v>
      </c>
      <c r="E103" s="3" t="s">
        <v>1275</v>
      </c>
      <c r="F103" s="3">
        <v>2</v>
      </c>
      <c r="G103" s="2" t="str">
        <f>VLOOKUP($F103,階級マスタ!$A:$B,2,FALSE)</f>
        <v>⑤</v>
      </c>
      <c r="H103" s="2">
        <v>2</v>
      </c>
      <c r="I103" s="2" t="str">
        <f>VLOOKUP($H103,分類マスタ!$A:$B,2,FALSE)</f>
        <v>柔法</v>
      </c>
      <c r="J103" s="3" t="s">
        <v>1136</v>
      </c>
      <c r="K103" s="3" t="s">
        <v>1152</v>
      </c>
      <c r="L103" s="3"/>
      <c r="M103" s="3" t="s">
        <v>1152</v>
      </c>
      <c r="N103" s="3"/>
      <c r="O103" s="7">
        <v>239</v>
      </c>
      <c r="P103" s="3" t="s">
        <v>1465</v>
      </c>
    </row>
    <row r="104" spans="1:16" x14ac:dyDescent="0.45">
      <c r="A104" s="3">
        <v>103</v>
      </c>
      <c r="B104" s="3">
        <v>8</v>
      </c>
      <c r="C104" s="2" t="str">
        <f>VLOOKUP($B104,拳系マスタ!$A:$B,2,FALSE)</f>
        <v>龍華拳</v>
      </c>
      <c r="D104" s="3" t="s">
        <v>204</v>
      </c>
      <c r="E104" s="3" t="s">
        <v>1276</v>
      </c>
      <c r="F104" s="3">
        <v>8</v>
      </c>
      <c r="G104" s="2" t="str">
        <f>VLOOKUP($F104,階級マスタ!$A:$B,2,FALSE)</f>
        <v>二</v>
      </c>
      <c r="H104" s="2">
        <v>2</v>
      </c>
      <c r="I104" s="2" t="str">
        <f>VLOOKUP($H104,分類マスタ!$A:$B,2,FALSE)</f>
        <v>柔法</v>
      </c>
      <c r="J104" s="3" t="s">
        <v>1135</v>
      </c>
      <c r="K104" s="3" t="s">
        <v>1152</v>
      </c>
      <c r="L104" s="3"/>
      <c r="M104" s="3" t="s">
        <v>1152</v>
      </c>
      <c r="N104" s="3"/>
      <c r="O104" s="7">
        <v>241</v>
      </c>
      <c r="P104" s="3" t="s">
        <v>1466</v>
      </c>
    </row>
    <row r="105" spans="1:16" x14ac:dyDescent="0.45">
      <c r="A105" s="3">
        <v>104</v>
      </c>
      <c r="B105" s="3">
        <v>8</v>
      </c>
      <c r="C105" s="2" t="str">
        <f>VLOOKUP($B105,拳系マスタ!$A:$B,2,FALSE)</f>
        <v>龍華拳</v>
      </c>
      <c r="D105" s="3" t="s">
        <v>206</v>
      </c>
      <c r="E105" s="3" t="s">
        <v>1277</v>
      </c>
      <c r="F105" s="3">
        <v>10</v>
      </c>
      <c r="G105" s="2" t="str">
        <f>VLOOKUP($F105,階級マスタ!$A:$B,2,FALSE)</f>
        <v>四</v>
      </c>
      <c r="H105" s="2">
        <v>2</v>
      </c>
      <c r="I105" s="2" t="str">
        <f>VLOOKUP($H105,分類マスタ!$A:$B,2,FALSE)</f>
        <v>柔法</v>
      </c>
      <c r="J105" s="3" t="s">
        <v>1136</v>
      </c>
      <c r="K105" s="3" t="s">
        <v>1152</v>
      </c>
      <c r="L105" s="3"/>
      <c r="M105" s="3" t="s">
        <v>1152</v>
      </c>
      <c r="N105" s="3"/>
      <c r="O105" s="7">
        <v>241</v>
      </c>
      <c r="P105" s="3" t="s">
        <v>1466</v>
      </c>
    </row>
    <row r="106" spans="1:16" x14ac:dyDescent="0.45">
      <c r="A106" s="3">
        <v>105</v>
      </c>
      <c r="B106" s="3">
        <v>8</v>
      </c>
      <c r="C106" s="2" t="str">
        <f>VLOOKUP($B106,拳系マスタ!$A:$B,2,FALSE)</f>
        <v>龍華拳</v>
      </c>
      <c r="D106" s="3" t="s">
        <v>208</v>
      </c>
      <c r="E106" s="3" t="s">
        <v>1278</v>
      </c>
      <c r="F106" s="3">
        <v>10</v>
      </c>
      <c r="G106" s="2" t="str">
        <f>VLOOKUP($F106,階級マスタ!$A:$B,2,FALSE)</f>
        <v>四</v>
      </c>
      <c r="H106" s="2">
        <v>2</v>
      </c>
      <c r="I106" s="2" t="str">
        <f>VLOOKUP($H106,分類マスタ!$A:$B,2,FALSE)</f>
        <v>柔法</v>
      </c>
      <c r="J106" s="3" t="s">
        <v>1136</v>
      </c>
      <c r="K106" s="3" t="s">
        <v>1152</v>
      </c>
      <c r="L106" s="3"/>
      <c r="M106" s="3" t="s">
        <v>1156</v>
      </c>
      <c r="N106" s="3"/>
      <c r="O106" s="7">
        <v>242</v>
      </c>
      <c r="P106" s="3" t="s">
        <v>1467</v>
      </c>
    </row>
    <row r="107" spans="1:16" x14ac:dyDescent="0.45">
      <c r="A107" s="3">
        <v>106</v>
      </c>
      <c r="B107" s="3">
        <v>8</v>
      </c>
      <c r="C107" s="2" t="str">
        <f>VLOOKUP($B107,拳系マスタ!$A:$B,2,FALSE)</f>
        <v>龍華拳</v>
      </c>
      <c r="D107" s="3" t="s">
        <v>211</v>
      </c>
      <c r="E107" s="3" t="s">
        <v>1279</v>
      </c>
      <c r="F107" s="3">
        <v>9</v>
      </c>
      <c r="G107" s="2" t="str">
        <f>VLOOKUP($F107,階級マスタ!$A:$B,2,FALSE)</f>
        <v>三</v>
      </c>
      <c r="H107" s="2">
        <v>2</v>
      </c>
      <c r="I107" s="2" t="str">
        <f>VLOOKUP($H107,分類マスタ!$A:$B,2,FALSE)</f>
        <v>柔法</v>
      </c>
      <c r="J107" s="3" t="s">
        <v>277</v>
      </c>
      <c r="K107" s="3"/>
      <c r="L107" s="3"/>
      <c r="M107" s="3" t="s">
        <v>1157</v>
      </c>
      <c r="N107" s="3"/>
      <c r="O107" s="7">
        <v>242</v>
      </c>
      <c r="P107" s="3" t="s">
        <v>1467</v>
      </c>
    </row>
    <row r="108" spans="1:16" x14ac:dyDescent="0.45">
      <c r="A108" s="3">
        <v>107</v>
      </c>
      <c r="B108" s="3">
        <v>8</v>
      </c>
      <c r="C108" s="2" t="str">
        <f>VLOOKUP($B108,拳系マスタ!$A:$B,2,FALSE)</f>
        <v>龍華拳</v>
      </c>
      <c r="D108" s="3" t="s">
        <v>214</v>
      </c>
      <c r="E108" s="3" t="s">
        <v>1280</v>
      </c>
      <c r="F108" s="3">
        <v>8</v>
      </c>
      <c r="G108" s="2" t="str">
        <f>VLOOKUP($F108,階級マスタ!$A:$B,2,FALSE)</f>
        <v>二</v>
      </c>
      <c r="H108" s="2">
        <v>2</v>
      </c>
      <c r="I108" s="2" t="str">
        <f>VLOOKUP($H108,分類マスタ!$A:$B,2,FALSE)</f>
        <v>柔法</v>
      </c>
      <c r="J108" s="3" t="s">
        <v>1135</v>
      </c>
      <c r="K108" s="3" t="s">
        <v>1152</v>
      </c>
      <c r="L108" s="3"/>
      <c r="M108" s="3" t="s">
        <v>1152</v>
      </c>
      <c r="N108" s="3"/>
      <c r="O108" s="7">
        <v>242</v>
      </c>
      <c r="P108" s="3" t="s">
        <v>1467</v>
      </c>
    </row>
    <row r="109" spans="1:16" x14ac:dyDescent="0.45">
      <c r="A109" s="3">
        <v>108</v>
      </c>
      <c r="B109" s="3">
        <v>8</v>
      </c>
      <c r="C109" s="2" t="str">
        <f>VLOOKUP($B109,拳系マスタ!$A:$B,2,FALSE)</f>
        <v>龍華拳</v>
      </c>
      <c r="D109" s="3" t="s">
        <v>215</v>
      </c>
      <c r="E109" s="3" t="s">
        <v>1281</v>
      </c>
      <c r="F109" s="3">
        <v>6</v>
      </c>
      <c r="G109" s="2" t="str">
        <f>VLOOKUP($F109,階級マスタ!$A:$B,2,FALSE)</f>
        <v>①</v>
      </c>
      <c r="H109" s="2">
        <v>2</v>
      </c>
      <c r="I109" s="2" t="str">
        <f>VLOOKUP($H109,分類マスタ!$A:$B,2,FALSE)</f>
        <v>柔法</v>
      </c>
      <c r="J109" s="3" t="s">
        <v>1136</v>
      </c>
      <c r="K109" s="3" t="s">
        <v>1152</v>
      </c>
      <c r="L109" s="3"/>
      <c r="M109" s="3" t="s">
        <v>1152</v>
      </c>
      <c r="N109" s="3"/>
      <c r="O109" s="7">
        <v>242</v>
      </c>
      <c r="P109" s="3" t="s">
        <v>1467</v>
      </c>
    </row>
    <row r="110" spans="1:16" x14ac:dyDescent="0.45">
      <c r="A110" s="3">
        <v>109</v>
      </c>
      <c r="B110" s="3">
        <v>8</v>
      </c>
      <c r="C110" s="2" t="str">
        <f>VLOOKUP($B110,拳系マスタ!$A:$B,2,FALSE)</f>
        <v>龍華拳</v>
      </c>
      <c r="D110" s="3" t="s">
        <v>216</v>
      </c>
      <c r="E110" s="3" t="s">
        <v>1282</v>
      </c>
      <c r="F110" s="3">
        <v>6</v>
      </c>
      <c r="G110" s="2" t="str">
        <f>VLOOKUP($F110,階級マスタ!$A:$B,2,FALSE)</f>
        <v>①</v>
      </c>
      <c r="H110" s="2">
        <v>2</v>
      </c>
      <c r="I110" s="2" t="str">
        <f>VLOOKUP($H110,分類マスタ!$A:$B,2,FALSE)</f>
        <v>柔法</v>
      </c>
      <c r="J110" s="3" t="s">
        <v>1136</v>
      </c>
      <c r="K110" s="3" t="s">
        <v>1152</v>
      </c>
      <c r="L110" s="3"/>
      <c r="M110" s="3" t="s">
        <v>1152</v>
      </c>
      <c r="N110" s="3"/>
      <c r="O110" s="3"/>
      <c r="P110" s="3"/>
    </row>
    <row r="111" spans="1:16" x14ac:dyDescent="0.45">
      <c r="A111" s="3">
        <v>110</v>
      </c>
      <c r="B111" s="3">
        <v>8</v>
      </c>
      <c r="C111" s="2" t="str">
        <f>VLOOKUP($B111,拳系マスタ!$A:$B,2,FALSE)</f>
        <v>龍華拳</v>
      </c>
      <c r="D111" s="3" t="s">
        <v>217</v>
      </c>
      <c r="E111" s="3" t="s">
        <v>1283</v>
      </c>
      <c r="F111" s="3">
        <v>8</v>
      </c>
      <c r="G111" s="2" t="str">
        <f>VLOOKUP($F111,階級マスタ!$A:$B,2,FALSE)</f>
        <v>二</v>
      </c>
      <c r="H111" s="2">
        <v>2</v>
      </c>
      <c r="I111" s="2" t="str">
        <f>VLOOKUP($H111,分類マスタ!$A:$B,2,FALSE)</f>
        <v>柔法</v>
      </c>
      <c r="J111" s="3" t="s">
        <v>1136</v>
      </c>
      <c r="K111" s="3" t="s">
        <v>1152</v>
      </c>
      <c r="L111" s="3"/>
      <c r="M111" s="3" t="s">
        <v>1162</v>
      </c>
      <c r="N111" s="3"/>
      <c r="O111" s="7">
        <v>243</v>
      </c>
      <c r="P111" s="3" t="s">
        <v>1467</v>
      </c>
    </row>
    <row r="112" spans="1:16" x14ac:dyDescent="0.45">
      <c r="A112" s="3">
        <v>111</v>
      </c>
      <c r="B112" s="3">
        <v>8</v>
      </c>
      <c r="C112" s="2" t="str">
        <f>VLOOKUP($B112,拳系マスタ!$A:$B,2,FALSE)</f>
        <v>龍華拳</v>
      </c>
      <c r="D112" s="3" t="s">
        <v>218</v>
      </c>
      <c r="E112" s="3" t="s">
        <v>1284</v>
      </c>
      <c r="F112" s="3">
        <v>4</v>
      </c>
      <c r="G112" s="2" t="str">
        <f>VLOOKUP($F112,階級マスタ!$A:$B,2,FALSE)</f>
        <v>③</v>
      </c>
      <c r="H112" s="2">
        <v>2</v>
      </c>
      <c r="I112" s="2" t="str">
        <f>VLOOKUP($H112,分類マスタ!$A:$B,2,FALSE)</f>
        <v>柔法</v>
      </c>
      <c r="J112" s="3" t="s">
        <v>1136</v>
      </c>
      <c r="K112" s="3" t="s">
        <v>1152</v>
      </c>
      <c r="L112" s="3"/>
      <c r="M112" s="3" t="s">
        <v>1152</v>
      </c>
      <c r="N112" s="3"/>
      <c r="O112" s="7">
        <v>243</v>
      </c>
      <c r="P112" s="3" t="s">
        <v>1467</v>
      </c>
    </row>
    <row r="113" spans="1:16" x14ac:dyDescent="0.45">
      <c r="A113" s="3">
        <v>112</v>
      </c>
      <c r="B113" s="3">
        <v>8</v>
      </c>
      <c r="C113" s="2" t="str">
        <f>VLOOKUP($B113,拳系マスタ!$A:$B,2,FALSE)</f>
        <v>龍華拳</v>
      </c>
      <c r="D113" s="3" t="s">
        <v>219</v>
      </c>
      <c r="E113" s="3" t="s">
        <v>1285</v>
      </c>
      <c r="F113" s="3">
        <v>9</v>
      </c>
      <c r="G113" s="2" t="str">
        <f>VLOOKUP($F113,階級マスタ!$A:$B,2,FALSE)</f>
        <v>三</v>
      </c>
      <c r="H113" s="2">
        <v>2</v>
      </c>
      <c r="I113" s="2" t="str">
        <f>VLOOKUP($H113,分類マスタ!$A:$B,2,FALSE)</f>
        <v>柔法</v>
      </c>
      <c r="J113" s="3" t="s">
        <v>1136</v>
      </c>
      <c r="K113" s="3" t="s">
        <v>1152</v>
      </c>
      <c r="L113" s="3"/>
      <c r="M113" s="3" t="s">
        <v>1153</v>
      </c>
      <c r="N113" s="3"/>
      <c r="O113" s="7">
        <v>244</v>
      </c>
      <c r="P113" s="3" t="s">
        <v>1468</v>
      </c>
    </row>
    <row r="114" spans="1:16" x14ac:dyDescent="0.45">
      <c r="A114" s="3">
        <v>113</v>
      </c>
      <c r="B114" s="3">
        <v>8</v>
      </c>
      <c r="C114" s="2" t="str">
        <f>VLOOKUP($B114,拳系マスタ!$A:$B,2,FALSE)</f>
        <v>龍華拳</v>
      </c>
      <c r="D114" s="3" t="s">
        <v>222</v>
      </c>
      <c r="E114" s="3" t="s">
        <v>1286</v>
      </c>
      <c r="F114" s="3">
        <v>8</v>
      </c>
      <c r="G114" s="2" t="str">
        <f>VLOOKUP($F114,階級マスタ!$A:$B,2,FALSE)</f>
        <v>二</v>
      </c>
      <c r="H114" s="2">
        <v>2</v>
      </c>
      <c r="I114" s="2" t="str">
        <f>VLOOKUP($H114,分類マスタ!$A:$B,2,FALSE)</f>
        <v>柔法</v>
      </c>
      <c r="J114" s="3" t="s">
        <v>1135</v>
      </c>
      <c r="K114" s="3" t="s">
        <v>1152</v>
      </c>
      <c r="L114" s="3"/>
      <c r="M114" s="3" t="s">
        <v>1152</v>
      </c>
      <c r="N114" s="3"/>
      <c r="O114" s="7">
        <v>244</v>
      </c>
      <c r="P114" s="3" t="s">
        <v>1468</v>
      </c>
    </row>
    <row r="115" spans="1:16" x14ac:dyDescent="0.45">
      <c r="A115" s="3">
        <v>114</v>
      </c>
      <c r="B115" s="3">
        <v>8</v>
      </c>
      <c r="C115" s="2" t="str">
        <f>VLOOKUP($B115,拳系マスタ!$A:$B,2,FALSE)</f>
        <v>龍華拳</v>
      </c>
      <c r="D115" s="3" t="s">
        <v>223</v>
      </c>
      <c r="E115" s="3" t="s">
        <v>1287</v>
      </c>
      <c r="F115" s="3">
        <v>8</v>
      </c>
      <c r="G115" s="2" t="str">
        <f>VLOOKUP($F115,階級マスタ!$A:$B,2,FALSE)</f>
        <v>二</v>
      </c>
      <c r="H115" s="2">
        <v>2</v>
      </c>
      <c r="I115" s="2" t="str">
        <f>VLOOKUP($H115,分類マスタ!$A:$B,2,FALSE)</f>
        <v>柔法</v>
      </c>
      <c r="J115" s="3" t="s">
        <v>1135</v>
      </c>
      <c r="K115" s="3" t="s">
        <v>1152</v>
      </c>
      <c r="L115" s="3"/>
      <c r="M115" s="3" t="s">
        <v>1152</v>
      </c>
      <c r="N115" s="3"/>
      <c r="O115" s="7">
        <v>245</v>
      </c>
      <c r="P115" s="3" t="s">
        <v>1468</v>
      </c>
    </row>
    <row r="116" spans="1:16" x14ac:dyDescent="0.45">
      <c r="A116" s="3">
        <v>115</v>
      </c>
      <c r="B116" s="3">
        <v>8</v>
      </c>
      <c r="C116" s="2" t="str">
        <f>VLOOKUP($B116,拳系マスタ!$A:$B,2,FALSE)</f>
        <v>龍華拳</v>
      </c>
      <c r="D116" s="3" t="s">
        <v>224</v>
      </c>
      <c r="E116" s="3" t="s">
        <v>1288</v>
      </c>
      <c r="F116" s="3">
        <v>3</v>
      </c>
      <c r="G116" s="2" t="str">
        <f>VLOOKUP($F116,階級マスタ!$A:$B,2,FALSE)</f>
        <v>④</v>
      </c>
      <c r="H116" s="2">
        <v>2</v>
      </c>
      <c r="I116" s="2" t="str">
        <f>VLOOKUP($H116,分類マスタ!$A:$B,2,FALSE)</f>
        <v>柔法</v>
      </c>
      <c r="J116" s="3" t="s">
        <v>1135</v>
      </c>
      <c r="K116" s="3" t="s">
        <v>1152</v>
      </c>
      <c r="L116" s="3"/>
      <c r="M116" s="3" t="s">
        <v>1152</v>
      </c>
      <c r="N116" s="3"/>
      <c r="O116" s="7">
        <v>245</v>
      </c>
      <c r="P116" s="3" t="s">
        <v>1468</v>
      </c>
    </row>
    <row r="117" spans="1:16" x14ac:dyDescent="0.45">
      <c r="A117" s="3">
        <v>116</v>
      </c>
      <c r="B117" s="3">
        <v>8</v>
      </c>
      <c r="C117" s="2" t="str">
        <f>VLOOKUP($B117,拳系マスタ!$A:$B,2,FALSE)</f>
        <v>龍華拳</v>
      </c>
      <c r="D117" s="3" t="s">
        <v>225</v>
      </c>
      <c r="E117" s="3" t="s">
        <v>1289</v>
      </c>
      <c r="F117" s="3">
        <v>5</v>
      </c>
      <c r="G117" s="2" t="str">
        <f>VLOOKUP($F117,階級マスタ!$A:$B,2,FALSE)</f>
        <v>②</v>
      </c>
      <c r="H117" s="2">
        <v>2</v>
      </c>
      <c r="I117" s="2" t="str">
        <f>VLOOKUP($H117,分類マスタ!$A:$B,2,FALSE)</f>
        <v>柔法</v>
      </c>
      <c r="J117" s="3" t="s">
        <v>1136</v>
      </c>
      <c r="K117" s="3" t="s">
        <v>1152</v>
      </c>
      <c r="L117" s="3"/>
      <c r="M117" s="3" t="s">
        <v>1152</v>
      </c>
      <c r="N117" s="3"/>
      <c r="O117" s="7">
        <v>246</v>
      </c>
      <c r="P117" s="3" t="s">
        <v>1469</v>
      </c>
    </row>
    <row r="118" spans="1:16" x14ac:dyDescent="0.45">
      <c r="A118" s="3">
        <v>117</v>
      </c>
      <c r="B118" s="3">
        <v>8</v>
      </c>
      <c r="C118" s="2" t="str">
        <f>VLOOKUP($B118,拳系マスタ!$A:$B,2,FALSE)</f>
        <v>龍華拳</v>
      </c>
      <c r="D118" s="3" t="s">
        <v>226</v>
      </c>
      <c r="E118" s="3" t="s">
        <v>1290</v>
      </c>
      <c r="F118" s="3">
        <v>9</v>
      </c>
      <c r="G118" s="2" t="str">
        <f>VLOOKUP($F118,階級マスタ!$A:$B,2,FALSE)</f>
        <v>三</v>
      </c>
      <c r="H118" s="2">
        <v>2</v>
      </c>
      <c r="I118" s="2" t="str">
        <f>VLOOKUP($H118,分類マスタ!$A:$B,2,FALSE)</f>
        <v>柔法</v>
      </c>
      <c r="J118" s="3" t="s">
        <v>1135</v>
      </c>
      <c r="K118" s="3" t="s">
        <v>1152</v>
      </c>
      <c r="L118" s="3"/>
      <c r="M118" s="3" t="s">
        <v>1152</v>
      </c>
      <c r="N118" s="3"/>
      <c r="O118" s="7">
        <v>247</v>
      </c>
      <c r="P118" s="3" t="s">
        <v>1469</v>
      </c>
    </row>
    <row r="119" spans="1:16" x14ac:dyDescent="0.45">
      <c r="A119" s="3">
        <v>118</v>
      </c>
      <c r="B119" s="3">
        <v>8</v>
      </c>
      <c r="C119" s="2" t="str">
        <f>VLOOKUP($B119,拳系マスタ!$A:$B,2,FALSE)</f>
        <v>龍華拳</v>
      </c>
      <c r="D119" s="3" t="s">
        <v>227</v>
      </c>
      <c r="E119" s="3" t="s">
        <v>1291</v>
      </c>
      <c r="F119" s="3">
        <v>8</v>
      </c>
      <c r="G119" s="2" t="str">
        <f>VLOOKUP($F119,階級マスタ!$A:$B,2,FALSE)</f>
        <v>二</v>
      </c>
      <c r="H119" s="2">
        <v>2</v>
      </c>
      <c r="I119" s="2" t="str">
        <f>VLOOKUP($H119,分類マスタ!$A:$B,2,FALSE)</f>
        <v>柔法</v>
      </c>
      <c r="J119" s="3" t="s">
        <v>1135</v>
      </c>
      <c r="K119" s="3" t="s">
        <v>1152</v>
      </c>
      <c r="L119" s="3"/>
      <c r="M119" s="3" t="s">
        <v>1152</v>
      </c>
      <c r="N119" s="3"/>
      <c r="O119" s="3"/>
      <c r="P119" s="3"/>
    </row>
    <row r="120" spans="1:16" x14ac:dyDescent="0.45">
      <c r="A120" s="3">
        <v>119</v>
      </c>
      <c r="B120" s="3">
        <v>8</v>
      </c>
      <c r="C120" s="2" t="str">
        <f>VLOOKUP($B120,拳系マスタ!$A:$B,2,FALSE)</f>
        <v>龍華拳</v>
      </c>
      <c r="D120" s="3" t="s">
        <v>228</v>
      </c>
      <c r="E120" s="3" t="s">
        <v>1292</v>
      </c>
      <c r="F120" s="3">
        <v>5</v>
      </c>
      <c r="G120" s="2" t="str">
        <f>VLOOKUP($F120,階級マスタ!$A:$B,2,FALSE)</f>
        <v>②</v>
      </c>
      <c r="H120" s="2">
        <v>2</v>
      </c>
      <c r="I120" s="2" t="str">
        <f>VLOOKUP($H120,分類マスタ!$A:$B,2,FALSE)</f>
        <v>柔法</v>
      </c>
      <c r="J120" s="3" t="s">
        <v>229</v>
      </c>
      <c r="K120" s="3"/>
      <c r="L120" s="3"/>
      <c r="M120" s="3"/>
      <c r="N120" s="3"/>
      <c r="O120" s="7">
        <v>248</v>
      </c>
      <c r="P120" s="3" t="s">
        <v>1470</v>
      </c>
    </row>
    <row r="121" spans="1:16" x14ac:dyDescent="0.45">
      <c r="A121" s="3">
        <v>120</v>
      </c>
      <c r="B121" s="3">
        <v>8</v>
      </c>
      <c r="C121" s="2" t="str">
        <f>VLOOKUP($B121,拳系マスタ!$A:$B,2,FALSE)</f>
        <v>龍華拳</v>
      </c>
      <c r="D121" s="3" t="s">
        <v>230</v>
      </c>
      <c r="E121" s="3" t="s">
        <v>1293</v>
      </c>
      <c r="F121" s="3">
        <v>9</v>
      </c>
      <c r="G121" s="2" t="str">
        <f>VLOOKUP($F121,階級マスタ!$A:$B,2,FALSE)</f>
        <v>三</v>
      </c>
      <c r="H121" s="2">
        <v>2</v>
      </c>
      <c r="I121" s="2" t="str">
        <f>VLOOKUP($H121,分類マスタ!$A:$B,2,FALSE)</f>
        <v>柔法</v>
      </c>
      <c r="J121" s="3" t="s">
        <v>277</v>
      </c>
      <c r="K121" s="3"/>
      <c r="L121" s="3"/>
      <c r="M121" s="3" t="s">
        <v>1156</v>
      </c>
      <c r="N121" s="3"/>
      <c r="O121" s="7">
        <v>248</v>
      </c>
      <c r="P121" s="3" t="s">
        <v>1470</v>
      </c>
    </row>
    <row r="122" spans="1:16" x14ac:dyDescent="0.45">
      <c r="A122" s="3">
        <v>121</v>
      </c>
      <c r="B122" s="3">
        <v>8</v>
      </c>
      <c r="C122" s="2" t="str">
        <f>VLOOKUP($B122,拳系マスタ!$A:$B,2,FALSE)</f>
        <v>龍華拳</v>
      </c>
      <c r="D122" s="3" t="s">
        <v>233</v>
      </c>
      <c r="E122" s="3" t="s">
        <v>1294</v>
      </c>
      <c r="F122" s="3">
        <v>10</v>
      </c>
      <c r="G122" s="2" t="str">
        <f>VLOOKUP($F122,階級マスタ!$A:$B,2,FALSE)</f>
        <v>四</v>
      </c>
      <c r="H122" s="2">
        <v>2</v>
      </c>
      <c r="I122" s="2" t="str">
        <f>VLOOKUP($H122,分類マスタ!$A:$B,2,FALSE)</f>
        <v>柔法</v>
      </c>
      <c r="J122" s="3" t="s">
        <v>1135</v>
      </c>
      <c r="K122" s="3" t="s">
        <v>1152</v>
      </c>
      <c r="L122" s="3"/>
      <c r="M122" s="3" t="s">
        <v>1156</v>
      </c>
      <c r="N122" s="3"/>
      <c r="O122" s="7">
        <v>248</v>
      </c>
      <c r="P122" s="3" t="s">
        <v>1470</v>
      </c>
    </row>
    <row r="123" spans="1:16" x14ac:dyDescent="0.45">
      <c r="A123" s="3">
        <v>122</v>
      </c>
      <c r="B123" s="3">
        <v>8</v>
      </c>
      <c r="C123" s="2" t="str">
        <f>VLOOKUP($B123,拳系マスタ!$A:$B,2,FALSE)</f>
        <v>龍華拳</v>
      </c>
      <c r="D123" s="3" t="s">
        <v>235</v>
      </c>
      <c r="E123" s="3" t="s">
        <v>1295</v>
      </c>
      <c r="F123" s="3">
        <v>10</v>
      </c>
      <c r="G123" s="2" t="str">
        <f>VLOOKUP($F123,階級マスタ!$A:$B,2,FALSE)</f>
        <v>四</v>
      </c>
      <c r="H123" s="2">
        <v>2</v>
      </c>
      <c r="I123" s="2" t="str">
        <f>VLOOKUP($H123,分類マスタ!$A:$B,2,FALSE)</f>
        <v>柔法</v>
      </c>
      <c r="J123" s="3" t="s">
        <v>1136</v>
      </c>
      <c r="K123" s="3" t="s">
        <v>1152</v>
      </c>
      <c r="L123" s="3"/>
      <c r="M123" s="3" t="s">
        <v>1158</v>
      </c>
      <c r="N123" s="3"/>
      <c r="O123" s="7">
        <v>248</v>
      </c>
      <c r="P123" s="3" t="s">
        <v>1470</v>
      </c>
    </row>
    <row r="124" spans="1:16" x14ac:dyDescent="0.45">
      <c r="A124" s="3">
        <v>123</v>
      </c>
      <c r="B124" s="3">
        <v>8</v>
      </c>
      <c r="C124" s="2" t="str">
        <f>VLOOKUP($B124,拳系マスタ!$A:$B,2,FALSE)</f>
        <v>龍華拳</v>
      </c>
      <c r="D124" s="3" t="s">
        <v>238</v>
      </c>
      <c r="E124" s="3" t="s">
        <v>1296</v>
      </c>
      <c r="F124" s="3">
        <v>10</v>
      </c>
      <c r="G124" s="2" t="str">
        <f>VLOOKUP($F124,階級マスタ!$A:$B,2,FALSE)</f>
        <v>四</v>
      </c>
      <c r="H124" s="2">
        <v>2</v>
      </c>
      <c r="I124" s="2" t="str">
        <f>VLOOKUP($H124,分類マスタ!$A:$B,2,FALSE)</f>
        <v>柔法</v>
      </c>
      <c r="J124" s="3" t="s">
        <v>1136</v>
      </c>
      <c r="K124" s="3" t="s">
        <v>1152</v>
      </c>
      <c r="L124" s="3"/>
      <c r="M124" s="3" t="s">
        <v>1158</v>
      </c>
      <c r="N124" s="3"/>
      <c r="O124" s="3"/>
      <c r="P124" s="3"/>
    </row>
    <row r="125" spans="1:16" x14ac:dyDescent="0.45">
      <c r="A125" s="3">
        <v>124</v>
      </c>
      <c r="B125" s="3">
        <v>8</v>
      </c>
      <c r="C125" s="2" t="str">
        <f>VLOOKUP($B125,拳系マスタ!$A:$B,2,FALSE)</f>
        <v>龍華拳</v>
      </c>
      <c r="D125" s="3" t="s">
        <v>239</v>
      </c>
      <c r="E125" s="3" t="s">
        <v>1297</v>
      </c>
      <c r="F125" s="3">
        <v>8</v>
      </c>
      <c r="G125" s="2" t="str">
        <f>VLOOKUP($F125,階級マスタ!$A:$B,2,FALSE)</f>
        <v>二</v>
      </c>
      <c r="H125" s="2">
        <v>2</v>
      </c>
      <c r="I125" s="2" t="str">
        <f>VLOOKUP($H125,分類マスタ!$A:$B,2,FALSE)</f>
        <v>柔法</v>
      </c>
      <c r="J125" s="3" t="s">
        <v>1135</v>
      </c>
      <c r="K125" s="3" t="s">
        <v>1152</v>
      </c>
      <c r="L125" s="3"/>
      <c r="M125" s="3" t="s">
        <v>1152</v>
      </c>
      <c r="N125" s="3"/>
      <c r="O125" s="7">
        <v>249</v>
      </c>
      <c r="P125" s="3" t="s">
        <v>1470</v>
      </c>
    </row>
    <row r="126" spans="1:16" x14ac:dyDescent="0.45">
      <c r="A126" s="3">
        <v>125</v>
      </c>
      <c r="B126" s="3">
        <v>8</v>
      </c>
      <c r="C126" s="2" t="str">
        <f>VLOOKUP($B126,拳系マスタ!$A:$B,2,FALSE)</f>
        <v>龍華拳</v>
      </c>
      <c r="D126" s="3" t="s">
        <v>240</v>
      </c>
      <c r="E126" s="3" t="s">
        <v>1298</v>
      </c>
      <c r="F126" s="3">
        <v>3</v>
      </c>
      <c r="G126" s="2" t="str">
        <f>VLOOKUP($F126,階級マスタ!$A:$B,2,FALSE)</f>
        <v>④</v>
      </c>
      <c r="H126" s="2">
        <v>2</v>
      </c>
      <c r="I126" s="2" t="str">
        <f>VLOOKUP($H126,分類マスタ!$A:$B,2,FALSE)</f>
        <v>柔法</v>
      </c>
      <c r="J126" s="3" t="s">
        <v>1135</v>
      </c>
      <c r="K126" s="3" t="s">
        <v>1152</v>
      </c>
      <c r="L126" s="3"/>
      <c r="M126" s="3" t="s">
        <v>1152</v>
      </c>
      <c r="N126" s="3"/>
      <c r="O126" s="7">
        <v>249</v>
      </c>
      <c r="P126" s="3" t="s">
        <v>1470</v>
      </c>
    </row>
    <row r="127" spans="1:16" x14ac:dyDescent="0.45">
      <c r="A127" s="3">
        <v>126</v>
      </c>
      <c r="B127" s="3">
        <v>8</v>
      </c>
      <c r="C127" s="2" t="str">
        <f>VLOOKUP($B127,拳系マスタ!$A:$B,2,FALSE)</f>
        <v>龍華拳</v>
      </c>
      <c r="D127" s="3" t="s">
        <v>241</v>
      </c>
      <c r="E127" s="3" t="s">
        <v>1299</v>
      </c>
      <c r="F127" s="3">
        <v>8</v>
      </c>
      <c r="G127" s="2" t="str">
        <f>VLOOKUP($F127,階級マスタ!$A:$B,2,FALSE)</f>
        <v>二</v>
      </c>
      <c r="H127" s="2">
        <v>2</v>
      </c>
      <c r="I127" s="2" t="str">
        <f>VLOOKUP($H127,分類マスタ!$A:$B,2,FALSE)</f>
        <v>柔法</v>
      </c>
      <c r="J127" s="3" t="s">
        <v>1135</v>
      </c>
      <c r="K127" s="3" t="s">
        <v>1152</v>
      </c>
      <c r="L127" s="3"/>
      <c r="M127" s="3" t="s">
        <v>1152</v>
      </c>
      <c r="N127" s="3"/>
      <c r="O127" s="7">
        <v>249</v>
      </c>
      <c r="P127" s="3" t="s">
        <v>1470</v>
      </c>
    </row>
    <row r="128" spans="1:16" x14ac:dyDescent="0.45">
      <c r="A128" s="3">
        <v>127</v>
      </c>
      <c r="B128" s="3">
        <v>8</v>
      </c>
      <c r="C128" s="2" t="str">
        <f>VLOOKUP($B128,拳系マスタ!$A:$B,2,FALSE)</f>
        <v>龍華拳</v>
      </c>
      <c r="D128" s="3" t="s">
        <v>242</v>
      </c>
      <c r="E128" s="3" t="s">
        <v>1300</v>
      </c>
      <c r="F128" s="3">
        <v>9</v>
      </c>
      <c r="G128" s="2" t="str">
        <f>VLOOKUP($F128,階級マスタ!$A:$B,2,FALSE)</f>
        <v>三</v>
      </c>
      <c r="H128" s="2">
        <v>2</v>
      </c>
      <c r="I128" s="2" t="str">
        <f>VLOOKUP($H128,分類マスタ!$A:$B,2,FALSE)</f>
        <v>柔法</v>
      </c>
      <c r="J128" s="3" t="s">
        <v>277</v>
      </c>
      <c r="K128" s="3"/>
      <c r="L128" s="3"/>
      <c r="M128" s="3" t="s">
        <v>1156</v>
      </c>
      <c r="N128" s="3"/>
      <c r="O128" s="7">
        <v>249</v>
      </c>
      <c r="P128" s="3" t="s">
        <v>1470</v>
      </c>
    </row>
    <row r="129" spans="1:16" x14ac:dyDescent="0.45">
      <c r="A129" s="3">
        <v>128</v>
      </c>
      <c r="B129" s="3">
        <v>8</v>
      </c>
      <c r="C129" s="2" t="str">
        <f>VLOOKUP($B129,拳系マスタ!$A:$B,2,FALSE)</f>
        <v>龍華拳</v>
      </c>
      <c r="D129" s="3" t="s">
        <v>244</v>
      </c>
      <c r="E129" s="3" t="s">
        <v>1301</v>
      </c>
      <c r="F129" s="3">
        <v>5</v>
      </c>
      <c r="G129" s="2" t="str">
        <f>VLOOKUP($F129,階級マスタ!$A:$B,2,FALSE)</f>
        <v>②</v>
      </c>
      <c r="H129" s="2">
        <v>2</v>
      </c>
      <c r="I129" s="2" t="str">
        <f>VLOOKUP($H129,分類マスタ!$A:$B,2,FALSE)</f>
        <v>柔法</v>
      </c>
      <c r="J129" s="3"/>
      <c r="K129" s="3"/>
      <c r="L129" s="3"/>
      <c r="M129" s="3"/>
      <c r="N129" s="3"/>
      <c r="O129" s="7">
        <v>250</v>
      </c>
      <c r="P129" s="3" t="s">
        <v>1471</v>
      </c>
    </row>
    <row r="130" spans="1:16" x14ac:dyDescent="0.45">
      <c r="A130" s="3">
        <v>129</v>
      </c>
      <c r="B130" s="3">
        <v>8</v>
      </c>
      <c r="C130" s="2" t="str">
        <f>VLOOKUP($B130,拳系マスタ!$A:$B,2,FALSE)</f>
        <v>龍華拳</v>
      </c>
      <c r="D130" s="3" t="s">
        <v>245</v>
      </c>
      <c r="E130" s="3" t="s">
        <v>1302</v>
      </c>
      <c r="F130" s="3">
        <v>9</v>
      </c>
      <c r="G130" s="2" t="str">
        <f>VLOOKUP($F130,階級マスタ!$A:$B,2,FALSE)</f>
        <v>三</v>
      </c>
      <c r="H130" s="2">
        <v>2</v>
      </c>
      <c r="I130" s="2" t="str">
        <f>VLOOKUP($H130,分類マスタ!$A:$B,2,FALSE)</f>
        <v>柔法</v>
      </c>
      <c r="J130" s="3" t="s">
        <v>1135</v>
      </c>
      <c r="K130" s="3" t="s">
        <v>1152</v>
      </c>
      <c r="L130" s="3"/>
      <c r="M130" s="3" t="s">
        <v>1152</v>
      </c>
      <c r="N130" s="3"/>
      <c r="O130" s="7">
        <v>250</v>
      </c>
      <c r="P130" s="3" t="s">
        <v>1471</v>
      </c>
    </row>
    <row r="131" spans="1:16" x14ac:dyDescent="0.45">
      <c r="A131" s="3">
        <v>130</v>
      </c>
      <c r="B131" s="3">
        <v>8</v>
      </c>
      <c r="C131" s="2" t="str">
        <f>VLOOKUP($B131,拳系マスタ!$A:$B,2,FALSE)</f>
        <v>龍華拳</v>
      </c>
      <c r="D131" s="3" t="s">
        <v>246</v>
      </c>
      <c r="E131" s="3" t="s">
        <v>1303</v>
      </c>
      <c r="F131" s="3">
        <v>9</v>
      </c>
      <c r="G131" s="2" t="str">
        <f>VLOOKUP($F131,階級マスタ!$A:$B,2,FALSE)</f>
        <v>三</v>
      </c>
      <c r="H131" s="2">
        <v>2</v>
      </c>
      <c r="I131" s="2" t="str">
        <f>VLOOKUP($H131,分類マスタ!$A:$B,2,FALSE)</f>
        <v>柔法</v>
      </c>
      <c r="J131" s="3" t="s">
        <v>1135</v>
      </c>
      <c r="K131" s="3" t="s">
        <v>1152</v>
      </c>
      <c r="L131" s="3"/>
      <c r="M131" s="3" t="s">
        <v>1152</v>
      </c>
      <c r="N131" s="3"/>
      <c r="O131" s="7">
        <v>251</v>
      </c>
      <c r="P131" s="3" t="s">
        <v>1471</v>
      </c>
    </row>
    <row r="132" spans="1:16" x14ac:dyDescent="0.45">
      <c r="A132" s="3">
        <v>131</v>
      </c>
      <c r="B132" s="3">
        <v>8</v>
      </c>
      <c r="C132" s="2" t="str">
        <f>VLOOKUP($B132,拳系マスタ!$A:$B,2,FALSE)</f>
        <v>龍華拳</v>
      </c>
      <c r="D132" s="3" t="s">
        <v>247</v>
      </c>
      <c r="E132" s="3" t="s">
        <v>1304</v>
      </c>
      <c r="F132" s="3">
        <v>11</v>
      </c>
      <c r="G132" s="2" t="str">
        <f>VLOOKUP($F132,階級マスタ!$A:$B,2,FALSE)</f>
        <v>五</v>
      </c>
      <c r="H132" s="2">
        <v>2</v>
      </c>
      <c r="I132" s="2" t="str">
        <f>VLOOKUP($H132,分類マスタ!$A:$B,2,FALSE)</f>
        <v>柔法</v>
      </c>
      <c r="J132" s="3" t="s">
        <v>1135</v>
      </c>
      <c r="K132" s="3" t="s">
        <v>1152</v>
      </c>
      <c r="L132" s="3"/>
      <c r="M132" s="3" t="s">
        <v>1152</v>
      </c>
      <c r="N132" s="3"/>
      <c r="O132" s="7">
        <v>251</v>
      </c>
      <c r="P132" s="3" t="s">
        <v>1471</v>
      </c>
    </row>
    <row r="133" spans="1:16" x14ac:dyDescent="0.45">
      <c r="A133" s="3">
        <v>132</v>
      </c>
      <c r="B133" s="3">
        <v>8</v>
      </c>
      <c r="C133" s="2" t="str">
        <f>VLOOKUP($B133,拳系マスタ!$A:$B,2,FALSE)</f>
        <v>龍華拳</v>
      </c>
      <c r="D133" s="3" t="s">
        <v>249</v>
      </c>
      <c r="E133" s="3" t="s">
        <v>1305</v>
      </c>
      <c r="F133" s="3">
        <v>11</v>
      </c>
      <c r="G133" s="2" t="str">
        <f>VLOOKUP($F133,階級マスタ!$A:$B,2,FALSE)</f>
        <v>五</v>
      </c>
      <c r="H133" s="2">
        <v>2</v>
      </c>
      <c r="I133" s="2" t="str">
        <f>VLOOKUP($H133,分類マスタ!$A:$B,2,FALSE)</f>
        <v>柔法</v>
      </c>
      <c r="J133" s="3"/>
      <c r="K133" s="3"/>
      <c r="L133" s="3"/>
      <c r="M133" s="3"/>
      <c r="N133" s="3"/>
      <c r="O133" s="7">
        <v>251</v>
      </c>
      <c r="P133" s="3" t="s">
        <v>1471</v>
      </c>
    </row>
    <row r="134" spans="1:16" x14ac:dyDescent="0.45">
      <c r="A134" s="3">
        <v>133</v>
      </c>
      <c r="B134" s="3">
        <v>8</v>
      </c>
      <c r="C134" s="2" t="str">
        <f>VLOOKUP($B134,拳系マスタ!$A:$B,2,FALSE)</f>
        <v>龍華拳</v>
      </c>
      <c r="D134" s="3" t="s">
        <v>250</v>
      </c>
      <c r="E134" s="3" t="s">
        <v>1306</v>
      </c>
      <c r="F134" s="3">
        <v>11</v>
      </c>
      <c r="G134" s="2" t="str">
        <f>VLOOKUP($F134,階級マスタ!$A:$B,2,FALSE)</f>
        <v>五</v>
      </c>
      <c r="H134" s="2">
        <v>2</v>
      </c>
      <c r="I134" s="2" t="str">
        <f>VLOOKUP($H134,分類マスタ!$A:$B,2,FALSE)</f>
        <v>柔法</v>
      </c>
      <c r="J134" s="3"/>
      <c r="K134" s="3"/>
      <c r="L134" s="3"/>
      <c r="M134" s="3"/>
      <c r="N134" s="3"/>
      <c r="O134" s="7">
        <v>252</v>
      </c>
      <c r="P134" s="3" t="s">
        <v>1472</v>
      </c>
    </row>
    <row r="135" spans="1:16" x14ac:dyDescent="0.45">
      <c r="A135" s="3">
        <v>134</v>
      </c>
      <c r="B135" s="3">
        <v>8</v>
      </c>
      <c r="C135" s="2" t="str">
        <f>VLOOKUP($B135,拳系マスタ!$A:$B,2,FALSE)</f>
        <v>龍華拳</v>
      </c>
      <c r="D135" s="3" t="s">
        <v>251</v>
      </c>
      <c r="E135" s="3" t="s">
        <v>1307</v>
      </c>
      <c r="F135" s="3">
        <v>9</v>
      </c>
      <c r="G135" s="2" t="str">
        <f>VLOOKUP($F135,階級マスタ!$A:$B,2,FALSE)</f>
        <v>三</v>
      </c>
      <c r="H135" s="2">
        <v>2</v>
      </c>
      <c r="I135" s="2" t="str">
        <f>VLOOKUP($H135,分類マスタ!$A:$B,2,FALSE)</f>
        <v>柔法</v>
      </c>
      <c r="J135" s="3" t="s">
        <v>1135</v>
      </c>
      <c r="K135" s="3" t="s">
        <v>1152</v>
      </c>
      <c r="L135" s="3"/>
      <c r="M135" s="3" t="s">
        <v>1152</v>
      </c>
      <c r="N135" s="3"/>
      <c r="O135" s="7">
        <v>252</v>
      </c>
      <c r="P135" s="3" t="s">
        <v>1472</v>
      </c>
    </row>
    <row r="136" spans="1:16" x14ac:dyDescent="0.45">
      <c r="A136" s="3">
        <v>135</v>
      </c>
      <c r="B136" s="3">
        <v>8</v>
      </c>
      <c r="C136" s="2" t="str">
        <f>VLOOKUP($B136,拳系マスタ!$A:$B,2,FALSE)</f>
        <v>龍華拳</v>
      </c>
      <c r="D136" s="3" t="s">
        <v>252</v>
      </c>
      <c r="E136" s="3" t="s">
        <v>1308</v>
      </c>
      <c r="F136" s="3">
        <v>9</v>
      </c>
      <c r="G136" s="2" t="str">
        <f>VLOOKUP($F136,階級マスタ!$A:$B,2,FALSE)</f>
        <v>三</v>
      </c>
      <c r="H136" s="2">
        <v>2</v>
      </c>
      <c r="I136" s="2" t="str">
        <f>VLOOKUP($H136,分類マスタ!$A:$B,2,FALSE)</f>
        <v>柔法</v>
      </c>
      <c r="J136" s="3" t="s">
        <v>1135</v>
      </c>
      <c r="K136" s="3" t="s">
        <v>1152</v>
      </c>
      <c r="L136" s="3"/>
      <c r="M136" s="3" t="s">
        <v>1152</v>
      </c>
      <c r="N136" s="3"/>
      <c r="O136" s="7">
        <v>252</v>
      </c>
      <c r="P136" s="3" t="s">
        <v>1472</v>
      </c>
    </row>
    <row r="137" spans="1:16" x14ac:dyDescent="0.45">
      <c r="A137" s="3">
        <v>136</v>
      </c>
      <c r="B137" s="3">
        <v>8</v>
      </c>
      <c r="C137" s="2" t="str">
        <f>VLOOKUP($B137,拳系マスタ!$A:$B,2,FALSE)</f>
        <v>龍華拳</v>
      </c>
      <c r="D137" s="3" t="s">
        <v>253</v>
      </c>
      <c r="E137" s="3" t="s">
        <v>1309</v>
      </c>
      <c r="F137" s="3">
        <v>7</v>
      </c>
      <c r="G137" s="2" t="str">
        <f>VLOOKUP($F137,階級マスタ!$A:$B,2,FALSE)</f>
        <v>初</v>
      </c>
      <c r="H137" s="2">
        <v>2</v>
      </c>
      <c r="I137" s="2" t="str">
        <f>VLOOKUP($H137,分類マスタ!$A:$B,2,FALSE)</f>
        <v>柔法</v>
      </c>
      <c r="J137" s="3" t="s">
        <v>1159</v>
      </c>
      <c r="K137" s="3" t="s">
        <v>1165</v>
      </c>
      <c r="L137" s="3"/>
      <c r="M137" s="3" t="s">
        <v>1152</v>
      </c>
      <c r="N137" s="3"/>
      <c r="O137" s="7">
        <v>253</v>
      </c>
      <c r="P137" s="3" t="s">
        <v>1472</v>
      </c>
    </row>
    <row r="138" spans="1:16" x14ac:dyDescent="0.45">
      <c r="A138" s="3">
        <v>137</v>
      </c>
      <c r="B138" s="3">
        <v>8</v>
      </c>
      <c r="C138" s="2" t="str">
        <f>VLOOKUP($B138,拳系マスタ!$A:$B,2,FALSE)</f>
        <v>龍華拳</v>
      </c>
      <c r="D138" s="3" t="s">
        <v>255</v>
      </c>
      <c r="E138" s="3" t="s">
        <v>1310</v>
      </c>
      <c r="F138" s="3">
        <v>7</v>
      </c>
      <c r="G138" s="2" t="str">
        <f>VLOOKUP($F138,階級マスタ!$A:$B,2,FALSE)</f>
        <v>初</v>
      </c>
      <c r="H138" s="2">
        <v>2</v>
      </c>
      <c r="I138" s="2" t="str">
        <f>VLOOKUP($H138,分類マスタ!$A:$B,2,FALSE)</f>
        <v>柔法</v>
      </c>
      <c r="J138" s="3" t="s">
        <v>708</v>
      </c>
      <c r="K138" s="3" t="s">
        <v>1152</v>
      </c>
      <c r="L138" s="3"/>
      <c r="M138" s="3" t="s">
        <v>1152</v>
      </c>
      <c r="N138" s="3"/>
      <c r="O138" s="7">
        <v>254</v>
      </c>
      <c r="P138" s="3" t="s">
        <v>1473</v>
      </c>
    </row>
    <row r="139" spans="1:16" x14ac:dyDescent="0.45">
      <c r="A139" s="3">
        <v>138</v>
      </c>
      <c r="B139" s="3">
        <v>8</v>
      </c>
      <c r="C139" s="2" t="str">
        <f>VLOOKUP($B139,拳系マスタ!$A:$B,2,FALSE)</f>
        <v>龍華拳</v>
      </c>
      <c r="D139" s="3" t="s">
        <v>256</v>
      </c>
      <c r="E139" s="3" t="s">
        <v>1311</v>
      </c>
      <c r="F139" s="3">
        <v>7</v>
      </c>
      <c r="G139" s="2" t="str">
        <f>VLOOKUP($F139,階級マスタ!$A:$B,2,FALSE)</f>
        <v>初</v>
      </c>
      <c r="H139" s="2">
        <v>2</v>
      </c>
      <c r="I139" s="2" t="str">
        <f>VLOOKUP($H139,分類マスタ!$A:$B,2,FALSE)</f>
        <v>柔法</v>
      </c>
      <c r="J139" s="3" t="s">
        <v>708</v>
      </c>
      <c r="K139" s="3" t="s">
        <v>1165</v>
      </c>
      <c r="L139" s="3"/>
      <c r="M139" s="3" t="s">
        <v>1161</v>
      </c>
      <c r="N139" s="3"/>
      <c r="O139" s="7">
        <v>254</v>
      </c>
      <c r="P139" s="3" t="s">
        <v>1473</v>
      </c>
    </row>
    <row r="140" spans="1:16" x14ac:dyDescent="0.45">
      <c r="A140" s="3">
        <v>139</v>
      </c>
      <c r="B140" s="3">
        <v>8</v>
      </c>
      <c r="C140" s="2" t="str">
        <f>VLOOKUP($B140,拳系マスタ!$A:$B,2,FALSE)</f>
        <v>龍華拳</v>
      </c>
      <c r="D140" s="3" t="s">
        <v>258</v>
      </c>
      <c r="E140" s="3" t="s">
        <v>1312</v>
      </c>
      <c r="F140" s="3">
        <v>8</v>
      </c>
      <c r="G140" s="2" t="str">
        <f>VLOOKUP($F140,階級マスタ!$A:$B,2,FALSE)</f>
        <v>二</v>
      </c>
      <c r="H140" s="2">
        <v>2</v>
      </c>
      <c r="I140" s="2" t="str">
        <f>VLOOKUP($H140,分類マスタ!$A:$B,2,FALSE)</f>
        <v>柔法</v>
      </c>
      <c r="J140" s="3" t="s">
        <v>1136</v>
      </c>
      <c r="K140" s="3" t="s">
        <v>1152</v>
      </c>
      <c r="L140" s="3"/>
      <c r="M140" s="3" t="s">
        <v>1152</v>
      </c>
      <c r="N140" s="3"/>
      <c r="O140" s="7">
        <v>254</v>
      </c>
      <c r="P140" s="3" t="s">
        <v>1473</v>
      </c>
    </row>
    <row r="141" spans="1:16" x14ac:dyDescent="0.45">
      <c r="A141" s="3">
        <v>140</v>
      </c>
      <c r="B141" s="3">
        <v>8</v>
      </c>
      <c r="C141" s="2" t="str">
        <f>VLOOKUP($B141,拳系マスタ!$A:$B,2,FALSE)</f>
        <v>龍華拳</v>
      </c>
      <c r="D141" s="3" t="s">
        <v>259</v>
      </c>
      <c r="E141" s="3" t="s">
        <v>1313</v>
      </c>
      <c r="F141" s="3">
        <v>4</v>
      </c>
      <c r="G141" s="2" t="str">
        <f>VLOOKUP($F141,階級マスタ!$A:$B,2,FALSE)</f>
        <v>③</v>
      </c>
      <c r="H141" s="2">
        <v>2</v>
      </c>
      <c r="I141" s="2" t="str">
        <f>VLOOKUP($H141,分類マスタ!$A:$B,2,FALSE)</f>
        <v>柔法</v>
      </c>
      <c r="J141" s="3" t="s">
        <v>1135</v>
      </c>
      <c r="K141" s="3" t="s">
        <v>1152</v>
      </c>
      <c r="L141" s="3"/>
      <c r="M141" s="3" t="s">
        <v>1152</v>
      </c>
      <c r="N141" s="3"/>
      <c r="O141" s="7">
        <v>257</v>
      </c>
      <c r="P141" s="3" t="s">
        <v>1474</v>
      </c>
    </row>
    <row r="142" spans="1:16" x14ac:dyDescent="0.45">
      <c r="A142" s="3">
        <v>141</v>
      </c>
      <c r="B142" s="3">
        <v>8</v>
      </c>
      <c r="C142" s="2" t="str">
        <f>VLOOKUP($B142,拳系マスタ!$A:$B,2,FALSE)</f>
        <v>龍華拳</v>
      </c>
      <c r="D142" s="3" t="s">
        <v>260</v>
      </c>
      <c r="E142" s="3" t="s">
        <v>1314</v>
      </c>
      <c r="F142" s="3">
        <v>5</v>
      </c>
      <c r="G142" s="2" t="str">
        <f>VLOOKUP($F142,階級マスタ!$A:$B,2,FALSE)</f>
        <v>②</v>
      </c>
      <c r="H142" s="2">
        <v>2</v>
      </c>
      <c r="I142" s="2" t="str">
        <f>VLOOKUP($H142,分類マスタ!$A:$B,2,FALSE)</f>
        <v>柔法</v>
      </c>
      <c r="J142" s="3"/>
      <c r="K142" s="3"/>
      <c r="L142" s="3"/>
      <c r="M142" s="3"/>
      <c r="N142" s="3"/>
      <c r="O142" s="7">
        <v>257</v>
      </c>
      <c r="P142" s="3" t="s">
        <v>1474</v>
      </c>
    </row>
    <row r="143" spans="1:16" x14ac:dyDescent="0.45">
      <c r="A143" s="3">
        <v>142</v>
      </c>
      <c r="B143" s="3">
        <v>8</v>
      </c>
      <c r="C143" s="2" t="str">
        <f>VLOOKUP($B143,拳系マスタ!$A:$B,2,FALSE)</f>
        <v>龍華拳</v>
      </c>
      <c r="D143" s="3" t="s">
        <v>261</v>
      </c>
      <c r="E143" s="3" t="s">
        <v>1315</v>
      </c>
      <c r="F143" s="3">
        <v>5</v>
      </c>
      <c r="G143" s="2" t="str">
        <f>VLOOKUP($F143,階級マスタ!$A:$B,2,FALSE)</f>
        <v>②</v>
      </c>
      <c r="H143" s="2">
        <v>2</v>
      </c>
      <c r="I143" s="2" t="str">
        <f>VLOOKUP($H143,分類マスタ!$A:$B,2,FALSE)</f>
        <v>柔法</v>
      </c>
      <c r="J143" s="3" t="s">
        <v>1136</v>
      </c>
      <c r="K143" s="3" t="s">
        <v>1152</v>
      </c>
      <c r="L143" s="3"/>
      <c r="M143" s="3" t="s">
        <v>1152</v>
      </c>
      <c r="N143" s="3"/>
      <c r="O143" s="7">
        <v>257</v>
      </c>
      <c r="P143" s="3" t="s">
        <v>1474</v>
      </c>
    </row>
    <row r="144" spans="1:16" x14ac:dyDescent="0.45">
      <c r="A144" s="3">
        <v>143</v>
      </c>
      <c r="B144" s="3">
        <v>8</v>
      </c>
      <c r="C144" s="2" t="str">
        <f>VLOOKUP($B144,拳系マスタ!$A:$B,2,FALSE)</f>
        <v>龍華拳</v>
      </c>
      <c r="D144" s="3" t="s">
        <v>262</v>
      </c>
      <c r="E144" s="3" t="s">
        <v>1316</v>
      </c>
      <c r="F144" s="3">
        <v>6</v>
      </c>
      <c r="G144" s="2" t="str">
        <f>VLOOKUP($F144,階級マスタ!$A:$B,2,FALSE)</f>
        <v>①</v>
      </c>
      <c r="H144" s="2">
        <v>2</v>
      </c>
      <c r="I144" s="2" t="str">
        <f>VLOOKUP($H144,分類マスタ!$A:$B,2,FALSE)</f>
        <v>柔法</v>
      </c>
      <c r="J144" s="3" t="s">
        <v>1136</v>
      </c>
      <c r="K144" s="3" t="s">
        <v>1152</v>
      </c>
      <c r="L144" s="3"/>
      <c r="M144" s="3" t="s">
        <v>1152</v>
      </c>
      <c r="N144" s="3"/>
      <c r="O144" s="7">
        <v>258</v>
      </c>
      <c r="P144" s="3" t="s">
        <v>1475</v>
      </c>
    </row>
    <row r="145" spans="1:16" x14ac:dyDescent="0.45">
      <c r="A145" s="3">
        <v>144</v>
      </c>
      <c r="B145" s="3">
        <v>8</v>
      </c>
      <c r="C145" s="2" t="str">
        <f>VLOOKUP($B145,拳系マスタ!$A:$B,2,FALSE)</f>
        <v>龍華拳</v>
      </c>
      <c r="D145" s="3" t="s">
        <v>263</v>
      </c>
      <c r="E145" s="3" t="s">
        <v>1317</v>
      </c>
      <c r="F145" s="3">
        <v>5</v>
      </c>
      <c r="G145" s="2" t="str">
        <f>VLOOKUP($F145,階級マスタ!$A:$B,2,FALSE)</f>
        <v>②</v>
      </c>
      <c r="H145" s="2">
        <v>2</v>
      </c>
      <c r="I145" s="2" t="str">
        <f>VLOOKUP($H145,分類マスタ!$A:$B,2,FALSE)</f>
        <v>柔法</v>
      </c>
      <c r="J145" s="3"/>
      <c r="K145" s="3"/>
      <c r="L145" s="3"/>
      <c r="M145" s="3"/>
      <c r="N145" s="3"/>
      <c r="O145" s="7">
        <v>258</v>
      </c>
      <c r="P145" s="3" t="s">
        <v>1475</v>
      </c>
    </row>
    <row r="146" spans="1:16" x14ac:dyDescent="0.45">
      <c r="A146" s="3">
        <v>145</v>
      </c>
      <c r="B146" s="3">
        <v>8</v>
      </c>
      <c r="C146" s="2" t="str">
        <f>VLOOKUP($B146,拳系マスタ!$A:$B,2,FALSE)</f>
        <v>龍華拳</v>
      </c>
      <c r="D146" s="3" t="s">
        <v>264</v>
      </c>
      <c r="E146" s="3" t="s">
        <v>1318</v>
      </c>
      <c r="F146" s="3">
        <v>5</v>
      </c>
      <c r="G146" s="2" t="str">
        <f>VLOOKUP($F146,階級マスタ!$A:$B,2,FALSE)</f>
        <v>②</v>
      </c>
      <c r="H146" s="2">
        <v>2</v>
      </c>
      <c r="I146" s="2" t="str">
        <f>VLOOKUP($H146,分類マスタ!$A:$B,2,FALSE)</f>
        <v>柔法</v>
      </c>
      <c r="J146" s="3" t="s">
        <v>1150</v>
      </c>
      <c r="K146" s="3" t="s">
        <v>1165</v>
      </c>
      <c r="L146" s="3"/>
      <c r="M146" s="3" t="s">
        <v>1160</v>
      </c>
      <c r="N146" s="3"/>
      <c r="O146" s="7">
        <v>258</v>
      </c>
      <c r="P146" s="3" t="s">
        <v>1475</v>
      </c>
    </row>
    <row r="147" spans="1:16" x14ac:dyDescent="0.45">
      <c r="A147" s="3">
        <v>146</v>
      </c>
      <c r="B147" s="3">
        <v>8</v>
      </c>
      <c r="C147" s="2" t="str">
        <f>VLOOKUP($B147,拳系マスタ!$A:$B,2,FALSE)</f>
        <v>龍華拳</v>
      </c>
      <c r="D147" s="3" t="s">
        <v>266</v>
      </c>
      <c r="E147" s="3" t="s">
        <v>1319</v>
      </c>
      <c r="F147" s="3">
        <v>5</v>
      </c>
      <c r="G147" s="2" t="str">
        <f>VLOOKUP($F147,階級マスタ!$A:$B,2,FALSE)</f>
        <v>②</v>
      </c>
      <c r="H147" s="2">
        <v>2</v>
      </c>
      <c r="I147" s="2" t="str">
        <f>VLOOKUP($H147,分類マスタ!$A:$B,2,FALSE)</f>
        <v>柔法</v>
      </c>
      <c r="J147" s="3" t="s">
        <v>1150</v>
      </c>
      <c r="K147" s="3" t="s">
        <v>1165</v>
      </c>
      <c r="L147" s="3"/>
      <c r="M147" s="3" t="s">
        <v>1160</v>
      </c>
      <c r="N147" s="3"/>
      <c r="O147" s="3"/>
      <c r="P147" s="3"/>
    </row>
    <row r="148" spans="1:16" x14ac:dyDescent="0.45">
      <c r="A148" s="3">
        <v>147</v>
      </c>
      <c r="B148" s="3">
        <v>8</v>
      </c>
      <c r="C148" s="2" t="str">
        <f>VLOOKUP($B148,拳系マスタ!$A:$B,2,FALSE)</f>
        <v>龍華拳</v>
      </c>
      <c r="D148" s="3" t="s">
        <v>267</v>
      </c>
      <c r="E148" s="3" t="s">
        <v>1320</v>
      </c>
      <c r="F148" s="3">
        <v>9</v>
      </c>
      <c r="G148" s="2" t="str">
        <f>VLOOKUP($F148,階級マスタ!$A:$B,2,FALSE)</f>
        <v>三</v>
      </c>
      <c r="H148" s="2">
        <v>2</v>
      </c>
      <c r="I148" s="2" t="str">
        <f>VLOOKUP($H148,分類マスタ!$A:$B,2,FALSE)</f>
        <v>柔法</v>
      </c>
      <c r="J148" s="3" t="s">
        <v>1136</v>
      </c>
      <c r="K148" s="3" t="s">
        <v>1152</v>
      </c>
      <c r="L148" s="3"/>
      <c r="M148" s="3" t="s">
        <v>1160</v>
      </c>
      <c r="N148" s="3"/>
      <c r="O148" s="7">
        <v>259</v>
      </c>
      <c r="P148" s="3" t="s">
        <v>1475</v>
      </c>
    </row>
    <row r="149" spans="1:16" x14ac:dyDescent="0.45">
      <c r="A149" s="3">
        <v>148</v>
      </c>
      <c r="B149" s="3">
        <v>8</v>
      </c>
      <c r="C149" s="2" t="str">
        <f>VLOOKUP($B149,拳系マスタ!$A:$B,2,FALSE)</f>
        <v>龍華拳</v>
      </c>
      <c r="D149" s="3" t="s">
        <v>268</v>
      </c>
      <c r="E149" s="3" t="s">
        <v>1321</v>
      </c>
      <c r="F149" s="3">
        <v>8</v>
      </c>
      <c r="G149" s="2" t="str">
        <f>VLOOKUP($F149,階級マスタ!$A:$B,2,FALSE)</f>
        <v>二</v>
      </c>
      <c r="H149" s="2">
        <v>2</v>
      </c>
      <c r="I149" s="2" t="str">
        <f>VLOOKUP($H149,分類マスタ!$A:$B,2,FALSE)</f>
        <v>柔法</v>
      </c>
      <c r="J149" s="3" t="s">
        <v>1136</v>
      </c>
      <c r="K149" s="3" t="s">
        <v>1152</v>
      </c>
      <c r="L149" s="3"/>
      <c r="M149" s="3" t="s">
        <v>1160</v>
      </c>
      <c r="N149" s="3"/>
      <c r="O149" s="7">
        <v>259</v>
      </c>
      <c r="P149" s="3" t="s">
        <v>1475</v>
      </c>
    </row>
    <row r="150" spans="1:16" x14ac:dyDescent="0.45">
      <c r="A150" s="3">
        <v>149</v>
      </c>
      <c r="B150" s="3">
        <v>8</v>
      </c>
      <c r="C150" s="2" t="str">
        <f>VLOOKUP($B150,拳系マスタ!$A:$B,2,FALSE)</f>
        <v>龍華拳</v>
      </c>
      <c r="D150" s="3" t="s">
        <v>270</v>
      </c>
      <c r="E150" s="3" t="s">
        <v>1322</v>
      </c>
      <c r="F150" s="3">
        <v>8</v>
      </c>
      <c r="G150" s="2" t="str">
        <f>VLOOKUP($F150,階級マスタ!$A:$B,2,FALSE)</f>
        <v>二</v>
      </c>
      <c r="H150" s="2">
        <v>2</v>
      </c>
      <c r="I150" s="2" t="str">
        <f>VLOOKUP($H150,分類マスタ!$A:$B,2,FALSE)</f>
        <v>柔法</v>
      </c>
      <c r="J150" s="3" t="s">
        <v>1136</v>
      </c>
      <c r="K150" s="3" t="s">
        <v>1152</v>
      </c>
      <c r="L150" s="3"/>
      <c r="M150" s="3" t="s">
        <v>1160</v>
      </c>
      <c r="N150" s="3"/>
      <c r="O150" s="7">
        <v>259</v>
      </c>
      <c r="P150" s="3" t="s">
        <v>1475</v>
      </c>
    </row>
    <row r="151" spans="1:16" x14ac:dyDescent="0.45">
      <c r="A151" s="3">
        <v>150</v>
      </c>
      <c r="B151" s="3">
        <v>8</v>
      </c>
      <c r="C151" s="2" t="str">
        <f>VLOOKUP($B151,拳系マスタ!$A:$B,2,FALSE)</f>
        <v>龍華拳</v>
      </c>
      <c r="D151" s="3" t="s">
        <v>271</v>
      </c>
      <c r="E151" s="3" t="s">
        <v>1323</v>
      </c>
      <c r="F151" s="3">
        <v>9</v>
      </c>
      <c r="G151" s="2" t="str">
        <f>VLOOKUP($F151,階級マスタ!$A:$B,2,FALSE)</f>
        <v>三</v>
      </c>
      <c r="H151" s="2">
        <v>2</v>
      </c>
      <c r="I151" s="2" t="str">
        <f>VLOOKUP($H151,分類マスタ!$A:$B,2,FALSE)</f>
        <v>柔法</v>
      </c>
      <c r="J151" s="3" t="s">
        <v>1136</v>
      </c>
      <c r="K151" s="3" t="s">
        <v>1152</v>
      </c>
      <c r="L151" s="3"/>
      <c r="M151" s="3" t="s">
        <v>1160</v>
      </c>
      <c r="N151" s="3"/>
      <c r="O151" s="7">
        <v>260</v>
      </c>
      <c r="P151" s="3" t="s">
        <v>1476</v>
      </c>
    </row>
    <row r="152" spans="1:16" x14ac:dyDescent="0.45">
      <c r="A152" s="3">
        <v>151</v>
      </c>
      <c r="B152" s="3">
        <v>8</v>
      </c>
      <c r="C152" s="2" t="str">
        <f>VLOOKUP($B152,拳系マスタ!$A:$B,2,FALSE)</f>
        <v>龍華拳</v>
      </c>
      <c r="D152" s="3" t="s">
        <v>272</v>
      </c>
      <c r="E152" s="3" t="s">
        <v>1324</v>
      </c>
      <c r="F152" s="3">
        <v>10</v>
      </c>
      <c r="G152" s="2" t="str">
        <f>VLOOKUP($F152,階級マスタ!$A:$B,2,FALSE)</f>
        <v>四</v>
      </c>
      <c r="H152" s="2">
        <v>2</v>
      </c>
      <c r="I152" s="2" t="str">
        <f>VLOOKUP($H152,分類マスタ!$A:$B,2,FALSE)</f>
        <v>柔法</v>
      </c>
      <c r="J152" s="3" t="s">
        <v>1136</v>
      </c>
      <c r="K152" s="3" t="s">
        <v>1152</v>
      </c>
      <c r="L152" s="3"/>
      <c r="M152" s="3" t="s">
        <v>1152</v>
      </c>
      <c r="N152" s="3"/>
      <c r="O152" s="7">
        <v>260</v>
      </c>
      <c r="P152" s="3" t="s">
        <v>1476</v>
      </c>
    </row>
    <row r="153" spans="1:16" x14ac:dyDescent="0.45">
      <c r="A153" s="3">
        <v>152</v>
      </c>
      <c r="B153" s="3">
        <v>8</v>
      </c>
      <c r="C153" s="2" t="str">
        <f>VLOOKUP($B153,拳系マスタ!$A:$B,2,FALSE)</f>
        <v>龍華拳</v>
      </c>
      <c r="D153" s="3" t="s">
        <v>274</v>
      </c>
      <c r="E153" s="3" t="s">
        <v>1325</v>
      </c>
      <c r="F153" s="3">
        <v>9</v>
      </c>
      <c r="G153" s="2" t="str">
        <f>VLOOKUP($F153,階級マスタ!$A:$B,2,FALSE)</f>
        <v>三</v>
      </c>
      <c r="H153" s="2">
        <v>2</v>
      </c>
      <c r="I153" s="2" t="str">
        <f>VLOOKUP($H153,分類マスタ!$A:$B,2,FALSE)</f>
        <v>柔法</v>
      </c>
      <c r="J153" s="3" t="s">
        <v>1136</v>
      </c>
      <c r="K153" s="3" t="s">
        <v>1152</v>
      </c>
      <c r="L153" s="3"/>
      <c r="M153" s="3" t="s">
        <v>1160</v>
      </c>
      <c r="N153" s="3"/>
      <c r="O153" s="7">
        <v>261</v>
      </c>
      <c r="P153" s="3" t="s">
        <v>1476</v>
      </c>
    </row>
    <row r="154" spans="1:16" x14ac:dyDescent="0.45">
      <c r="A154" s="3">
        <v>153</v>
      </c>
      <c r="B154" s="3">
        <v>8</v>
      </c>
      <c r="C154" s="2" t="str">
        <f>VLOOKUP($B154,拳系マスタ!$A:$B,2,FALSE)</f>
        <v>龍華拳</v>
      </c>
      <c r="D154" s="3" t="s">
        <v>275</v>
      </c>
      <c r="E154" s="3" t="s">
        <v>1326</v>
      </c>
      <c r="F154" s="3">
        <v>9</v>
      </c>
      <c r="G154" s="2" t="str">
        <f>VLOOKUP($F154,階級マスタ!$A:$B,2,FALSE)</f>
        <v>三</v>
      </c>
      <c r="H154" s="2">
        <v>2</v>
      </c>
      <c r="I154" s="2" t="str">
        <f>VLOOKUP($H154,分類マスタ!$A:$B,2,FALSE)</f>
        <v>柔法</v>
      </c>
      <c r="J154" s="3" t="s">
        <v>277</v>
      </c>
      <c r="K154" s="3"/>
      <c r="L154" s="3"/>
      <c r="M154" s="3" t="s">
        <v>1156</v>
      </c>
      <c r="N154" s="3"/>
      <c r="O154" s="7">
        <v>261</v>
      </c>
      <c r="P154" s="3" t="s">
        <v>1476</v>
      </c>
    </row>
    <row r="155" spans="1:16" x14ac:dyDescent="0.45">
      <c r="A155" s="3">
        <v>154</v>
      </c>
      <c r="B155" s="3">
        <v>8</v>
      </c>
      <c r="C155" s="2" t="str">
        <f>VLOOKUP($B155,拳系マスタ!$A:$B,2,FALSE)</f>
        <v>龍華拳</v>
      </c>
      <c r="D155" s="3" t="s">
        <v>276</v>
      </c>
      <c r="E155" s="3" t="s">
        <v>1327</v>
      </c>
      <c r="F155" s="3">
        <v>11</v>
      </c>
      <c r="G155" s="2" t="str">
        <f>VLOOKUP($F155,階級マスタ!$A:$B,2,FALSE)</f>
        <v>五</v>
      </c>
      <c r="H155" s="2">
        <v>2</v>
      </c>
      <c r="I155" s="2" t="str">
        <f>VLOOKUP($H155,分類マスタ!$A:$B,2,FALSE)</f>
        <v>柔法</v>
      </c>
      <c r="J155" s="3" t="s">
        <v>277</v>
      </c>
      <c r="K155" s="3"/>
      <c r="L155" s="3"/>
      <c r="M155" s="3"/>
      <c r="N155" s="3"/>
      <c r="O155" s="7">
        <v>261</v>
      </c>
      <c r="P155" s="3" t="s">
        <v>1476</v>
      </c>
    </row>
    <row r="156" spans="1:16" x14ac:dyDescent="0.45">
      <c r="A156" s="3">
        <v>155</v>
      </c>
      <c r="B156" s="3">
        <v>8</v>
      </c>
      <c r="C156" s="2" t="str">
        <f>VLOOKUP($B156,拳系マスタ!$A:$B,2,FALSE)</f>
        <v>龍華拳</v>
      </c>
      <c r="D156" s="3" t="s">
        <v>278</v>
      </c>
      <c r="E156" s="3" t="s">
        <v>1328</v>
      </c>
      <c r="F156" s="3">
        <v>10</v>
      </c>
      <c r="G156" s="2" t="str">
        <f>VLOOKUP($F156,階級マスタ!$A:$B,2,FALSE)</f>
        <v>四</v>
      </c>
      <c r="H156" s="2">
        <v>2</v>
      </c>
      <c r="I156" s="2" t="str">
        <f>VLOOKUP($H156,分類マスタ!$A:$B,2,FALSE)</f>
        <v>柔法</v>
      </c>
      <c r="J156" s="3" t="s">
        <v>277</v>
      </c>
      <c r="K156" s="3"/>
      <c r="L156" s="3"/>
      <c r="M156" s="3" t="s">
        <v>1157</v>
      </c>
      <c r="N156" s="3"/>
      <c r="O156" s="7">
        <v>262</v>
      </c>
      <c r="P156" s="3" t="s">
        <v>1477</v>
      </c>
    </row>
    <row r="157" spans="1:16" x14ac:dyDescent="0.45">
      <c r="A157" s="3">
        <v>156</v>
      </c>
      <c r="B157" s="3">
        <v>8</v>
      </c>
      <c r="C157" s="2" t="str">
        <f>VLOOKUP($B157,拳系マスタ!$A:$B,2,FALSE)</f>
        <v>龍華拳</v>
      </c>
      <c r="D157" s="3" t="s">
        <v>279</v>
      </c>
      <c r="E157" s="3" t="s">
        <v>1329</v>
      </c>
      <c r="F157" s="3">
        <v>10</v>
      </c>
      <c r="G157" s="2" t="str">
        <f>VLOOKUP($F157,階級マスタ!$A:$B,2,FALSE)</f>
        <v>四</v>
      </c>
      <c r="H157" s="2">
        <v>2</v>
      </c>
      <c r="I157" s="2" t="str">
        <f>VLOOKUP($H157,分類マスタ!$A:$B,2,FALSE)</f>
        <v>柔法</v>
      </c>
      <c r="J157" s="3" t="s">
        <v>277</v>
      </c>
      <c r="K157" s="3"/>
      <c r="L157" s="3"/>
      <c r="M157" s="3" t="s">
        <v>1157</v>
      </c>
      <c r="N157" s="3"/>
      <c r="O157" s="7">
        <v>262</v>
      </c>
      <c r="P157" s="3" t="s">
        <v>1477</v>
      </c>
    </row>
    <row r="158" spans="1:16" x14ac:dyDescent="0.45">
      <c r="A158" s="3">
        <v>157</v>
      </c>
      <c r="B158" s="3">
        <v>8</v>
      </c>
      <c r="C158" s="2" t="str">
        <f>VLOOKUP($B158,拳系マスタ!$A:$B,2,FALSE)</f>
        <v>龍華拳</v>
      </c>
      <c r="D158" s="3" t="s">
        <v>280</v>
      </c>
      <c r="E158" s="3" t="s">
        <v>1330</v>
      </c>
      <c r="F158" s="3">
        <v>11</v>
      </c>
      <c r="G158" s="2" t="str">
        <f>VLOOKUP($F158,階級マスタ!$A:$B,2,FALSE)</f>
        <v>五</v>
      </c>
      <c r="H158" s="2">
        <v>2</v>
      </c>
      <c r="I158" s="2" t="str">
        <f>VLOOKUP($H158,分類マスタ!$A:$B,2,FALSE)</f>
        <v>柔法</v>
      </c>
      <c r="J158" s="3" t="s">
        <v>1136</v>
      </c>
      <c r="K158" s="3"/>
      <c r="L158" s="3"/>
      <c r="M158" s="3" t="s">
        <v>277</v>
      </c>
      <c r="N158" s="3"/>
      <c r="O158" s="7">
        <v>262</v>
      </c>
      <c r="P158" s="3" t="s">
        <v>1477</v>
      </c>
    </row>
    <row r="159" spans="1:16" x14ac:dyDescent="0.45">
      <c r="A159" s="3">
        <v>158</v>
      </c>
      <c r="B159" s="3">
        <v>8</v>
      </c>
      <c r="C159" s="2" t="str">
        <f>VLOOKUP($B159,拳系マスタ!$A:$B,2,FALSE)</f>
        <v>龍華拳</v>
      </c>
      <c r="D159" s="3" t="s">
        <v>282</v>
      </c>
      <c r="E159" s="3" t="s">
        <v>1331</v>
      </c>
      <c r="F159" s="3">
        <v>11</v>
      </c>
      <c r="G159" s="2" t="str">
        <f>VLOOKUP($F159,階級マスタ!$A:$B,2,FALSE)</f>
        <v>五</v>
      </c>
      <c r="H159" s="2">
        <v>2</v>
      </c>
      <c r="I159" s="2" t="str">
        <f>VLOOKUP($H159,分類マスタ!$A:$B,2,FALSE)</f>
        <v>柔法</v>
      </c>
      <c r="J159" s="3"/>
      <c r="K159" s="3"/>
      <c r="L159" s="3"/>
      <c r="M159" s="3"/>
      <c r="N159" s="3"/>
      <c r="O159" s="7">
        <v>262</v>
      </c>
      <c r="P159" s="3" t="s">
        <v>1477</v>
      </c>
    </row>
    <row r="160" spans="1:16" x14ac:dyDescent="0.45">
      <c r="A160" s="3">
        <v>159</v>
      </c>
      <c r="B160" s="3">
        <v>8</v>
      </c>
      <c r="C160" s="2" t="str">
        <f>VLOOKUP($B160,拳系マスタ!$A:$B,2,FALSE)</f>
        <v>龍華拳</v>
      </c>
      <c r="D160" s="3" t="s">
        <v>283</v>
      </c>
      <c r="E160" s="3" t="s">
        <v>1332</v>
      </c>
      <c r="F160" s="3">
        <v>11</v>
      </c>
      <c r="G160" s="2" t="str">
        <f>VLOOKUP($F160,階級マスタ!$A:$B,2,FALSE)</f>
        <v>五</v>
      </c>
      <c r="H160" s="2">
        <v>2</v>
      </c>
      <c r="I160" s="2" t="str">
        <f>VLOOKUP($H160,分類マスタ!$A:$B,2,FALSE)</f>
        <v>柔法</v>
      </c>
      <c r="J160" s="3"/>
      <c r="K160" s="3"/>
      <c r="L160" s="3"/>
      <c r="M160" s="3"/>
      <c r="N160" s="3"/>
      <c r="O160" s="7">
        <v>263</v>
      </c>
      <c r="P160" s="3" t="s">
        <v>1477</v>
      </c>
    </row>
    <row r="161" spans="1:16" x14ac:dyDescent="0.45">
      <c r="A161" s="3">
        <v>160</v>
      </c>
      <c r="B161" s="3">
        <v>8</v>
      </c>
      <c r="C161" s="2" t="str">
        <f>VLOOKUP($B161,拳系マスタ!$A:$B,2,FALSE)</f>
        <v>龍華拳</v>
      </c>
      <c r="D161" s="3" t="s">
        <v>284</v>
      </c>
      <c r="E161" s="3" t="s">
        <v>1333</v>
      </c>
      <c r="F161" s="3">
        <v>9</v>
      </c>
      <c r="G161" s="2" t="str">
        <f>VLOOKUP($F161,階級マスタ!$A:$B,2,FALSE)</f>
        <v>三</v>
      </c>
      <c r="H161" s="2">
        <v>2</v>
      </c>
      <c r="I161" s="2" t="str">
        <f>VLOOKUP($H161,分類マスタ!$A:$B,2,FALSE)</f>
        <v>柔法</v>
      </c>
      <c r="J161" s="3"/>
      <c r="K161" s="3" t="s">
        <v>1152</v>
      </c>
      <c r="L161" s="3"/>
      <c r="M161" s="3" t="s">
        <v>1148</v>
      </c>
      <c r="N161" s="3"/>
      <c r="O161" s="3"/>
      <c r="P161" s="3"/>
    </row>
    <row r="162" spans="1:16" x14ac:dyDescent="0.45">
      <c r="A162" s="3">
        <v>161</v>
      </c>
      <c r="B162" s="3">
        <v>8</v>
      </c>
      <c r="C162" s="2" t="str">
        <f>VLOOKUP($B162,拳系マスタ!$A:$B,2,FALSE)</f>
        <v>龍華拳</v>
      </c>
      <c r="D162" s="3" t="s">
        <v>286</v>
      </c>
      <c r="E162" s="3" t="s">
        <v>1334</v>
      </c>
      <c r="F162" s="3">
        <v>9</v>
      </c>
      <c r="G162" s="2" t="str">
        <f>VLOOKUP($F162,階級マスタ!$A:$B,2,FALSE)</f>
        <v>三</v>
      </c>
      <c r="H162" s="2">
        <v>2</v>
      </c>
      <c r="I162" s="2" t="str">
        <f>VLOOKUP($H162,分類マスタ!$A:$B,2,FALSE)</f>
        <v>柔法</v>
      </c>
      <c r="J162" s="3"/>
      <c r="K162" s="3" t="s">
        <v>1152</v>
      </c>
      <c r="L162" s="3"/>
      <c r="M162" s="3" t="s">
        <v>1148</v>
      </c>
      <c r="N162" s="3"/>
      <c r="O162" s="3"/>
      <c r="P162" s="3"/>
    </row>
    <row r="163" spans="1:16" x14ac:dyDescent="0.45">
      <c r="A163" s="3">
        <v>162</v>
      </c>
      <c r="B163" s="3">
        <v>8</v>
      </c>
      <c r="C163" s="2" t="str">
        <f>VLOOKUP($B163,拳系マスタ!$A:$B,2,FALSE)</f>
        <v>龍華拳</v>
      </c>
      <c r="D163" s="3" t="s">
        <v>287</v>
      </c>
      <c r="E163" s="3" t="s">
        <v>1335</v>
      </c>
      <c r="F163" s="3">
        <v>9</v>
      </c>
      <c r="G163" s="2" t="str">
        <f>VLOOKUP($F163,階級マスタ!$A:$B,2,FALSE)</f>
        <v>三</v>
      </c>
      <c r="H163" s="2">
        <v>2</v>
      </c>
      <c r="I163" s="2" t="str">
        <f>VLOOKUP($H163,分類マスタ!$A:$B,2,FALSE)</f>
        <v>柔法</v>
      </c>
      <c r="J163" s="3"/>
      <c r="K163" s="3" t="s">
        <v>1152</v>
      </c>
      <c r="L163" s="3"/>
      <c r="M163" s="3" t="s">
        <v>1148</v>
      </c>
      <c r="N163" s="3"/>
      <c r="O163" s="3"/>
      <c r="P163" s="3"/>
    </row>
    <row r="164" spans="1:16" x14ac:dyDescent="0.45">
      <c r="A164" s="3">
        <v>163</v>
      </c>
      <c r="B164" s="3">
        <v>9</v>
      </c>
      <c r="C164" s="2" t="str">
        <f>VLOOKUP($B164,拳系マスタ!$A:$B,2,FALSE)</f>
        <v>五花拳</v>
      </c>
      <c r="D164" s="3" t="s">
        <v>290</v>
      </c>
      <c r="E164" s="3" t="s">
        <v>1336</v>
      </c>
      <c r="F164" s="3">
        <v>8</v>
      </c>
      <c r="G164" s="2" t="str">
        <f>VLOOKUP($F164,階級マスタ!$A:$B,2,FALSE)</f>
        <v>二</v>
      </c>
      <c r="H164" s="2">
        <v>2</v>
      </c>
      <c r="I164" s="2" t="str">
        <f>VLOOKUP($H164,分類マスタ!$A:$B,2,FALSE)</f>
        <v>柔法</v>
      </c>
      <c r="J164" s="3" t="s">
        <v>1136</v>
      </c>
      <c r="K164" s="3" t="s">
        <v>1152</v>
      </c>
      <c r="L164" s="3"/>
      <c r="M164" s="3" t="s">
        <v>1165</v>
      </c>
      <c r="N164" s="3"/>
      <c r="O164" s="7">
        <v>268</v>
      </c>
      <c r="P164" s="3" t="s">
        <v>1478</v>
      </c>
    </row>
    <row r="165" spans="1:16" x14ac:dyDescent="0.45">
      <c r="A165" s="3">
        <v>164</v>
      </c>
      <c r="B165" s="3">
        <v>9</v>
      </c>
      <c r="C165" s="2" t="str">
        <f>VLOOKUP($B165,拳系マスタ!$A:$B,2,FALSE)</f>
        <v>五花拳</v>
      </c>
      <c r="D165" s="3" t="s">
        <v>293</v>
      </c>
      <c r="E165" s="3" t="s">
        <v>1337</v>
      </c>
      <c r="F165" s="3">
        <v>8</v>
      </c>
      <c r="G165" s="2" t="str">
        <f>VLOOKUP($F165,階級マスタ!$A:$B,2,FALSE)</f>
        <v>二</v>
      </c>
      <c r="H165" s="2">
        <v>2</v>
      </c>
      <c r="I165" s="2" t="str">
        <f>VLOOKUP($H165,分類マスタ!$A:$B,2,FALSE)</f>
        <v>柔法</v>
      </c>
      <c r="J165" s="3" t="s">
        <v>1136</v>
      </c>
      <c r="K165" s="3" t="s">
        <v>1152</v>
      </c>
      <c r="L165" s="3"/>
      <c r="M165" s="3" t="s">
        <v>1165</v>
      </c>
      <c r="N165" s="3"/>
      <c r="O165" s="7">
        <v>269</v>
      </c>
      <c r="P165" s="3" t="s">
        <v>1478</v>
      </c>
    </row>
    <row r="166" spans="1:16" x14ac:dyDescent="0.45">
      <c r="A166" s="3">
        <v>165</v>
      </c>
      <c r="B166" s="3">
        <v>9</v>
      </c>
      <c r="C166" s="2" t="str">
        <f>VLOOKUP($B166,拳系マスタ!$A:$B,2,FALSE)</f>
        <v>五花拳</v>
      </c>
      <c r="D166" s="3" t="s">
        <v>295</v>
      </c>
      <c r="E166" s="3" t="s">
        <v>1338</v>
      </c>
      <c r="F166" s="3">
        <v>9</v>
      </c>
      <c r="G166" s="2" t="str">
        <f>VLOOKUP($F166,階級マスタ!$A:$B,2,FALSE)</f>
        <v>三</v>
      </c>
      <c r="H166" s="2">
        <v>2</v>
      </c>
      <c r="I166" s="2" t="str">
        <f>VLOOKUP($H166,分類マスタ!$A:$B,2,FALSE)</f>
        <v>柔法</v>
      </c>
      <c r="J166" s="3" t="s">
        <v>1136</v>
      </c>
      <c r="K166" s="3" t="s">
        <v>1152</v>
      </c>
      <c r="L166" s="3"/>
      <c r="M166" s="3" t="s">
        <v>1165</v>
      </c>
      <c r="N166" s="3"/>
      <c r="O166" s="7">
        <v>269</v>
      </c>
      <c r="P166" s="3" t="s">
        <v>1478</v>
      </c>
    </row>
    <row r="167" spans="1:16" x14ac:dyDescent="0.45">
      <c r="A167" s="3">
        <v>166</v>
      </c>
      <c r="B167" s="3">
        <v>9</v>
      </c>
      <c r="C167" s="2" t="str">
        <f>VLOOKUP($B167,拳系マスタ!$A:$B,2,FALSE)</f>
        <v>五花拳</v>
      </c>
      <c r="D167" s="3" t="s">
        <v>297</v>
      </c>
      <c r="E167" s="3" t="s">
        <v>1339</v>
      </c>
      <c r="F167" s="3">
        <v>10</v>
      </c>
      <c r="G167" s="2" t="str">
        <f>VLOOKUP($F167,階級マスタ!$A:$B,2,FALSE)</f>
        <v>四</v>
      </c>
      <c r="H167" s="2">
        <v>2</v>
      </c>
      <c r="I167" s="2" t="str">
        <f>VLOOKUP($H167,分類マスタ!$A:$B,2,FALSE)</f>
        <v>柔法</v>
      </c>
      <c r="J167" s="3" t="s">
        <v>1136</v>
      </c>
      <c r="K167" s="3" t="s">
        <v>1152</v>
      </c>
      <c r="L167" s="3"/>
      <c r="M167" s="3" t="s">
        <v>1165</v>
      </c>
      <c r="N167" s="3"/>
      <c r="O167" s="7">
        <v>270</v>
      </c>
      <c r="P167" s="3" t="s">
        <v>1479</v>
      </c>
    </row>
    <row r="168" spans="1:16" x14ac:dyDescent="0.45">
      <c r="A168" s="3">
        <v>167</v>
      </c>
      <c r="B168" s="3">
        <v>9</v>
      </c>
      <c r="C168" s="2" t="str">
        <f>VLOOKUP($B168,拳系マスタ!$A:$B,2,FALSE)</f>
        <v>五花拳</v>
      </c>
      <c r="D168" s="3" t="s">
        <v>299</v>
      </c>
      <c r="E168" s="3" t="s">
        <v>1340</v>
      </c>
      <c r="F168" s="3">
        <v>10</v>
      </c>
      <c r="G168" s="2" t="str">
        <f>VLOOKUP($F168,階級マスタ!$A:$B,2,FALSE)</f>
        <v>四</v>
      </c>
      <c r="H168" s="2">
        <v>2</v>
      </c>
      <c r="I168" s="2" t="str">
        <f>VLOOKUP($H168,分類マスタ!$A:$B,2,FALSE)</f>
        <v>柔法</v>
      </c>
      <c r="J168" s="3" t="s">
        <v>1136</v>
      </c>
      <c r="K168" s="3" t="s">
        <v>1152</v>
      </c>
      <c r="L168" s="3"/>
      <c r="M168" s="3" t="s">
        <v>1165</v>
      </c>
      <c r="N168" s="3"/>
      <c r="O168" s="7">
        <v>270</v>
      </c>
      <c r="P168" s="3" t="s">
        <v>1479</v>
      </c>
    </row>
    <row r="169" spans="1:16" x14ac:dyDescent="0.45">
      <c r="A169" s="3">
        <v>168</v>
      </c>
      <c r="B169" s="3">
        <v>9</v>
      </c>
      <c r="C169" s="2" t="str">
        <f>VLOOKUP($B169,拳系マスタ!$A:$B,2,FALSE)</f>
        <v>五花拳</v>
      </c>
      <c r="D169" s="3" t="s">
        <v>300</v>
      </c>
      <c r="E169" s="3" t="s">
        <v>1341</v>
      </c>
      <c r="F169" s="3">
        <v>9</v>
      </c>
      <c r="G169" s="2" t="str">
        <f>VLOOKUP($F169,階級マスタ!$A:$B,2,FALSE)</f>
        <v>三</v>
      </c>
      <c r="H169" s="2">
        <v>2</v>
      </c>
      <c r="I169" s="2" t="str">
        <f>VLOOKUP($H169,分類マスタ!$A:$B,2,FALSE)</f>
        <v>柔法</v>
      </c>
      <c r="J169" s="3" t="s">
        <v>1136</v>
      </c>
      <c r="K169" s="3" t="s">
        <v>1152</v>
      </c>
      <c r="L169" s="3"/>
      <c r="M169" s="3" t="s">
        <v>1152</v>
      </c>
      <c r="N169" s="3"/>
      <c r="O169" s="7">
        <v>271</v>
      </c>
      <c r="P169" s="3" t="s">
        <v>1479</v>
      </c>
    </row>
    <row r="170" spans="1:16" x14ac:dyDescent="0.45">
      <c r="A170" s="3">
        <v>169</v>
      </c>
      <c r="B170" s="3">
        <v>9</v>
      </c>
      <c r="C170" s="2" t="str">
        <f>VLOOKUP($B170,拳系マスタ!$A:$B,2,FALSE)</f>
        <v>五花拳</v>
      </c>
      <c r="D170" s="3" t="s">
        <v>301</v>
      </c>
      <c r="E170" s="3" t="s">
        <v>1342</v>
      </c>
      <c r="F170" s="3">
        <v>9</v>
      </c>
      <c r="G170" s="2" t="str">
        <f>VLOOKUP($F170,階級マスタ!$A:$B,2,FALSE)</f>
        <v>三</v>
      </c>
      <c r="H170" s="2">
        <v>2</v>
      </c>
      <c r="I170" s="2" t="str">
        <f>VLOOKUP($H170,分類マスタ!$A:$B,2,FALSE)</f>
        <v>柔法</v>
      </c>
      <c r="J170" s="3" t="s">
        <v>1135</v>
      </c>
      <c r="K170" s="3" t="s">
        <v>1152</v>
      </c>
      <c r="L170" s="3"/>
      <c r="M170" s="3" t="s">
        <v>1152</v>
      </c>
      <c r="N170" s="3"/>
      <c r="O170" s="7">
        <v>272</v>
      </c>
      <c r="P170" s="3" t="s">
        <v>1480</v>
      </c>
    </row>
    <row r="171" spans="1:16" x14ac:dyDescent="0.45">
      <c r="A171" s="3">
        <v>170</v>
      </c>
      <c r="B171" s="3">
        <v>9</v>
      </c>
      <c r="C171" s="2" t="str">
        <f>VLOOKUP($B171,拳系マスタ!$A:$B,2,FALSE)</f>
        <v>五花拳</v>
      </c>
      <c r="D171" s="3" t="s">
        <v>302</v>
      </c>
      <c r="E171" s="3" t="s">
        <v>1343</v>
      </c>
      <c r="F171" s="3">
        <v>9</v>
      </c>
      <c r="G171" s="2" t="str">
        <f>VLOOKUP($F171,階級マスタ!$A:$B,2,FALSE)</f>
        <v>三</v>
      </c>
      <c r="H171" s="2">
        <v>2</v>
      </c>
      <c r="I171" s="2" t="str">
        <f>VLOOKUP($H171,分類マスタ!$A:$B,2,FALSE)</f>
        <v>柔法</v>
      </c>
      <c r="J171" s="3" t="s">
        <v>1136</v>
      </c>
      <c r="K171" s="3" t="s">
        <v>1152</v>
      </c>
      <c r="L171" s="3"/>
      <c r="M171" s="3" t="s">
        <v>1152</v>
      </c>
      <c r="N171" s="3"/>
      <c r="O171" s="7">
        <v>272</v>
      </c>
      <c r="P171" s="3" t="s">
        <v>1480</v>
      </c>
    </row>
    <row r="172" spans="1:16" x14ac:dyDescent="0.45">
      <c r="A172" s="3">
        <v>171</v>
      </c>
      <c r="B172" s="3">
        <v>9</v>
      </c>
      <c r="C172" s="2" t="str">
        <f>VLOOKUP($B172,拳系マスタ!$A:$B,2,FALSE)</f>
        <v>五花拳</v>
      </c>
      <c r="D172" s="3" t="s">
        <v>303</v>
      </c>
      <c r="E172" s="3" t="s">
        <v>1344</v>
      </c>
      <c r="F172" s="3">
        <v>9</v>
      </c>
      <c r="G172" s="2" t="str">
        <f>VLOOKUP($F172,階級マスタ!$A:$B,2,FALSE)</f>
        <v>三</v>
      </c>
      <c r="H172" s="2">
        <v>2</v>
      </c>
      <c r="I172" s="2" t="str">
        <f>VLOOKUP($H172,分類マスタ!$A:$B,2,FALSE)</f>
        <v>柔法</v>
      </c>
      <c r="J172" s="3" t="s">
        <v>1136</v>
      </c>
      <c r="K172" s="3" t="s">
        <v>1152</v>
      </c>
      <c r="L172" s="3"/>
      <c r="M172" s="3" t="s">
        <v>1152</v>
      </c>
      <c r="N172" s="3"/>
      <c r="O172" s="7">
        <v>273</v>
      </c>
      <c r="P172" s="3" t="s">
        <v>1480</v>
      </c>
    </row>
    <row r="173" spans="1:16" x14ac:dyDescent="0.45">
      <c r="A173" s="3">
        <v>172</v>
      </c>
      <c r="B173" s="3">
        <v>9</v>
      </c>
      <c r="C173" s="2" t="str">
        <f>VLOOKUP($B173,拳系マスタ!$A:$B,2,FALSE)</f>
        <v>五花拳</v>
      </c>
      <c r="D173" s="3" t="s">
        <v>304</v>
      </c>
      <c r="E173" s="3" t="s">
        <v>1345</v>
      </c>
      <c r="F173" s="3">
        <v>9</v>
      </c>
      <c r="G173" s="2" t="str">
        <f>VLOOKUP($F173,階級マスタ!$A:$B,2,FALSE)</f>
        <v>三</v>
      </c>
      <c r="H173" s="2">
        <v>2</v>
      </c>
      <c r="I173" s="2" t="str">
        <f>VLOOKUP($H173,分類マスタ!$A:$B,2,FALSE)</f>
        <v>柔法</v>
      </c>
      <c r="J173" s="3" t="s">
        <v>1135</v>
      </c>
      <c r="K173" s="3" t="s">
        <v>1152</v>
      </c>
      <c r="L173" s="3"/>
      <c r="M173" s="3" t="s">
        <v>1152</v>
      </c>
      <c r="N173" s="3"/>
      <c r="O173" s="7">
        <v>273</v>
      </c>
      <c r="P173" s="3" t="s">
        <v>1480</v>
      </c>
    </row>
    <row r="174" spans="1:16" x14ac:dyDescent="0.45">
      <c r="A174" s="3">
        <v>173</v>
      </c>
      <c r="B174" s="3">
        <v>9</v>
      </c>
      <c r="C174" s="2" t="str">
        <f>VLOOKUP($B174,拳系マスタ!$A:$B,2,FALSE)</f>
        <v>五花拳</v>
      </c>
      <c r="D174" s="3" t="s">
        <v>305</v>
      </c>
      <c r="E174" s="3" t="s">
        <v>1346</v>
      </c>
      <c r="F174" s="3">
        <v>10</v>
      </c>
      <c r="G174" s="2" t="str">
        <f>VLOOKUP($F174,階級マスタ!$A:$B,2,FALSE)</f>
        <v>四</v>
      </c>
      <c r="H174" s="2">
        <v>2</v>
      </c>
      <c r="I174" s="2" t="str">
        <f>VLOOKUP($H174,分類マスタ!$A:$B,2,FALSE)</f>
        <v>柔法</v>
      </c>
      <c r="J174" s="3" t="s">
        <v>277</v>
      </c>
      <c r="K174" s="3"/>
      <c r="L174" s="3"/>
      <c r="M174" s="3"/>
      <c r="N174" s="3"/>
      <c r="O174" s="7">
        <v>273</v>
      </c>
      <c r="P174" s="3" t="s">
        <v>1480</v>
      </c>
    </row>
    <row r="175" spans="1:16" x14ac:dyDescent="0.45">
      <c r="A175" s="3">
        <v>174</v>
      </c>
      <c r="B175" s="3">
        <v>9</v>
      </c>
      <c r="C175" s="2" t="str">
        <f>VLOOKUP($B175,拳系マスタ!$A:$B,2,FALSE)</f>
        <v>五花拳</v>
      </c>
      <c r="D175" s="3" t="s">
        <v>306</v>
      </c>
      <c r="E175" s="3" t="s">
        <v>1347</v>
      </c>
      <c r="F175" s="3">
        <v>11</v>
      </c>
      <c r="G175" s="2" t="str">
        <f>VLOOKUP($F175,階級マスタ!$A:$B,2,FALSE)</f>
        <v>五</v>
      </c>
      <c r="H175" s="2">
        <v>2</v>
      </c>
      <c r="I175" s="2" t="str">
        <f>VLOOKUP($H175,分類マスタ!$A:$B,2,FALSE)</f>
        <v>柔法</v>
      </c>
      <c r="J175" s="3" t="s">
        <v>1135</v>
      </c>
      <c r="K175" s="3"/>
      <c r="L175" s="3"/>
      <c r="M175" s="3" t="s">
        <v>277</v>
      </c>
      <c r="N175" s="3"/>
      <c r="O175" s="7">
        <v>273</v>
      </c>
      <c r="P175" s="3" t="s">
        <v>1480</v>
      </c>
    </row>
    <row r="176" spans="1:16" x14ac:dyDescent="0.45">
      <c r="A176" s="3">
        <v>175</v>
      </c>
      <c r="B176" s="3">
        <v>9</v>
      </c>
      <c r="C176" s="2" t="str">
        <f>VLOOKUP($B176,拳系マスタ!$A:$B,2,FALSE)</f>
        <v>五花拳</v>
      </c>
      <c r="D176" s="3" t="s">
        <v>308</v>
      </c>
      <c r="E176" s="3" t="s">
        <v>1348</v>
      </c>
      <c r="F176" s="3">
        <v>11</v>
      </c>
      <c r="G176" s="2" t="str">
        <f>VLOOKUP($F176,階級マスタ!$A:$B,2,FALSE)</f>
        <v>五</v>
      </c>
      <c r="H176" s="2">
        <v>2</v>
      </c>
      <c r="I176" s="2" t="str">
        <f>VLOOKUP($H176,分類マスタ!$A:$B,2,FALSE)</f>
        <v>柔法</v>
      </c>
      <c r="J176" s="3"/>
      <c r="K176" s="3"/>
      <c r="L176" s="3"/>
      <c r="M176" s="3"/>
      <c r="N176" s="3"/>
      <c r="O176" s="7">
        <v>274</v>
      </c>
      <c r="P176" s="3" t="s">
        <v>1481</v>
      </c>
    </row>
    <row r="177" spans="1:16" x14ac:dyDescent="0.45">
      <c r="A177" s="3">
        <v>176</v>
      </c>
      <c r="B177" s="3">
        <v>9</v>
      </c>
      <c r="C177" s="2" t="str">
        <f>VLOOKUP($B177,拳系マスタ!$A:$B,2,FALSE)</f>
        <v>五花拳</v>
      </c>
      <c r="D177" s="3" t="s">
        <v>309</v>
      </c>
      <c r="E177" s="3" t="s">
        <v>1349</v>
      </c>
      <c r="F177" s="3">
        <v>11</v>
      </c>
      <c r="G177" s="2" t="str">
        <f>VLOOKUP($F177,階級マスタ!$A:$B,2,FALSE)</f>
        <v>五</v>
      </c>
      <c r="H177" s="2">
        <v>2</v>
      </c>
      <c r="I177" s="2" t="str">
        <f>VLOOKUP($H177,分類マスタ!$A:$B,2,FALSE)</f>
        <v>柔法</v>
      </c>
      <c r="J177" s="3" t="s">
        <v>1136</v>
      </c>
      <c r="K177" s="3"/>
      <c r="L177" s="3"/>
      <c r="M177" s="3" t="s">
        <v>277</v>
      </c>
      <c r="N177" s="3"/>
      <c r="O177" s="7">
        <v>274</v>
      </c>
      <c r="P177" s="3" t="s">
        <v>1481</v>
      </c>
    </row>
    <row r="178" spans="1:16" x14ac:dyDescent="0.45">
      <c r="A178" s="3">
        <v>177</v>
      </c>
      <c r="B178" s="3">
        <v>9</v>
      </c>
      <c r="C178" s="2" t="str">
        <f>VLOOKUP($B178,拳系マスタ!$A:$B,2,FALSE)</f>
        <v>五花拳</v>
      </c>
      <c r="D178" s="3" t="s">
        <v>310</v>
      </c>
      <c r="E178" s="3" t="s">
        <v>1350</v>
      </c>
      <c r="F178" s="3">
        <v>11</v>
      </c>
      <c r="G178" s="2" t="str">
        <f>VLOOKUP($F178,階級マスタ!$A:$B,2,FALSE)</f>
        <v>五</v>
      </c>
      <c r="H178" s="2">
        <v>2</v>
      </c>
      <c r="I178" s="2" t="str">
        <f>VLOOKUP($H178,分類マスタ!$A:$B,2,FALSE)</f>
        <v>柔法</v>
      </c>
      <c r="J178" s="3" t="s">
        <v>1135</v>
      </c>
      <c r="K178" s="3" t="s">
        <v>1152</v>
      </c>
      <c r="L178" s="3"/>
      <c r="M178" s="3" t="s">
        <v>1163</v>
      </c>
      <c r="N178" s="3"/>
      <c r="O178" s="7">
        <v>274</v>
      </c>
      <c r="P178" s="3" t="s">
        <v>1481</v>
      </c>
    </row>
    <row r="179" spans="1:16" x14ac:dyDescent="0.45">
      <c r="A179" s="3">
        <v>178</v>
      </c>
      <c r="B179" s="3">
        <v>9</v>
      </c>
      <c r="C179" s="2" t="str">
        <f>VLOOKUP($B179,拳系マスタ!$A:$B,2,FALSE)</f>
        <v>五花拳</v>
      </c>
      <c r="D179" s="3" t="s">
        <v>311</v>
      </c>
      <c r="E179" s="3" t="s">
        <v>1351</v>
      </c>
      <c r="F179" s="3">
        <v>10</v>
      </c>
      <c r="G179" s="2" t="str">
        <f>VLOOKUP($F179,階級マスタ!$A:$B,2,FALSE)</f>
        <v>四</v>
      </c>
      <c r="H179" s="2">
        <v>2</v>
      </c>
      <c r="I179" s="2" t="str">
        <f>VLOOKUP($H179,分類マスタ!$A:$B,2,FALSE)</f>
        <v>柔法</v>
      </c>
      <c r="J179" s="3" t="s">
        <v>312</v>
      </c>
      <c r="K179" s="3"/>
      <c r="L179" s="3"/>
      <c r="M179" s="3"/>
      <c r="N179" s="3"/>
      <c r="O179" s="7">
        <v>274</v>
      </c>
      <c r="P179" s="3" t="s">
        <v>1481</v>
      </c>
    </row>
    <row r="180" spans="1:16" x14ac:dyDescent="0.45">
      <c r="A180" s="3">
        <v>179</v>
      </c>
      <c r="B180" s="3">
        <v>9</v>
      </c>
      <c r="C180" s="2" t="str">
        <f>VLOOKUP($B180,拳系マスタ!$A:$B,2,FALSE)</f>
        <v>五花拳</v>
      </c>
      <c r="D180" s="3" t="s">
        <v>313</v>
      </c>
      <c r="E180" s="3" t="s">
        <v>1352</v>
      </c>
      <c r="F180" s="3">
        <v>11</v>
      </c>
      <c r="G180" s="2" t="str">
        <f>VLOOKUP($F180,階級マスタ!$A:$B,2,FALSE)</f>
        <v>五</v>
      </c>
      <c r="H180" s="2">
        <v>2</v>
      </c>
      <c r="I180" s="2" t="str">
        <f>VLOOKUP($H180,分類マスタ!$A:$B,2,FALSE)</f>
        <v>柔法</v>
      </c>
      <c r="J180" s="3" t="s">
        <v>1135</v>
      </c>
      <c r="K180" s="3" t="s">
        <v>1152</v>
      </c>
      <c r="L180" s="3"/>
      <c r="M180" s="3" t="s">
        <v>1163</v>
      </c>
      <c r="N180" s="3"/>
      <c r="O180" s="7">
        <v>274</v>
      </c>
      <c r="P180" s="3" t="s">
        <v>1481</v>
      </c>
    </row>
    <row r="181" spans="1:16" x14ac:dyDescent="0.45">
      <c r="A181" s="3">
        <v>180</v>
      </c>
      <c r="B181" s="3">
        <v>9</v>
      </c>
      <c r="C181" s="2" t="str">
        <f>VLOOKUP($B181,拳系マスタ!$A:$B,2,FALSE)</f>
        <v>五花拳</v>
      </c>
      <c r="D181" s="3" t="s">
        <v>314</v>
      </c>
      <c r="E181" s="3" t="s">
        <v>1353</v>
      </c>
      <c r="F181" s="3">
        <v>11</v>
      </c>
      <c r="G181" s="2" t="str">
        <f>VLOOKUP($F181,階級マスタ!$A:$B,2,FALSE)</f>
        <v>五</v>
      </c>
      <c r="H181" s="2">
        <v>2</v>
      </c>
      <c r="I181" s="2" t="str">
        <f>VLOOKUP($H181,分類マスタ!$A:$B,2,FALSE)</f>
        <v>柔法</v>
      </c>
      <c r="J181" s="3"/>
      <c r="K181" s="3"/>
      <c r="L181" s="3"/>
      <c r="M181" s="3"/>
      <c r="N181" s="3"/>
      <c r="O181" s="7">
        <v>275</v>
      </c>
      <c r="P181" s="3" t="s">
        <v>1481</v>
      </c>
    </row>
    <row r="182" spans="1:16" x14ac:dyDescent="0.45">
      <c r="A182" s="3">
        <v>181</v>
      </c>
      <c r="B182" s="3">
        <v>9</v>
      </c>
      <c r="C182" s="2" t="str">
        <f>VLOOKUP($B182,拳系マスタ!$A:$B,2,FALSE)</f>
        <v>五花拳</v>
      </c>
      <c r="D182" s="3" t="s">
        <v>315</v>
      </c>
      <c r="E182" s="3" t="s">
        <v>1354</v>
      </c>
      <c r="F182" s="3">
        <v>11</v>
      </c>
      <c r="G182" s="2" t="str">
        <f>VLOOKUP($F182,階級マスタ!$A:$B,2,FALSE)</f>
        <v>五</v>
      </c>
      <c r="H182" s="2">
        <v>2</v>
      </c>
      <c r="I182" s="2" t="str">
        <f>VLOOKUP($H182,分類マスタ!$A:$B,2,FALSE)</f>
        <v>柔法</v>
      </c>
      <c r="J182" s="3"/>
      <c r="K182" s="3"/>
      <c r="L182" s="3"/>
      <c r="M182" s="3"/>
      <c r="N182" s="3"/>
      <c r="O182" s="7">
        <v>276</v>
      </c>
      <c r="P182" s="3" t="s">
        <v>1482</v>
      </c>
    </row>
    <row r="183" spans="1:16" x14ac:dyDescent="0.45">
      <c r="A183" s="3">
        <v>182</v>
      </c>
      <c r="B183" s="3">
        <v>9</v>
      </c>
      <c r="C183" s="2" t="str">
        <f>VLOOKUP($B183,拳系マスタ!$A:$B,2,FALSE)</f>
        <v>五花拳</v>
      </c>
      <c r="D183" s="3" t="s">
        <v>316</v>
      </c>
      <c r="E183" s="3" t="s">
        <v>1355</v>
      </c>
      <c r="F183" s="3">
        <v>11</v>
      </c>
      <c r="G183" s="2" t="str">
        <f>VLOOKUP($F183,階級マスタ!$A:$B,2,FALSE)</f>
        <v>五</v>
      </c>
      <c r="H183" s="2">
        <v>2</v>
      </c>
      <c r="I183" s="2" t="str">
        <f>VLOOKUP($H183,分類マスタ!$A:$B,2,FALSE)</f>
        <v>柔法</v>
      </c>
      <c r="J183" s="3"/>
      <c r="K183" s="3"/>
      <c r="L183" s="3"/>
      <c r="M183" s="3"/>
      <c r="N183" s="3"/>
      <c r="O183" s="7">
        <v>276</v>
      </c>
      <c r="P183" s="3" t="s">
        <v>1482</v>
      </c>
    </row>
    <row r="184" spans="1:16" x14ac:dyDescent="0.45">
      <c r="A184" s="3">
        <v>183</v>
      </c>
      <c r="B184" s="3">
        <v>9</v>
      </c>
      <c r="C184" s="2" t="str">
        <f>VLOOKUP($B184,拳系マスタ!$A:$B,2,FALSE)</f>
        <v>五花拳</v>
      </c>
      <c r="D184" s="3" t="s">
        <v>317</v>
      </c>
      <c r="E184" s="3" t="s">
        <v>1356</v>
      </c>
      <c r="F184" s="3">
        <v>11</v>
      </c>
      <c r="G184" s="2" t="str">
        <f>VLOOKUP($F184,階級マスタ!$A:$B,2,FALSE)</f>
        <v>五</v>
      </c>
      <c r="H184" s="2">
        <v>2</v>
      </c>
      <c r="I184" s="2" t="str">
        <f>VLOOKUP($H184,分類マスタ!$A:$B,2,FALSE)</f>
        <v>柔法</v>
      </c>
      <c r="J184" s="3"/>
      <c r="K184" s="3"/>
      <c r="L184" s="3"/>
      <c r="M184" s="3"/>
      <c r="N184" s="3"/>
      <c r="O184" s="7">
        <v>276</v>
      </c>
      <c r="P184" s="3" t="s">
        <v>1482</v>
      </c>
    </row>
    <row r="185" spans="1:16" x14ac:dyDescent="0.45">
      <c r="A185" s="3">
        <v>184</v>
      </c>
      <c r="B185" s="3">
        <v>9</v>
      </c>
      <c r="C185" s="2" t="str">
        <f>VLOOKUP($B185,拳系マスタ!$A:$B,2,FALSE)</f>
        <v>五花拳</v>
      </c>
      <c r="D185" s="3" t="s">
        <v>318</v>
      </c>
      <c r="E185" s="3" t="s">
        <v>1357</v>
      </c>
      <c r="F185" s="3">
        <v>7</v>
      </c>
      <c r="G185" s="2" t="str">
        <f>VLOOKUP($F185,階級マスタ!$A:$B,2,FALSE)</f>
        <v>初</v>
      </c>
      <c r="H185" s="2">
        <v>2</v>
      </c>
      <c r="I185" s="2" t="str">
        <f>VLOOKUP($H185,分類マスタ!$A:$B,2,FALSE)</f>
        <v>柔法</v>
      </c>
      <c r="J185" s="3" t="s">
        <v>1136</v>
      </c>
      <c r="K185" s="3" t="s">
        <v>1152</v>
      </c>
      <c r="L185" s="3"/>
      <c r="M185" s="3" t="s">
        <v>1152</v>
      </c>
      <c r="N185" s="3"/>
      <c r="O185" s="7">
        <v>277</v>
      </c>
      <c r="P185" s="3" t="s">
        <v>1482</v>
      </c>
    </row>
    <row r="186" spans="1:16" x14ac:dyDescent="0.45">
      <c r="A186" s="3">
        <v>185</v>
      </c>
      <c r="B186" s="3">
        <v>9</v>
      </c>
      <c r="C186" s="2" t="str">
        <f>VLOOKUP($B186,拳系マスタ!$A:$B,2,FALSE)</f>
        <v>五花拳</v>
      </c>
      <c r="D186" s="3" t="s">
        <v>319</v>
      </c>
      <c r="E186" s="3" t="s">
        <v>1358</v>
      </c>
      <c r="F186" s="3">
        <v>8</v>
      </c>
      <c r="G186" s="2" t="str">
        <f>VLOOKUP($F186,階級マスタ!$A:$B,2,FALSE)</f>
        <v>二</v>
      </c>
      <c r="H186" s="2">
        <v>2</v>
      </c>
      <c r="I186" s="2" t="str">
        <f>VLOOKUP($H186,分類マスタ!$A:$B,2,FALSE)</f>
        <v>柔法</v>
      </c>
      <c r="J186" s="3" t="s">
        <v>329</v>
      </c>
      <c r="K186" s="3"/>
      <c r="L186" s="3"/>
      <c r="M186" s="3"/>
      <c r="N186" s="3"/>
      <c r="O186" s="7">
        <v>277</v>
      </c>
      <c r="P186" s="3" t="s">
        <v>1482</v>
      </c>
    </row>
    <row r="187" spans="1:16" x14ac:dyDescent="0.45">
      <c r="A187" s="3">
        <v>186</v>
      </c>
      <c r="B187" s="3">
        <v>9</v>
      </c>
      <c r="C187" s="2" t="str">
        <f>VLOOKUP($B187,拳系マスタ!$A:$B,2,FALSE)</f>
        <v>五花拳</v>
      </c>
      <c r="D187" s="3" t="s">
        <v>321</v>
      </c>
      <c r="E187" s="3" t="s">
        <v>1359</v>
      </c>
      <c r="F187" s="3">
        <v>10</v>
      </c>
      <c r="G187" s="2" t="str">
        <f>VLOOKUP($F187,階級マスタ!$A:$B,2,FALSE)</f>
        <v>四</v>
      </c>
      <c r="H187" s="2">
        <v>2</v>
      </c>
      <c r="I187" s="2" t="str">
        <f>VLOOKUP($H187,分類マスタ!$A:$B,2,FALSE)</f>
        <v>柔法</v>
      </c>
      <c r="J187" s="3" t="s">
        <v>1135</v>
      </c>
      <c r="K187" s="3" t="s">
        <v>1152</v>
      </c>
      <c r="L187" s="3"/>
      <c r="M187" s="3" t="s">
        <v>1151</v>
      </c>
      <c r="N187" s="3"/>
      <c r="O187" s="7">
        <v>278</v>
      </c>
      <c r="P187" s="3" t="s">
        <v>1483</v>
      </c>
    </row>
    <row r="188" spans="1:16" x14ac:dyDescent="0.45">
      <c r="A188" s="3">
        <v>187</v>
      </c>
      <c r="B188" s="3">
        <v>9</v>
      </c>
      <c r="C188" s="2" t="str">
        <f>VLOOKUP($B188,拳系マスタ!$A:$B,2,FALSE)</f>
        <v>五花拳</v>
      </c>
      <c r="D188" s="3" t="s">
        <v>322</v>
      </c>
      <c r="E188" s="3" t="s">
        <v>1360</v>
      </c>
      <c r="F188" s="3">
        <v>8</v>
      </c>
      <c r="G188" s="2" t="str">
        <f>VLOOKUP($F188,階級マスタ!$A:$B,2,FALSE)</f>
        <v>二</v>
      </c>
      <c r="H188" s="2">
        <v>2</v>
      </c>
      <c r="I188" s="2" t="str">
        <f>VLOOKUP($H188,分類マスタ!$A:$B,2,FALSE)</f>
        <v>柔法</v>
      </c>
      <c r="J188" s="3" t="s">
        <v>1136</v>
      </c>
      <c r="K188" s="3" t="s">
        <v>1152</v>
      </c>
      <c r="L188" s="3"/>
      <c r="M188" s="3" t="s">
        <v>1152</v>
      </c>
      <c r="N188" s="3"/>
      <c r="O188" s="7">
        <v>278</v>
      </c>
      <c r="P188" s="3" t="s">
        <v>1483</v>
      </c>
    </row>
    <row r="189" spans="1:16" x14ac:dyDescent="0.45">
      <c r="A189" s="3">
        <v>188</v>
      </c>
      <c r="B189" s="3">
        <v>9</v>
      </c>
      <c r="C189" s="2" t="str">
        <f>VLOOKUP($B189,拳系マスタ!$A:$B,2,FALSE)</f>
        <v>五花拳</v>
      </c>
      <c r="D189" s="3" t="s">
        <v>323</v>
      </c>
      <c r="E189" s="3" t="s">
        <v>1361</v>
      </c>
      <c r="F189" s="3">
        <v>9</v>
      </c>
      <c r="G189" s="2" t="str">
        <f>VLOOKUP($F189,階級マスタ!$A:$B,2,FALSE)</f>
        <v>三</v>
      </c>
      <c r="H189" s="2">
        <v>2</v>
      </c>
      <c r="I189" s="2" t="str">
        <f>VLOOKUP($H189,分類マスタ!$A:$B,2,FALSE)</f>
        <v>柔法</v>
      </c>
      <c r="J189" s="3" t="s">
        <v>277</v>
      </c>
      <c r="K189" s="3"/>
      <c r="L189" s="3"/>
      <c r="M189" s="3"/>
      <c r="N189" s="3"/>
      <c r="O189" s="7">
        <v>278</v>
      </c>
      <c r="P189" s="3" t="s">
        <v>1483</v>
      </c>
    </row>
    <row r="190" spans="1:16" x14ac:dyDescent="0.45">
      <c r="A190" s="3">
        <v>189</v>
      </c>
      <c r="B190" s="3">
        <v>10</v>
      </c>
      <c r="C190" s="2" t="str">
        <f>VLOOKUP($B190,拳系マスタ!$A:$B,2,FALSE)</f>
        <v>金剛拳</v>
      </c>
      <c r="D190" s="3" t="s">
        <v>325</v>
      </c>
      <c r="E190" s="3" t="s">
        <v>1362</v>
      </c>
      <c r="F190" s="3">
        <v>1</v>
      </c>
      <c r="G190" s="2" t="str">
        <f>VLOOKUP($F190,階級マスタ!$A:$B,2,FALSE)</f>
        <v>⑥</v>
      </c>
      <c r="H190" s="2">
        <v>2</v>
      </c>
      <c r="I190" s="2" t="str">
        <f>VLOOKUP($H190,分類マスタ!$A:$B,2,FALSE)</f>
        <v>柔法</v>
      </c>
      <c r="J190" s="3" t="s">
        <v>1136</v>
      </c>
      <c r="K190" s="3" t="s">
        <v>1152</v>
      </c>
      <c r="L190" s="3"/>
      <c r="M190" s="3" t="s">
        <v>1152</v>
      </c>
      <c r="N190" s="3"/>
      <c r="O190" s="7">
        <v>284</v>
      </c>
      <c r="P190" s="3" t="s">
        <v>1484</v>
      </c>
    </row>
    <row r="191" spans="1:16" x14ac:dyDescent="0.45">
      <c r="A191" s="3">
        <v>190</v>
      </c>
      <c r="B191" s="3">
        <v>10</v>
      </c>
      <c r="C191" s="2" t="str">
        <f>VLOOKUP($B191,拳系マスタ!$A:$B,2,FALSE)</f>
        <v>金剛拳</v>
      </c>
      <c r="D191" s="3" t="s">
        <v>326</v>
      </c>
      <c r="E191" s="3" t="s">
        <v>1363</v>
      </c>
      <c r="F191" s="3">
        <v>3</v>
      </c>
      <c r="G191" s="2" t="str">
        <f>VLOOKUP($F191,階級マスタ!$A:$B,2,FALSE)</f>
        <v>④</v>
      </c>
      <c r="H191" s="2">
        <v>2</v>
      </c>
      <c r="I191" s="2" t="str">
        <f>VLOOKUP($H191,分類マスタ!$A:$B,2,FALSE)</f>
        <v>柔法</v>
      </c>
      <c r="J191" s="3"/>
      <c r="K191" s="3"/>
      <c r="L191" s="3"/>
      <c r="M191" s="3"/>
      <c r="N191" s="3"/>
      <c r="O191" s="7">
        <v>285</v>
      </c>
      <c r="P191" s="3" t="s">
        <v>1484</v>
      </c>
    </row>
    <row r="192" spans="1:16" x14ac:dyDescent="0.45">
      <c r="A192" s="3">
        <v>191</v>
      </c>
      <c r="B192" s="3">
        <v>10</v>
      </c>
      <c r="C192" s="2" t="str">
        <f>VLOOKUP($B192,拳系マスタ!$A:$B,2,FALSE)</f>
        <v>金剛拳</v>
      </c>
      <c r="D192" s="3" t="s">
        <v>327</v>
      </c>
      <c r="E192" s="3" t="s">
        <v>1364</v>
      </c>
      <c r="F192" s="3">
        <v>5</v>
      </c>
      <c r="G192" s="2" t="str">
        <f>VLOOKUP($F192,階級マスタ!$A:$B,2,FALSE)</f>
        <v>②</v>
      </c>
      <c r="H192" s="2">
        <v>2</v>
      </c>
      <c r="I192" s="2" t="str">
        <f>VLOOKUP($H192,分類マスタ!$A:$B,2,FALSE)</f>
        <v>柔法</v>
      </c>
      <c r="J192" s="3"/>
      <c r="K192" s="3"/>
      <c r="L192" s="3"/>
      <c r="M192" s="3"/>
      <c r="N192" s="3"/>
      <c r="O192" s="7">
        <v>286</v>
      </c>
      <c r="P192" s="3" t="s">
        <v>1485</v>
      </c>
    </row>
    <row r="193" spans="1:16" x14ac:dyDescent="0.45">
      <c r="A193" s="3">
        <v>192</v>
      </c>
      <c r="B193" s="3">
        <v>10</v>
      </c>
      <c r="C193" s="2" t="str">
        <f>VLOOKUP($B193,拳系マスタ!$A:$B,2,FALSE)</f>
        <v>金剛拳</v>
      </c>
      <c r="D193" s="3" t="s">
        <v>1365</v>
      </c>
      <c r="E193" s="3" t="s">
        <v>1366</v>
      </c>
      <c r="F193" s="3">
        <v>8</v>
      </c>
      <c r="G193" s="2" t="str">
        <f>VLOOKUP($F193,階級マスタ!$A:$B,2,FALSE)</f>
        <v>二</v>
      </c>
      <c r="H193" s="2">
        <v>2</v>
      </c>
      <c r="I193" s="2" t="str">
        <f>VLOOKUP($H193,分類マスタ!$A:$B,2,FALSE)</f>
        <v>柔法</v>
      </c>
      <c r="J193" s="3" t="s">
        <v>329</v>
      </c>
      <c r="K193" s="3"/>
      <c r="L193" s="3"/>
      <c r="M193" s="3"/>
      <c r="N193" s="3"/>
      <c r="O193" s="7">
        <v>286</v>
      </c>
      <c r="P193" s="3" t="s">
        <v>1485</v>
      </c>
    </row>
    <row r="194" spans="1:16" x14ac:dyDescent="0.45">
      <c r="A194" s="3">
        <v>193</v>
      </c>
      <c r="B194" s="3">
        <v>10</v>
      </c>
      <c r="C194" s="2" t="str">
        <f>VLOOKUP($B194,拳系マスタ!$A:$B,2,FALSE)</f>
        <v>金剛拳</v>
      </c>
      <c r="D194" s="3" t="s">
        <v>330</v>
      </c>
      <c r="E194" s="3" t="s">
        <v>1367</v>
      </c>
      <c r="F194" s="3">
        <v>8</v>
      </c>
      <c r="G194" s="2" t="str">
        <f>VLOOKUP($F194,階級マスタ!$A:$B,2,FALSE)</f>
        <v>二</v>
      </c>
      <c r="H194" s="2">
        <v>2</v>
      </c>
      <c r="I194" s="2" t="str">
        <f>VLOOKUP($H194,分類マスタ!$A:$B,2,FALSE)</f>
        <v>柔法</v>
      </c>
      <c r="J194" s="3" t="s">
        <v>1135</v>
      </c>
      <c r="K194" s="3" t="s">
        <v>1152</v>
      </c>
      <c r="L194" s="3"/>
      <c r="M194" s="3" t="s">
        <v>1152</v>
      </c>
      <c r="N194" s="3"/>
      <c r="O194" s="7">
        <v>286</v>
      </c>
      <c r="P194" s="3" t="s">
        <v>1485</v>
      </c>
    </row>
    <row r="195" spans="1:16" x14ac:dyDescent="0.45">
      <c r="A195" s="3">
        <v>194</v>
      </c>
      <c r="B195" s="3">
        <v>10</v>
      </c>
      <c r="C195" s="2" t="str">
        <f>VLOOKUP($B195,拳系マスタ!$A:$B,2,FALSE)</f>
        <v>金剛拳</v>
      </c>
      <c r="D195" s="3" t="s">
        <v>331</v>
      </c>
      <c r="E195" s="3" t="s">
        <v>1368</v>
      </c>
      <c r="F195" s="3">
        <v>10</v>
      </c>
      <c r="G195" s="2" t="str">
        <f>VLOOKUP($F195,階級マスタ!$A:$B,2,FALSE)</f>
        <v>四</v>
      </c>
      <c r="H195" s="2">
        <v>2</v>
      </c>
      <c r="I195" s="2" t="str">
        <f>VLOOKUP($H195,分類マスタ!$A:$B,2,FALSE)</f>
        <v>柔法</v>
      </c>
      <c r="J195" s="3" t="s">
        <v>312</v>
      </c>
      <c r="K195" s="3"/>
      <c r="L195" s="3"/>
      <c r="M195" s="3"/>
      <c r="N195" s="3"/>
      <c r="O195" s="7">
        <v>286</v>
      </c>
      <c r="P195" s="3" t="s">
        <v>1485</v>
      </c>
    </row>
    <row r="196" spans="1:16" x14ac:dyDescent="0.45">
      <c r="A196" s="3">
        <v>195</v>
      </c>
      <c r="B196" s="3">
        <v>10</v>
      </c>
      <c r="C196" s="2" t="str">
        <f>VLOOKUP($B196,拳系マスタ!$A:$B,2,FALSE)</f>
        <v>金剛拳</v>
      </c>
      <c r="D196" s="3" t="s">
        <v>332</v>
      </c>
      <c r="E196" s="3" t="s">
        <v>1369</v>
      </c>
      <c r="F196" s="3">
        <v>2</v>
      </c>
      <c r="G196" s="2" t="str">
        <f>VLOOKUP($F196,階級マスタ!$A:$B,2,FALSE)</f>
        <v>⑤</v>
      </c>
      <c r="H196" s="2">
        <v>2</v>
      </c>
      <c r="I196" s="2" t="str">
        <f>VLOOKUP($H196,分類マスタ!$A:$B,2,FALSE)</f>
        <v>柔法</v>
      </c>
      <c r="J196" s="3"/>
      <c r="K196" s="3"/>
      <c r="L196" s="3"/>
      <c r="M196" s="3"/>
      <c r="N196" s="3"/>
      <c r="O196" s="7">
        <v>286</v>
      </c>
      <c r="P196" s="3" t="s">
        <v>1485</v>
      </c>
    </row>
    <row r="197" spans="1:16" x14ac:dyDescent="0.45">
      <c r="A197" s="3">
        <v>196</v>
      </c>
      <c r="B197" s="3">
        <v>10</v>
      </c>
      <c r="C197" s="2" t="str">
        <f>VLOOKUP($B197,拳系マスタ!$A:$B,2,FALSE)</f>
        <v>金剛拳</v>
      </c>
      <c r="D197" s="3" t="s">
        <v>333</v>
      </c>
      <c r="E197" s="3" t="s">
        <v>1370</v>
      </c>
      <c r="F197" s="3">
        <v>9</v>
      </c>
      <c r="G197" s="2" t="str">
        <f>VLOOKUP($F197,階級マスタ!$A:$B,2,FALSE)</f>
        <v>三</v>
      </c>
      <c r="H197" s="2">
        <v>2</v>
      </c>
      <c r="I197" s="2" t="str">
        <f>VLOOKUP($H197,分類マスタ!$A:$B,2,FALSE)</f>
        <v>柔法</v>
      </c>
      <c r="J197" s="3" t="s">
        <v>334</v>
      </c>
      <c r="K197" s="3"/>
      <c r="L197" s="3"/>
      <c r="M197" s="3"/>
      <c r="N197" s="3"/>
      <c r="O197" s="7">
        <v>287</v>
      </c>
      <c r="P197" s="3" t="s">
        <v>1485</v>
      </c>
    </row>
    <row r="198" spans="1:16" x14ac:dyDescent="0.45">
      <c r="A198" s="3">
        <v>197</v>
      </c>
      <c r="B198" s="3">
        <v>10</v>
      </c>
      <c r="C198" s="2" t="str">
        <f>VLOOKUP($B198,拳系マスタ!$A:$B,2,FALSE)</f>
        <v>金剛拳</v>
      </c>
      <c r="D198" s="3" t="s">
        <v>336</v>
      </c>
      <c r="E198" s="3" t="s">
        <v>1371</v>
      </c>
      <c r="F198" s="3">
        <v>6</v>
      </c>
      <c r="G198" s="2" t="str">
        <f>VLOOKUP($F198,階級マスタ!$A:$B,2,FALSE)</f>
        <v>①</v>
      </c>
      <c r="H198" s="2">
        <v>2</v>
      </c>
      <c r="I198" s="2" t="str">
        <f>VLOOKUP($H198,分類マスタ!$A:$B,2,FALSE)</f>
        <v>柔法</v>
      </c>
      <c r="J198" s="3"/>
      <c r="K198" s="3"/>
      <c r="L198" s="3"/>
      <c r="M198" s="3"/>
      <c r="N198" s="3"/>
      <c r="O198" s="7">
        <v>287</v>
      </c>
      <c r="P198" s="3" t="s">
        <v>1485</v>
      </c>
    </row>
    <row r="199" spans="1:16" x14ac:dyDescent="0.45">
      <c r="A199" s="3">
        <v>198</v>
      </c>
      <c r="B199" s="3">
        <v>10</v>
      </c>
      <c r="C199" s="2" t="str">
        <f>VLOOKUP($B199,拳系マスタ!$A:$B,2,FALSE)</f>
        <v>金剛拳</v>
      </c>
      <c r="D199" s="3" t="s">
        <v>337</v>
      </c>
      <c r="E199" s="3" t="s">
        <v>1372</v>
      </c>
      <c r="F199" s="3">
        <v>10</v>
      </c>
      <c r="G199" s="2" t="str">
        <f>VLOOKUP($F199,階級マスタ!$A:$B,2,FALSE)</f>
        <v>四</v>
      </c>
      <c r="H199" s="2">
        <v>2</v>
      </c>
      <c r="I199" s="2" t="str">
        <f>VLOOKUP($H199,分類マスタ!$A:$B,2,FALSE)</f>
        <v>柔法</v>
      </c>
      <c r="J199" s="3"/>
      <c r="K199" s="3"/>
      <c r="L199" s="3"/>
      <c r="M199" s="3"/>
      <c r="N199" s="3"/>
      <c r="O199" s="7">
        <v>287</v>
      </c>
      <c r="P199" s="3" t="s">
        <v>1485</v>
      </c>
    </row>
    <row r="200" spans="1:16" x14ac:dyDescent="0.45">
      <c r="A200" s="3">
        <v>199</v>
      </c>
      <c r="B200" s="3">
        <v>10</v>
      </c>
      <c r="C200" s="2" t="str">
        <f>VLOOKUP($B200,拳系マスタ!$A:$B,2,FALSE)</f>
        <v>金剛拳</v>
      </c>
      <c r="D200" s="3" t="s">
        <v>338</v>
      </c>
      <c r="E200" s="3" t="s">
        <v>1373</v>
      </c>
      <c r="F200" s="3">
        <v>4</v>
      </c>
      <c r="G200" s="2" t="str">
        <f>VLOOKUP($F200,階級マスタ!$A:$B,2,FALSE)</f>
        <v>③</v>
      </c>
      <c r="H200" s="2">
        <v>2</v>
      </c>
      <c r="I200" s="2" t="str">
        <f>VLOOKUP($H200,分類マスタ!$A:$B,2,FALSE)</f>
        <v>柔法</v>
      </c>
      <c r="J200" s="3"/>
      <c r="K200" s="3"/>
      <c r="L200" s="3"/>
      <c r="M200" s="3"/>
      <c r="N200" s="3"/>
      <c r="O200" s="7">
        <v>288</v>
      </c>
      <c r="P200" s="3" t="s">
        <v>1486</v>
      </c>
    </row>
    <row r="201" spans="1:16" x14ac:dyDescent="0.45">
      <c r="A201" s="3">
        <v>200</v>
      </c>
      <c r="B201" s="3">
        <v>10</v>
      </c>
      <c r="C201" s="2" t="str">
        <f>VLOOKUP($B201,拳系マスタ!$A:$B,2,FALSE)</f>
        <v>金剛拳</v>
      </c>
      <c r="D201" s="3" t="s">
        <v>339</v>
      </c>
      <c r="E201" s="3" t="s">
        <v>1374</v>
      </c>
      <c r="F201" s="3">
        <v>8</v>
      </c>
      <c r="G201" s="2" t="str">
        <f>VLOOKUP($F201,階級マスタ!$A:$B,2,FALSE)</f>
        <v>二</v>
      </c>
      <c r="H201" s="2">
        <v>2</v>
      </c>
      <c r="I201" s="2" t="str">
        <f>VLOOKUP($H201,分類マスタ!$A:$B,2,FALSE)</f>
        <v>柔法</v>
      </c>
      <c r="J201" s="3" t="s">
        <v>1135</v>
      </c>
      <c r="K201" s="3" t="s">
        <v>1152</v>
      </c>
      <c r="L201" s="3"/>
      <c r="M201" s="3" t="s">
        <v>1152</v>
      </c>
      <c r="N201" s="3"/>
      <c r="O201" s="7">
        <v>288</v>
      </c>
      <c r="P201" s="3" t="s">
        <v>1486</v>
      </c>
    </row>
    <row r="202" spans="1:16" x14ac:dyDescent="0.45">
      <c r="A202" s="3">
        <v>201</v>
      </c>
      <c r="B202" s="3">
        <v>10</v>
      </c>
      <c r="C202" s="2" t="str">
        <f>VLOOKUP($B202,拳系マスタ!$A:$B,2,FALSE)</f>
        <v>金剛拳</v>
      </c>
      <c r="D202" s="3" t="s">
        <v>340</v>
      </c>
      <c r="E202" s="3" t="s">
        <v>1375</v>
      </c>
      <c r="F202" s="3">
        <v>8</v>
      </c>
      <c r="G202" s="2" t="str">
        <f>VLOOKUP($F202,階級マスタ!$A:$B,2,FALSE)</f>
        <v>二</v>
      </c>
      <c r="H202" s="2">
        <v>2</v>
      </c>
      <c r="I202" s="2" t="str">
        <f>VLOOKUP($H202,分類マスタ!$A:$B,2,FALSE)</f>
        <v>柔法</v>
      </c>
      <c r="J202" s="3" t="s">
        <v>1135</v>
      </c>
      <c r="K202" s="3" t="s">
        <v>1152</v>
      </c>
      <c r="L202" s="3"/>
      <c r="M202" s="3" t="s">
        <v>1152</v>
      </c>
      <c r="N202" s="3"/>
      <c r="O202" s="7">
        <v>288</v>
      </c>
      <c r="P202" s="3" t="s">
        <v>1486</v>
      </c>
    </row>
    <row r="203" spans="1:16" x14ac:dyDescent="0.45">
      <c r="A203" s="3">
        <v>202</v>
      </c>
      <c r="B203" s="3">
        <v>10</v>
      </c>
      <c r="C203" s="2" t="str">
        <f>VLOOKUP($B203,拳系マスタ!$A:$B,2,FALSE)</f>
        <v>金剛拳</v>
      </c>
      <c r="D203" s="3" t="s">
        <v>341</v>
      </c>
      <c r="E203" s="3" t="s">
        <v>1376</v>
      </c>
      <c r="F203" s="3">
        <v>10</v>
      </c>
      <c r="G203" s="2" t="str">
        <f>VLOOKUP($F203,階級マスタ!$A:$B,2,FALSE)</f>
        <v>四</v>
      </c>
      <c r="H203" s="2">
        <v>2</v>
      </c>
      <c r="I203" s="2" t="str">
        <f>VLOOKUP($H203,分類マスタ!$A:$B,2,FALSE)</f>
        <v>柔法</v>
      </c>
      <c r="J203" s="3"/>
      <c r="K203" s="3"/>
      <c r="L203" s="3"/>
      <c r="M203" s="3"/>
      <c r="N203" s="3"/>
      <c r="O203" s="7">
        <v>289</v>
      </c>
      <c r="P203" s="3" t="s">
        <v>1486</v>
      </c>
    </row>
    <row r="204" spans="1:16" x14ac:dyDescent="0.45">
      <c r="A204" s="3">
        <v>203</v>
      </c>
      <c r="B204" s="3">
        <v>10</v>
      </c>
      <c r="C204" s="2" t="str">
        <f>VLOOKUP($B204,拳系マスタ!$A:$B,2,FALSE)</f>
        <v>金剛拳</v>
      </c>
      <c r="D204" s="3" t="s">
        <v>342</v>
      </c>
      <c r="E204" s="3" t="s">
        <v>1377</v>
      </c>
      <c r="F204" s="3">
        <v>7</v>
      </c>
      <c r="G204" s="2" t="str">
        <f>VLOOKUP($F204,階級マスタ!$A:$B,2,FALSE)</f>
        <v>初</v>
      </c>
      <c r="H204" s="2">
        <v>2</v>
      </c>
      <c r="I204" s="2" t="str">
        <f>VLOOKUP($H204,分類マスタ!$A:$B,2,FALSE)</f>
        <v>柔法</v>
      </c>
      <c r="J204" s="3"/>
      <c r="K204" s="3"/>
      <c r="L204" s="3"/>
      <c r="M204" s="3"/>
      <c r="N204" s="3"/>
      <c r="O204" s="7">
        <v>289</v>
      </c>
      <c r="P204" s="3" t="s">
        <v>1486</v>
      </c>
    </row>
    <row r="205" spans="1:16" x14ac:dyDescent="0.45">
      <c r="A205" s="3">
        <v>204</v>
      </c>
      <c r="B205" s="3">
        <v>10</v>
      </c>
      <c r="C205" s="2" t="str">
        <f>VLOOKUP($B205,拳系マスタ!$A:$B,2,FALSE)</f>
        <v>金剛拳</v>
      </c>
      <c r="D205" s="3" t="s">
        <v>343</v>
      </c>
      <c r="E205" s="3" t="s">
        <v>1378</v>
      </c>
      <c r="F205" s="3">
        <v>9</v>
      </c>
      <c r="G205" s="2" t="str">
        <f>VLOOKUP($F205,階級マスタ!$A:$B,2,FALSE)</f>
        <v>三</v>
      </c>
      <c r="H205" s="2">
        <v>2</v>
      </c>
      <c r="I205" s="2" t="str">
        <f>VLOOKUP($H205,分類マスタ!$A:$B,2,FALSE)</f>
        <v>柔法</v>
      </c>
      <c r="J205" s="3" t="s">
        <v>344</v>
      </c>
      <c r="K205" s="3"/>
      <c r="L205" s="3"/>
      <c r="M205" s="3"/>
      <c r="N205" s="3"/>
      <c r="O205" s="7">
        <v>289</v>
      </c>
      <c r="P205" s="3" t="s">
        <v>1486</v>
      </c>
    </row>
    <row r="206" spans="1:16" x14ac:dyDescent="0.45">
      <c r="A206" s="3">
        <v>205</v>
      </c>
      <c r="B206" s="3">
        <v>10</v>
      </c>
      <c r="C206" s="2" t="str">
        <f>VLOOKUP($B206,拳系マスタ!$A:$B,2,FALSE)</f>
        <v>金剛拳</v>
      </c>
      <c r="D206" s="3" t="s">
        <v>345</v>
      </c>
      <c r="E206" s="3" t="s">
        <v>1379</v>
      </c>
      <c r="F206" s="3">
        <v>10</v>
      </c>
      <c r="G206" s="2" t="str">
        <f>VLOOKUP($F206,階級マスタ!$A:$B,2,FALSE)</f>
        <v>四</v>
      </c>
      <c r="H206" s="2">
        <v>2</v>
      </c>
      <c r="I206" s="2" t="str">
        <f>VLOOKUP($H206,分類マスタ!$A:$B,2,FALSE)</f>
        <v>柔法</v>
      </c>
      <c r="J206" s="3"/>
      <c r="K206" s="3"/>
      <c r="L206" s="3"/>
      <c r="M206" s="3"/>
      <c r="N206" s="3"/>
      <c r="O206" s="7">
        <v>289</v>
      </c>
      <c r="P206" s="3" t="s">
        <v>1486</v>
      </c>
    </row>
    <row r="207" spans="1:16" x14ac:dyDescent="0.45">
      <c r="A207" s="3">
        <v>206</v>
      </c>
      <c r="B207" s="3">
        <v>10</v>
      </c>
      <c r="C207" s="2" t="str">
        <f>VLOOKUP($B207,拳系マスタ!$A:$B,2,FALSE)</f>
        <v>金剛拳</v>
      </c>
      <c r="D207" s="3" t="s">
        <v>346</v>
      </c>
      <c r="E207" s="3" t="s">
        <v>1380</v>
      </c>
      <c r="F207" s="3">
        <v>8</v>
      </c>
      <c r="G207" s="2" t="str">
        <f>VLOOKUP($F207,階級マスタ!$A:$B,2,FALSE)</f>
        <v>二</v>
      </c>
      <c r="H207" s="2">
        <v>2</v>
      </c>
      <c r="I207" s="2" t="str">
        <f>VLOOKUP($H207,分類マスタ!$A:$B,2,FALSE)</f>
        <v>柔法</v>
      </c>
      <c r="J207" s="3" t="s">
        <v>329</v>
      </c>
      <c r="K207" s="3"/>
      <c r="L207" s="3"/>
      <c r="M207" s="3"/>
      <c r="N207" s="3"/>
      <c r="O207" s="7">
        <v>290</v>
      </c>
      <c r="P207" s="3" t="s">
        <v>1487</v>
      </c>
    </row>
    <row r="208" spans="1:16" x14ac:dyDescent="0.45">
      <c r="A208" s="3">
        <v>207</v>
      </c>
      <c r="B208" s="3">
        <v>10</v>
      </c>
      <c r="C208" s="2" t="str">
        <f>VLOOKUP($B208,拳系マスタ!$A:$B,2,FALSE)</f>
        <v>金剛拳</v>
      </c>
      <c r="D208" s="3" t="s">
        <v>347</v>
      </c>
      <c r="E208" s="3" t="s">
        <v>1381</v>
      </c>
      <c r="F208" s="3">
        <v>11</v>
      </c>
      <c r="G208" s="2" t="str">
        <f>VLOOKUP($F208,階級マスタ!$A:$B,2,FALSE)</f>
        <v>五</v>
      </c>
      <c r="H208" s="2">
        <v>2</v>
      </c>
      <c r="I208" s="2" t="str">
        <f>VLOOKUP($H208,分類マスタ!$A:$B,2,FALSE)</f>
        <v>柔法</v>
      </c>
      <c r="J208" s="3" t="s">
        <v>1136</v>
      </c>
      <c r="K208" s="3" t="s">
        <v>1152</v>
      </c>
      <c r="L208" s="3"/>
      <c r="M208" s="3" t="s">
        <v>1152</v>
      </c>
      <c r="N208" s="3"/>
      <c r="O208" s="7">
        <v>290</v>
      </c>
      <c r="P208" s="3" t="s">
        <v>1487</v>
      </c>
    </row>
    <row r="209" spans="1:16" x14ac:dyDescent="0.45">
      <c r="A209" s="3">
        <v>208</v>
      </c>
      <c r="B209" s="3">
        <v>10</v>
      </c>
      <c r="C209" s="2" t="str">
        <f>VLOOKUP($B209,拳系マスタ!$A:$B,2,FALSE)</f>
        <v>金剛拳</v>
      </c>
      <c r="D209" s="3" t="s">
        <v>348</v>
      </c>
      <c r="E209" s="3" t="s">
        <v>1382</v>
      </c>
      <c r="F209" s="3">
        <v>11</v>
      </c>
      <c r="G209" s="2" t="str">
        <f>VLOOKUP($F209,階級マスタ!$A:$B,2,FALSE)</f>
        <v>五</v>
      </c>
      <c r="H209" s="2">
        <v>2</v>
      </c>
      <c r="I209" s="2" t="str">
        <f>VLOOKUP($H209,分類マスタ!$A:$B,2,FALSE)</f>
        <v>柔法</v>
      </c>
      <c r="J209" s="3" t="s">
        <v>1136</v>
      </c>
      <c r="K209" s="3" t="s">
        <v>1152</v>
      </c>
      <c r="L209" s="3"/>
      <c r="M209" s="3" t="s">
        <v>1162</v>
      </c>
      <c r="N209" s="3"/>
      <c r="O209" s="7">
        <v>290</v>
      </c>
      <c r="P209" s="3" t="s">
        <v>1487</v>
      </c>
    </row>
    <row r="210" spans="1:16" x14ac:dyDescent="0.45">
      <c r="A210" s="3">
        <v>209</v>
      </c>
      <c r="B210" s="3">
        <v>10</v>
      </c>
      <c r="C210" s="2" t="str">
        <f>VLOOKUP($B210,拳系マスタ!$A:$B,2,FALSE)</f>
        <v>金剛拳</v>
      </c>
      <c r="D210" s="3" t="s">
        <v>349</v>
      </c>
      <c r="E210" s="3" t="s">
        <v>1383</v>
      </c>
      <c r="F210" s="3">
        <v>4</v>
      </c>
      <c r="G210" s="2" t="str">
        <f>VLOOKUP($F210,階級マスタ!$A:$B,2,FALSE)</f>
        <v>③</v>
      </c>
      <c r="H210" s="2">
        <v>2</v>
      </c>
      <c r="I210" s="2" t="str">
        <f>VLOOKUP($H210,分類マスタ!$A:$B,2,FALSE)</f>
        <v>柔法</v>
      </c>
      <c r="J210" s="3"/>
      <c r="K210" s="3"/>
      <c r="L210" s="3"/>
      <c r="M210" s="3"/>
      <c r="N210" s="3"/>
      <c r="O210" s="7">
        <v>290</v>
      </c>
      <c r="P210" s="3" t="s">
        <v>1487</v>
      </c>
    </row>
    <row r="211" spans="1:16" x14ac:dyDescent="0.45">
      <c r="A211" s="3">
        <v>210</v>
      </c>
      <c r="B211" s="3">
        <v>10</v>
      </c>
      <c r="C211" s="2" t="str">
        <f>VLOOKUP($B211,拳系マスタ!$A:$B,2,FALSE)</f>
        <v>金剛拳</v>
      </c>
      <c r="D211" s="3" t="s">
        <v>350</v>
      </c>
      <c r="E211" s="3" t="s">
        <v>1384</v>
      </c>
      <c r="F211" s="3">
        <v>8</v>
      </c>
      <c r="G211" s="2" t="str">
        <f>VLOOKUP($F211,階級マスタ!$A:$B,2,FALSE)</f>
        <v>二</v>
      </c>
      <c r="H211" s="2">
        <v>2</v>
      </c>
      <c r="I211" s="2" t="str">
        <f>VLOOKUP($H211,分類マスタ!$A:$B,2,FALSE)</f>
        <v>柔法</v>
      </c>
      <c r="J211" s="3" t="s">
        <v>335</v>
      </c>
      <c r="K211" s="3"/>
      <c r="L211" s="3"/>
      <c r="M211" s="3"/>
      <c r="N211" s="3"/>
      <c r="O211" s="7">
        <v>290</v>
      </c>
      <c r="P211" s="3" t="s">
        <v>1487</v>
      </c>
    </row>
    <row r="212" spans="1:16" x14ac:dyDescent="0.45">
      <c r="A212" s="3">
        <v>211</v>
      </c>
      <c r="B212" s="3">
        <v>10</v>
      </c>
      <c r="C212" s="2" t="str">
        <f>VLOOKUP($B212,拳系マスタ!$A:$B,2,FALSE)</f>
        <v>金剛拳</v>
      </c>
      <c r="D212" s="3" t="s">
        <v>351</v>
      </c>
      <c r="E212" s="3" t="s">
        <v>1385</v>
      </c>
      <c r="F212" s="3">
        <v>8</v>
      </c>
      <c r="G212" s="2" t="str">
        <f>VLOOKUP($F212,階級マスタ!$A:$B,2,FALSE)</f>
        <v>二</v>
      </c>
      <c r="H212" s="2">
        <v>2</v>
      </c>
      <c r="I212" s="2" t="str">
        <f>VLOOKUP($H212,分類マスタ!$A:$B,2,FALSE)</f>
        <v>柔法</v>
      </c>
      <c r="J212" s="3" t="s">
        <v>1135</v>
      </c>
      <c r="K212" s="3" t="s">
        <v>1152</v>
      </c>
      <c r="L212" s="3"/>
      <c r="M212" s="3" t="s">
        <v>1152</v>
      </c>
      <c r="N212" s="3"/>
      <c r="O212" s="7">
        <v>290</v>
      </c>
      <c r="P212" s="3" t="s">
        <v>1487</v>
      </c>
    </row>
    <row r="213" spans="1:16" x14ac:dyDescent="0.45">
      <c r="A213" s="3">
        <v>212</v>
      </c>
      <c r="B213" s="3">
        <v>10</v>
      </c>
      <c r="C213" s="2" t="str">
        <f>VLOOKUP($B213,拳系マスタ!$A:$B,2,FALSE)</f>
        <v>金剛拳</v>
      </c>
      <c r="D213" s="3" t="s">
        <v>352</v>
      </c>
      <c r="E213" s="3" t="s">
        <v>1386</v>
      </c>
      <c r="F213" s="3">
        <v>4</v>
      </c>
      <c r="G213" s="2" t="str">
        <f>VLOOKUP($F213,階級マスタ!$A:$B,2,FALSE)</f>
        <v>③</v>
      </c>
      <c r="H213" s="2">
        <v>2</v>
      </c>
      <c r="I213" s="2" t="str">
        <f>VLOOKUP($H213,分類マスタ!$A:$B,2,FALSE)</f>
        <v>柔法</v>
      </c>
      <c r="J213" s="3"/>
      <c r="K213" s="3"/>
      <c r="L213" s="3"/>
      <c r="M213" s="3"/>
      <c r="N213" s="3"/>
      <c r="O213" s="7">
        <v>291</v>
      </c>
      <c r="P213" s="3" t="s">
        <v>1487</v>
      </c>
    </row>
    <row r="214" spans="1:16" x14ac:dyDescent="0.45">
      <c r="A214" s="3">
        <v>213</v>
      </c>
      <c r="B214" s="3">
        <v>10</v>
      </c>
      <c r="C214" s="2" t="str">
        <f>VLOOKUP($B214,拳系マスタ!$A:$B,2,FALSE)</f>
        <v>金剛拳</v>
      </c>
      <c r="D214" s="3" t="s">
        <v>353</v>
      </c>
      <c r="E214" s="3" t="s">
        <v>1387</v>
      </c>
      <c r="F214" s="3">
        <v>8</v>
      </c>
      <c r="G214" s="2" t="str">
        <f>VLOOKUP($F214,階級マスタ!$A:$B,2,FALSE)</f>
        <v>二</v>
      </c>
      <c r="H214" s="2">
        <v>2</v>
      </c>
      <c r="I214" s="2" t="str">
        <f>VLOOKUP($H214,分類マスタ!$A:$B,2,FALSE)</f>
        <v>柔法</v>
      </c>
      <c r="J214" s="3" t="s">
        <v>335</v>
      </c>
      <c r="K214" s="3"/>
      <c r="L214" s="3"/>
      <c r="M214" s="3"/>
      <c r="N214" s="3"/>
      <c r="O214" s="7">
        <v>291</v>
      </c>
      <c r="P214" s="3" t="s">
        <v>1487</v>
      </c>
    </row>
    <row r="215" spans="1:16" x14ac:dyDescent="0.45">
      <c r="A215" s="3">
        <v>214</v>
      </c>
      <c r="B215" s="3">
        <v>10</v>
      </c>
      <c r="C215" s="2" t="str">
        <f>VLOOKUP($B215,拳系マスタ!$A:$B,2,FALSE)</f>
        <v>金剛拳</v>
      </c>
      <c r="D215" s="3" t="s">
        <v>354</v>
      </c>
      <c r="E215" s="3" t="s">
        <v>1388</v>
      </c>
      <c r="F215" s="3">
        <v>8</v>
      </c>
      <c r="G215" s="2" t="str">
        <f>VLOOKUP($F215,階級マスタ!$A:$B,2,FALSE)</f>
        <v>二</v>
      </c>
      <c r="H215" s="2">
        <v>2</v>
      </c>
      <c r="I215" s="2" t="str">
        <f>VLOOKUP($H215,分類マスタ!$A:$B,2,FALSE)</f>
        <v>柔法</v>
      </c>
      <c r="J215" s="3" t="s">
        <v>335</v>
      </c>
      <c r="K215" s="3"/>
      <c r="L215" s="3"/>
      <c r="M215" s="3"/>
      <c r="N215" s="3"/>
      <c r="O215" s="7">
        <v>292</v>
      </c>
      <c r="P215" s="3" t="s">
        <v>1488</v>
      </c>
    </row>
    <row r="216" spans="1:16" x14ac:dyDescent="0.45">
      <c r="A216" s="3">
        <v>215</v>
      </c>
      <c r="B216" s="3">
        <v>10</v>
      </c>
      <c r="C216" s="2" t="str">
        <f>VLOOKUP($B216,拳系マスタ!$A:$B,2,FALSE)</f>
        <v>金剛拳</v>
      </c>
      <c r="D216" s="3" t="s">
        <v>355</v>
      </c>
      <c r="E216" s="3" t="s">
        <v>1389</v>
      </c>
      <c r="F216" s="3">
        <v>9</v>
      </c>
      <c r="G216" s="2" t="str">
        <f>VLOOKUP($F216,階級マスタ!$A:$B,2,FALSE)</f>
        <v>三</v>
      </c>
      <c r="H216" s="2">
        <v>2</v>
      </c>
      <c r="I216" s="2" t="str">
        <f>VLOOKUP($H216,分類マスタ!$A:$B,2,FALSE)</f>
        <v>柔法</v>
      </c>
      <c r="J216" s="3" t="s">
        <v>356</v>
      </c>
      <c r="K216" s="3"/>
      <c r="L216" s="3"/>
      <c r="M216" s="3"/>
      <c r="N216" s="3"/>
      <c r="O216" s="7">
        <v>292</v>
      </c>
      <c r="P216" s="3" t="s">
        <v>1488</v>
      </c>
    </row>
    <row r="217" spans="1:16" x14ac:dyDescent="0.45">
      <c r="A217" s="3">
        <v>216</v>
      </c>
      <c r="B217" s="3">
        <v>10</v>
      </c>
      <c r="C217" s="2" t="str">
        <f>VLOOKUP($B217,拳系マスタ!$A:$B,2,FALSE)</f>
        <v>金剛拳</v>
      </c>
      <c r="D217" s="3" t="s">
        <v>357</v>
      </c>
      <c r="E217" s="3" t="s">
        <v>1390</v>
      </c>
      <c r="F217" s="3">
        <v>8</v>
      </c>
      <c r="G217" s="2" t="str">
        <f>VLOOKUP($F217,階級マスタ!$A:$B,2,FALSE)</f>
        <v>二</v>
      </c>
      <c r="H217" s="2">
        <v>2</v>
      </c>
      <c r="I217" s="2" t="str">
        <f>VLOOKUP($H217,分類マスタ!$A:$B,2,FALSE)</f>
        <v>柔法</v>
      </c>
      <c r="J217" s="3" t="s">
        <v>335</v>
      </c>
      <c r="K217" s="3"/>
      <c r="L217" s="3"/>
      <c r="M217" s="3"/>
      <c r="N217" s="3"/>
      <c r="O217" s="7">
        <v>292</v>
      </c>
      <c r="P217" s="3" t="s">
        <v>1488</v>
      </c>
    </row>
    <row r="218" spans="1:16" x14ac:dyDescent="0.45">
      <c r="A218" s="3">
        <v>217</v>
      </c>
      <c r="B218" s="3">
        <v>10</v>
      </c>
      <c r="C218" s="2" t="str">
        <f>VLOOKUP($B218,拳系マスタ!$A:$B,2,FALSE)</f>
        <v>金剛拳</v>
      </c>
      <c r="D218" s="3" t="s">
        <v>358</v>
      </c>
      <c r="E218" s="3" t="s">
        <v>1391</v>
      </c>
      <c r="F218" s="3">
        <v>6</v>
      </c>
      <c r="G218" s="2" t="str">
        <f>VLOOKUP($F218,階級マスタ!$A:$B,2,FALSE)</f>
        <v>①</v>
      </c>
      <c r="H218" s="2">
        <v>2</v>
      </c>
      <c r="I218" s="2" t="str">
        <f>VLOOKUP($H218,分類マスタ!$A:$B,2,FALSE)</f>
        <v>柔法</v>
      </c>
      <c r="J218" s="3"/>
      <c r="K218" s="3"/>
      <c r="L218" s="3"/>
      <c r="M218" s="3"/>
      <c r="N218" s="3"/>
      <c r="O218" s="3"/>
      <c r="P218" s="3"/>
    </row>
    <row r="219" spans="1:16" x14ac:dyDescent="0.45">
      <c r="A219" s="3">
        <v>218</v>
      </c>
      <c r="B219" s="3">
        <v>10</v>
      </c>
      <c r="C219" s="2" t="str">
        <f>VLOOKUP($B219,拳系マスタ!$A:$B,2,FALSE)</f>
        <v>金剛拳</v>
      </c>
      <c r="D219" s="3" t="s">
        <v>359</v>
      </c>
      <c r="E219" s="3" t="s">
        <v>1392</v>
      </c>
      <c r="F219" s="3">
        <v>9</v>
      </c>
      <c r="G219" s="2" t="str">
        <f>VLOOKUP($F219,階級マスタ!$A:$B,2,FALSE)</f>
        <v>三</v>
      </c>
      <c r="H219" s="2">
        <v>2</v>
      </c>
      <c r="I219" s="2" t="str">
        <f>VLOOKUP($H219,分類マスタ!$A:$B,2,FALSE)</f>
        <v>柔法</v>
      </c>
      <c r="J219" s="3" t="s">
        <v>334</v>
      </c>
      <c r="K219" s="3"/>
      <c r="L219" s="3"/>
      <c r="M219" s="3"/>
      <c r="N219" s="3"/>
      <c r="O219" s="3"/>
      <c r="P219" s="3"/>
    </row>
    <row r="220" spans="1:16" x14ac:dyDescent="0.45">
      <c r="A220" s="3">
        <v>219</v>
      </c>
      <c r="B220" s="3">
        <v>11</v>
      </c>
      <c r="C220" s="2" t="str">
        <f>VLOOKUP($B220,拳系マスタ!$A:$B,2,FALSE)</f>
        <v>羅漢拳</v>
      </c>
      <c r="D220" s="3" t="s">
        <v>361</v>
      </c>
      <c r="E220" s="3" t="s">
        <v>1393</v>
      </c>
      <c r="F220" s="3">
        <v>6</v>
      </c>
      <c r="G220" s="2" t="str">
        <f>VLOOKUP($F220,階級マスタ!$A:$B,2,FALSE)</f>
        <v>①</v>
      </c>
      <c r="H220" s="2">
        <v>2</v>
      </c>
      <c r="I220" s="2" t="str">
        <f>VLOOKUP($H220,分類マスタ!$A:$B,2,FALSE)</f>
        <v>柔法</v>
      </c>
      <c r="J220" s="3" t="s">
        <v>1150</v>
      </c>
      <c r="K220" s="3" t="s">
        <v>1165</v>
      </c>
      <c r="L220" s="3"/>
      <c r="M220" s="3" t="s">
        <v>1166</v>
      </c>
      <c r="N220" s="3"/>
      <c r="O220" s="7">
        <v>296</v>
      </c>
      <c r="P220" s="3" t="s">
        <v>1489</v>
      </c>
    </row>
    <row r="221" spans="1:16" x14ac:dyDescent="0.45">
      <c r="A221" s="3">
        <v>220</v>
      </c>
      <c r="B221" s="3">
        <v>11</v>
      </c>
      <c r="C221" s="2" t="str">
        <f>VLOOKUP($B221,拳系マスタ!$A:$B,2,FALSE)</f>
        <v>羅漢拳</v>
      </c>
      <c r="D221" s="3" t="s">
        <v>364</v>
      </c>
      <c r="E221" s="3" t="s">
        <v>1394</v>
      </c>
      <c r="F221" s="3">
        <v>6</v>
      </c>
      <c r="G221" s="2" t="str">
        <f>VLOOKUP($F221,階級マスタ!$A:$B,2,FALSE)</f>
        <v>①</v>
      </c>
      <c r="H221" s="2">
        <v>2</v>
      </c>
      <c r="I221" s="2" t="str">
        <f>VLOOKUP($H221,分類マスタ!$A:$B,2,FALSE)</f>
        <v>柔法</v>
      </c>
      <c r="J221" s="3" t="s">
        <v>1150</v>
      </c>
      <c r="K221" s="3" t="s">
        <v>1165</v>
      </c>
      <c r="L221" s="3"/>
      <c r="M221" s="3" t="s">
        <v>1166</v>
      </c>
      <c r="N221" s="3"/>
      <c r="O221" s="7">
        <v>297</v>
      </c>
      <c r="P221" s="3" t="s">
        <v>1489</v>
      </c>
    </row>
    <row r="222" spans="1:16" x14ac:dyDescent="0.45">
      <c r="A222" s="3">
        <v>221</v>
      </c>
      <c r="B222" s="3">
        <v>11</v>
      </c>
      <c r="C222" s="2" t="str">
        <f>VLOOKUP($B222,拳系マスタ!$A:$B,2,FALSE)</f>
        <v>羅漢拳</v>
      </c>
      <c r="D222" s="3" t="s">
        <v>366</v>
      </c>
      <c r="E222" s="3" t="s">
        <v>1395</v>
      </c>
      <c r="F222" s="3">
        <v>9</v>
      </c>
      <c r="G222" s="2" t="str">
        <f>VLOOKUP($F222,階級マスタ!$A:$B,2,FALSE)</f>
        <v>三</v>
      </c>
      <c r="H222" s="2">
        <v>2</v>
      </c>
      <c r="I222" s="2" t="str">
        <f>VLOOKUP($H222,分類マスタ!$A:$B,2,FALSE)</f>
        <v>柔法</v>
      </c>
      <c r="J222" s="3" t="s">
        <v>1136</v>
      </c>
      <c r="K222" s="3" t="s">
        <v>1152</v>
      </c>
      <c r="L222" s="3"/>
      <c r="M222" s="3" t="s">
        <v>1166</v>
      </c>
      <c r="N222" s="3"/>
      <c r="O222" s="7">
        <v>298</v>
      </c>
      <c r="P222" s="3" t="s">
        <v>1490</v>
      </c>
    </row>
    <row r="223" spans="1:16" x14ac:dyDescent="0.45">
      <c r="A223" s="3">
        <v>222</v>
      </c>
      <c r="B223" s="3">
        <v>11</v>
      </c>
      <c r="C223" s="2" t="str">
        <f>VLOOKUP($B223,拳系マスタ!$A:$B,2,FALSE)</f>
        <v>羅漢拳</v>
      </c>
      <c r="D223" s="3" t="s">
        <v>369</v>
      </c>
      <c r="E223" s="3" t="s">
        <v>1396</v>
      </c>
      <c r="F223" s="3">
        <v>9</v>
      </c>
      <c r="G223" s="2" t="str">
        <f>VLOOKUP($F223,階級マスタ!$A:$B,2,FALSE)</f>
        <v>三</v>
      </c>
      <c r="H223" s="2">
        <v>2</v>
      </c>
      <c r="I223" s="2" t="str">
        <f>VLOOKUP($H223,分類マスタ!$A:$B,2,FALSE)</f>
        <v>柔法</v>
      </c>
      <c r="J223" s="3" t="s">
        <v>1136</v>
      </c>
      <c r="K223" s="3" t="s">
        <v>1152</v>
      </c>
      <c r="L223" s="3"/>
      <c r="M223" s="3" t="s">
        <v>1166</v>
      </c>
      <c r="N223" s="3"/>
      <c r="O223" s="7">
        <v>298</v>
      </c>
      <c r="P223" s="3" t="s">
        <v>1490</v>
      </c>
    </row>
    <row r="224" spans="1:16" x14ac:dyDescent="0.45">
      <c r="A224" s="3">
        <v>223</v>
      </c>
      <c r="B224" s="3">
        <v>11</v>
      </c>
      <c r="C224" s="2" t="str">
        <f>VLOOKUP($B224,拳系マスタ!$A:$B,2,FALSE)</f>
        <v>羅漢拳</v>
      </c>
      <c r="D224" s="3" t="s">
        <v>371</v>
      </c>
      <c r="E224" s="3" t="s">
        <v>1397</v>
      </c>
      <c r="F224" s="3">
        <v>6</v>
      </c>
      <c r="G224" s="2" t="str">
        <f>VLOOKUP($F224,階級マスタ!$A:$B,2,FALSE)</f>
        <v>①</v>
      </c>
      <c r="H224" s="2">
        <v>2</v>
      </c>
      <c r="I224" s="2" t="str">
        <f>VLOOKUP($H224,分類マスタ!$A:$B,2,FALSE)</f>
        <v>柔法</v>
      </c>
      <c r="J224" s="3" t="s">
        <v>1136</v>
      </c>
      <c r="K224" s="3" t="s">
        <v>1152</v>
      </c>
      <c r="L224" s="3"/>
      <c r="M224" s="3" t="s">
        <v>1166</v>
      </c>
      <c r="N224" s="3"/>
      <c r="O224" s="7">
        <v>298</v>
      </c>
      <c r="P224" s="3" t="s">
        <v>1490</v>
      </c>
    </row>
    <row r="225" spans="1:16" x14ac:dyDescent="0.45">
      <c r="A225" s="3">
        <v>224</v>
      </c>
      <c r="B225" s="3">
        <v>11</v>
      </c>
      <c r="C225" s="2" t="str">
        <f>VLOOKUP($B225,拳系マスタ!$A:$B,2,FALSE)</f>
        <v>羅漢拳</v>
      </c>
      <c r="D225" s="3" t="s">
        <v>372</v>
      </c>
      <c r="E225" s="3" t="s">
        <v>1398</v>
      </c>
      <c r="F225" s="3">
        <v>10</v>
      </c>
      <c r="G225" s="2" t="str">
        <f>VLOOKUP($F225,階級マスタ!$A:$B,2,FALSE)</f>
        <v>四</v>
      </c>
      <c r="H225" s="2">
        <v>2</v>
      </c>
      <c r="I225" s="2" t="str">
        <f>VLOOKUP($H225,分類マスタ!$A:$B,2,FALSE)</f>
        <v>柔法</v>
      </c>
      <c r="J225" s="3"/>
      <c r="K225" s="3"/>
      <c r="L225" s="3"/>
      <c r="M225" s="3"/>
      <c r="N225" s="3"/>
      <c r="O225" s="7">
        <v>298</v>
      </c>
      <c r="P225" s="3" t="s">
        <v>1490</v>
      </c>
    </row>
    <row r="226" spans="1:16" x14ac:dyDescent="0.45">
      <c r="A226" s="3">
        <v>225</v>
      </c>
      <c r="B226" s="3">
        <v>11</v>
      </c>
      <c r="C226" s="2" t="str">
        <f>VLOOKUP($B226,拳系マスタ!$A:$B,2,FALSE)</f>
        <v>羅漢拳</v>
      </c>
      <c r="D226" s="3" t="s">
        <v>373</v>
      </c>
      <c r="E226" s="3" t="s">
        <v>1399</v>
      </c>
      <c r="F226" s="3">
        <v>9</v>
      </c>
      <c r="G226" s="2" t="str">
        <f>VLOOKUP($F226,階級マスタ!$A:$B,2,FALSE)</f>
        <v>三</v>
      </c>
      <c r="H226" s="2">
        <v>2</v>
      </c>
      <c r="I226" s="2" t="str">
        <f>VLOOKUP($H226,分類マスタ!$A:$B,2,FALSE)</f>
        <v>柔法</v>
      </c>
      <c r="J226" s="3" t="s">
        <v>1136</v>
      </c>
      <c r="K226" s="3" t="s">
        <v>1152</v>
      </c>
      <c r="L226" s="3"/>
      <c r="M226" s="3" t="s">
        <v>1166</v>
      </c>
      <c r="N226" s="3"/>
      <c r="O226" s="7">
        <v>298</v>
      </c>
      <c r="P226" s="3" t="s">
        <v>1490</v>
      </c>
    </row>
    <row r="227" spans="1:16" x14ac:dyDescent="0.45">
      <c r="A227" s="3">
        <v>226</v>
      </c>
      <c r="B227" s="3">
        <v>11</v>
      </c>
      <c r="C227" s="2" t="str">
        <f>VLOOKUP($B227,拳系マスタ!$A:$B,2,FALSE)</f>
        <v>羅漢拳</v>
      </c>
      <c r="D227" s="3" t="s">
        <v>375</v>
      </c>
      <c r="E227" s="3" t="s">
        <v>1400</v>
      </c>
      <c r="F227" s="3">
        <v>11</v>
      </c>
      <c r="G227" s="2" t="str">
        <f>VLOOKUP($F227,階級マスタ!$A:$B,2,FALSE)</f>
        <v>五</v>
      </c>
      <c r="H227" s="2">
        <v>2</v>
      </c>
      <c r="I227" s="2" t="str">
        <f>VLOOKUP($H227,分類マスタ!$A:$B,2,FALSE)</f>
        <v>柔法</v>
      </c>
      <c r="J227" s="3"/>
      <c r="K227" s="3"/>
      <c r="L227" s="3"/>
      <c r="M227" s="3"/>
      <c r="N227" s="3"/>
      <c r="O227" s="7">
        <v>300</v>
      </c>
      <c r="P227" s="3" t="s">
        <v>1491</v>
      </c>
    </row>
    <row r="228" spans="1:16" x14ac:dyDescent="0.45">
      <c r="A228" s="3">
        <v>227</v>
      </c>
      <c r="B228" s="3">
        <v>11</v>
      </c>
      <c r="C228" s="2" t="str">
        <f>VLOOKUP($B228,拳系マスタ!$A:$B,2,FALSE)</f>
        <v>羅漢拳</v>
      </c>
      <c r="D228" s="3" t="s">
        <v>376</v>
      </c>
      <c r="E228" s="3" t="s">
        <v>1401</v>
      </c>
      <c r="F228" s="3">
        <v>10</v>
      </c>
      <c r="G228" s="2" t="str">
        <f>VLOOKUP($F228,階級マスタ!$A:$B,2,FALSE)</f>
        <v>四</v>
      </c>
      <c r="H228" s="2">
        <v>2</v>
      </c>
      <c r="I228" s="2" t="str">
        <f>VLOOKUP($H228,分類マスタ!$A:$B,2,FALSE)</f>
        <v>柔法</v>
      </c>
      <c r="J228" s="3"/>
      <c r="K228" s="3"/>
      <c r="L228" s="3"/>
      <c r="M228" s="3"/>
      <c r="N228" s="3"/>
      <c r="O228" s="7">
        <v>300</v>
      </c>
      <c r="P228" s="3" t="s">
        <v>1491</v>
      </c>
    </row>
    <row r="229" spans="1:16" x14ac:dyDescent="0.45">
      <c r="A229" s="3">
        <v>228</v>
      </c>
      <c r="B229" s="3">
        <v>11</v>
      </c>
      <c r="C229" s="2" t="str">
        <f>VLOOKUP($B229,拳系マスタ!$A:$B,2,FALSE)</f>
        <v>羅漢拳</v>
      </c>
      <c r="D229" s="3" t="s">
        <v>377</v>
      </c>
      <c r="E229" s="3" t="s">
        <v>1402</v>
      </c>
      <c r="F229" s="3">
        <v>5</v>
      </c>
      <c r="G229" s="2" t="str">
        <f>VLOOKUP($F229,階級マスタ!$A:$B,2,FALSE)</f>
        <v>②</v>
      </c>
      <c r="H229" s="2">
        <v>2</v>
      </c>
      <c r="I229" s="2" t="str">
        <f>VLOOKUP($H229,分類マスタ!$A:$B,2,FALSE)</f>
        <v>柔法</v>
      </c>
      <c r="J229" s="3"/>
      <c r="K229" s="3" t="s">
        <v>1152</v>
      </c>
      <c r="L229" s="3"/>
      <c r="M229" s="3" t="s">
        <v>1152</v>
      </c>
      <c r="N229" s="3"/>
      <c r="O229" s="7">
        <v>300</v>
      </c>
      <c r="P229" s="3" t="s">
        <v>1491</v>
      </c>
    </row>
    <row r="230" spans="1:16" x14ac:dyDescent="0.45">
      <c r="A230" s="3">
        <v>229</v>
      </c>
      <c r="B230" s="3">
        <v>11</v>
      </c>
      <c r="C230" s="2" t="str">
        <f>VLOOKUP($B230,拳系マスタ!$A:$B,2,FALSE)</f>
        <v>羅漢拳</v>
      </c>
      <c r="D230" s="3" t="s">
        <v>378</v>
      </c>
      <c r="E230" s="3" t="s">
        <v>1403</v>
      </c>
      <c r="F230" s="3">
        <v>5</v>
      </c>
      <c r="G230" s="2" t="str">
        <f>VLOOKUP($F230,階級マスタ!$A:$B,2,FALSE)</f>
        <v>②</v>
      </c>
      <c r="H230" s="2">
        <v>2</v>
      </c>
      <c r="I230" s="2" t="str">
        <f>VLOOKUP($H230,分類マスタ!$A:$B,2,FALSE)</f>
        <v>柔法</v>
      </c>
      <c r="J230" s="3"/>
      <c r="K230" s="3" t="s">
        <v>1152</v>
      </c>
      <c r="L230" s="3"/>
      <c r="M230" s="3" t="s">
        <v>1152</v>
      </c>
      <c r="N230" s="3"/>
      <c r="O230" s="3"/>
      <c r="P230" s="3"/>
    </row>
    <row r="231" spans="1:16" x14ac:dyDescent="0.45">
      <c r="A231" s="3">
        <v>230</v>
      </c>
      <c r="B231" s="3">
        <v>11</v>
      </c>
      <c r="C231" s="2" t="str">
        <f>VLOOKUP($B231,拳系マスタ!$A:$B,2,FALSE)</f>
        <v>羅漢拳</v>
      </c>
      <c r="D231" s="3" t="s">
        <v>379</v>
      </c>
      <c r="E231" s="3" t="s">
        <v>1404</v>
      </c>
      <c r="F231" s="3">
        <v>6</v>
      </c>
      <c r="G231" s="2" t="str">
        <f>VLOOKUP($F231,階級マスタ!$A:$B,2,FALSE)</f>
        <v>①</v>
      </c>
      <c r="H231" s="2">
        <v>2</v>
      </c>
      <c r="I231" s="2" t="str">
        <f>VLOOKUP($H231,分類マスタ!$A:$B,2,FALSE)</f>
        <v>柔法</v>
      </c>
      <c r="J231" s="3" t="s">
        <v>708</v>
      </c>
      <c r="K231" s="3" t="s">
        <v>1152</v>
      </c>
      <c r="L231" s="3"/>
      <c r="M231" s="3"/>
      <c r="N231" s="3"/>
      <c r="O231" s="7">
        <v>300</v>
      </c>
      <c r="P231" s="3" t="s">
        <v>1491</v>
      </c>
    </row>
    <row r="232" spans="1:16" x14ac:dyDescent="0.45">
      <c r="A232" s="3">
        <v>231</v>
      </c>
      <c r="B232" s="3">
        <v>11</v>
      </c>
      <c r="C232" s="2" t="str">
        <f>VLOOKUP($B232,拳系マスタ!$A:$B,2,FALSE)</f>
        <v>羅漢拳</v>
      </c>
      <c r="D232" s="3" t="s">
        <v>381</v>
      </c>
      <c r="E232" s="3" t="s">
        <v>1405</v>
      </c>
      <c r="F232" s="3">
        <v>6</v>
      </c>
      <c r="G232" s="2" t="str">
        <f>VLOOKUP($F232,階級マスタ!$A:$B,2,FALSE)</f>
        <v>①</v>
      </c>
      <c r="H232" s="2">
        <v>2</v>
      </c>
      <c r="I232" s="2" t="str">
        <f>VLOOKUP($H232,分類マスタ!$A:$B,2,FALSE)</f>
        <v>柔法</v>
      </c>
      <c r="J232" s="3" t="s">
        <v>708</v>
      </c>
      <c r="K232" s="3" t="s">
        <v>1152</v>
      </c>
      <c r="L232" s="3"/>
      <c r="M232" s="3"/>
      <c r="N232" s="3"/>
      <c r="O232" s="7">
        <v>300</v>
      </c>
      <c r="P232" s="3" t="s">
        <v>1491</v>
      </c>
    </row>
    <row r="233" spans="1:16" x14ac:dyDescent="0.45">
      <c r="A233" s="3">
        <v>232</v>
      </c>
      <c r="B233" s="3">
        <v>11</v>
      </c>
      <c r="C233" s="2" t="str">
        <f>VLOOKUP($B233,拳系マスタ!$A:$B,2,FALSE)</f>
        <v>羅漢拳</v>
      </c>
      <c r="D233" s="3" t="s">
        <v>382</v>
      </c>
      <c r="E233" s="3" t="s">
        <v>1406</v>
      </c>
      <c r="F233" s="3">
        <v>8</v>
      </c>
      <c r="G233" s="2" t="str">
        <f>VLOOKUP($F233,階級マスタ!$A:$B,2,FALSE)</f>
        <v>二</v>
      </c>
      <c r="H233" s="2">
        <v>2</v>
      </c>
      <c r="I233" s="2" t="str">
        <f>VLOOKUP($H233,分類マスタ!$A:$B,2,FALSE)</f>
        <v>柔法</v>
      </c>
      <c r="J233" s="3" t="s">
        <v>1136</v>
      </c>
      <c r="K233" s="3" t="s">
        <v>1152</v>
      </c>
      <c r="L233" s="3"/>
      <c r="M233" s="3" t="s">
        <v>1166</v>
      </c>
      <c r="N233" s="3"/>
      <c r="O233" s="7">
        <v>302</v>
      </c>
      <c r="P233" s="3" t="s">
        <v>1492</v>
      </c>
    </row>
    <row r="234" spans="1:16" x14ac:dyDescent="0.45">
      <c r="A234" s="3">
        <v>233</v>
      </c>
      <c r="B234" s="3">
        <v>11</v>
      </c>
      <c r="C234" s="2" t="str">
        <f>VLOOKUP($B234,拳系マスタ!$A:$B,2,FALSE)</f>
        <v>羅漢拳</v>
      </c>
      <c r="D234" s="3" t="s">
        <v>384</v>
      </c>
      <c r="E234" s="3" t="s">
        <v>1407</v>
      </c>
      <c r="F234" s="3">
        <v>8</v>
      </c>
      <c r="G234" s="2" t="str">
        <f>VLOOKUP($F234,階級マスタ!$A:$B,2,FALSE)</f>
        <v>二</v>
      </c>
      <c r="H234" s="2">
        <v>2</v>
      </c>
      <c r="I234" s="2" t="str">
        <f>VLOOKUP($H234,分類マスタ!$A:$B,2,FALSE)</f>
        <v>柔法</v>
      </c>
      <c r="J234" s="3" t="s">
        <v>1136</v>
      </c>
      <c r="K234" s="3" t="s">
        <v>1152</v>
      </c>
      <c r="L234" s="3"/>
      <c r="M234" s="3" t="s">
        <v>1166</v>
      </c>
      <c r="N234" s="3"/>
      <c r="O234" s="7">
        <v>302</v>
      </c>
      <c r="P234" s="3" t="s">
        <v>1492</v>
      </c>
    </row>
    <row r="235" spans="1:16" x14ac:dyDescent="0.45">
      <c r="A235" s="3">
        <v>234</v>
      </c>
      <c r="B235" s="3">
        <v>11</v>
      </c>
      <c r="C235" s="2" t="str">
        <f>VLOOKUP($B235,拳系マスタ!$A:$B,2,FALSE)</f>
        <v>羅漢拳</v>
      </c>
      <c r="D235" s="3" t="s">
        <v>387</v>
      </c>
      <c r="E235" s="3" t="s">
        <v>1408</v>
      </c>
      <c r="F235" s="3">
        <v>6</v>
      </c>
      <c r="G235" s="2" t="str">
        <f>VLOOKUP($F235,階級マスタ!$A:$B,2,FALSE)</f>
        <v>①</v>
      </c>
      <c r="H235" s="2">
        <v>2</v>
      </c>
      <c r="I235" s="2" t="str">
        <f>VLOOKUP($H235,分類マスタ!$A:$B,2,FALSE)</f>
        <v>柔法</v>
      </c>
      <c r="J235" s="3" t="s">
        <v>708</v>
      </c>
      <c r="K235" s="3" t="s">
        <v>1152</v>
      </c>
      <c r="L235" s="3"/>
      <c r="M235" s="3"/>
      <c r="N235" s="3"/>
      <c r="O235" s="7">
        <v>302</v>
      </c>
      <c r="P235" s="3" t="s">
        <v>1492</v>
      </c>
    </row>
    <row r="236" spans="1:16" x14ac:dyDescent="0.45">
      <c r="A236" s="3">
        <v>235</v>
      </c>
      <c r="B236" s="3">
        <v>11</v>
      </c>
      <c r="C236" s="2" t="str">
        <f>VLOOKUP($B236,拳系マスタ!$A:$B,2,FALSE)</f>
        <v>羅漢拳</v>
      </c>
      <c r="D236" s="3" t="s">
        <v>388</v>
      </c>
      <c r="E236" s="3" t="s">
        <v>1409</v>
      </c>
      <c r="F236" s="3">
        <v>8</v>
      </c>
      <c r="G236" s="2" t="str">
        <f>VLOOKUP($F236,階級マスタ!$A:$B,2,FALSE)</f>
        <v>二</v>
      </c>
      <c r="H236" s="2">
        <v>2</v>
      </c>
      <c r="I236" s="2" t="str">
        <f>VLOOKUP($H236,分類マスタ!$A:$B,2,FALSE)</f>
        <v>柔法</v>
      </c>
      <c r="J236" s="3" t="s">
        <v>1136</v>
      </c>
      <c r="K236" s="3" t="s">
        <v>1152</v>
      </c>
      <c r="L236" s="3"/>
      <c r="M236" s="3" t="s">
        <v>1166</v>
      </c>
      <c r="N236" s="3"/>
      <c r="O236" s="7">
        <v>302</v>
      </c>
      <c r="P236" s="3" t="s">
        <v>1492</v>
      </c>
    </row>
    <row r="237" spans="1:16" x14ac:dyDescent="0.45">
      <c r="A237" s="3">
        <v>236</v>
      </c>
      <c r="B237" s="3">
        <v>11</v>
      </c>
      <c r="C237" s="2" t="str">
        <f>VLOOKUP($B237,拳系マスタ!$A:$B,2,FALSE)</f>
        <v>羅漢拳</v>
      </c>
      <c r="D237" s="3" t="s">
        <v>389</v>
      </c>
      <c r="E237" s="3" t="s">
        <v>1410</v>
      </c>
      <c r="F237" s="3">
        <v>8</v>
      </c>
      <c r="G237" s="2" t="str">
        <f>VLOOKUP($F237,階級マスタ!$A:$B,2,FALSE)</f>
        <v>二</v>
      </c>
      <c r="H237" s="2">
        <v>2</v>
      </c>
      <c r="I237" s="2" t="str">
        <f>VLOOKUP($H237,分類マスタ!$A:$B,2,FALSE)</f>
        <v>柔法</v>
      </c>
      <c r="J237" s="3" t="s">
        <v>1136</v>
      </c>
      <c r="K237" s="3" t="s">
        <v>1152</v>
      </c>
      <c r="L237" s="3"/>
      <c r="M237" s="3" t="s">
        <v>1166</v>
      </c>
      <c r="N237" s="3"/>
      <c r="O237" s="7">
        <v>302</v>
      </c>
      <c r="P237" s="3" t="s">
        <v>1492</v>
      </c>
    </row>
    <row r="238" spans="1:16" x14ac:dyDescent="0.45">
      <c r="A238" s="3">
        <v>237</v>
      </c>
      <c r="B238" s="3">
        <v>11</v>
      </c>
      <c r="C238" s="2" t="str">
        <f>VLOOKUP($B238,拳系マスタ!$A:$B,2,FALSE)</f>
        <v>羅漢拳</v>
      </c>
      <c r="D238" s="3" t="s">
        <v>391</v>
      </c>
      <c r="E238" s="3" t="s">
        <v>1411</v>
      </c>
      <c r="F238" s="3">
        <v>6</v>
      </c>
      <c r="G238" s="2" t="str">
        <f>VLOOKUP($F238,階級マスタ!$A:$B,2,FALSE)</f>
        <v>①</v>
      </c>
      <c r="H238" s="2">
        <v>2</v>
      </c>
      <c r="I238" s="2" t="str">
        <f>VLOOKUP($H238,分類マスタ!$A:$B,2,FALSE)</f>
        <v>柔法</v>
      </c>
      <c r="J238" s="3" t="s">
        <v>708</v>
      </c>
      <c r="K238" s="3" t="s">
        <v>1152</v>
      </c>
      <c r="L238" s="3"/>
      <c r="M238" s="3"/>
      <c r="N238" s="3"/>
      <c r="O238" s="7">
        <v>303</v>
      </c>
      <c r="P238" s="3" t="s">
        <v>1492</v>
      </c>
    </row>
    <row r="239" spans="1:16" x14ac:dyDescent="0.45">
      <c r="A239" s="3">
        <v>238</v>
      </c>
      <c r="B239" s="3">
        <v>11</v>
      </c>
      <c r="C239" s="2" t="str">
        <f>VLOOKUP($B239,拳系マスタ!$A:$B,2,FALSE)</f>
        <v>羅漢拳</v>
      </c>
      <c r="D239" s="3" t="s">
        <v>392</v>
      </c>
      <c r="E239" s="3" t="s">
        <v>1412</v>
      </c>
      <c r="F239" s="3">
        <v>10</v>
      </c>
      <c r="G239" s="2" t="str">
        <f>VLOOKUP($F239,階級マスタ!$A:$B,2,FALSE)</f>
        <v>四</v>
      </c>
      <c r="H239" s="2">
        <v>2</v>
      </c>
      <c r="I239" s="2" t="str">
        <f>VLOOKUP($H239,分類マスタ!$A:$B,2,FALSE)</f>
        <v>柔法</v>
      </c>
      <c r="J239" s="3"/>
      <c r="K239" s="3"/>
      <c r="L239" s="3"/>
      <c r="M239" s="3"/>
      <c r="N239" s="3"/>
      <c r="O239" s="7">
        <v>303</v>
      </c>
      <c r="P239" s="3" t="s">
        <v>1492</v>
      </c>
    </row>
    <row r="240" spans="1:16" x14ac:dyDescent="0.45">
      <c r="A240" s="3">
        <v>239</v>
      </c>
      <c r="B240" s="3">
        <v>11</v>
      </c>
      <c r="C240" s="2" t="str">
        <f>VLOOKUP($B240,拳系マスタ!$A:$B,2,FALSE)</f>
        <v>羅漢拳</v>
      </c>
      <c r="D240" s="3" t="s">
        <v>393</v>
      </c>
      <c r="E240" s="3" t="s">
        <v>1413</v>
      </c>
      <c r="F240" s="3">
        <v>11</v>
      </c>
      <c r="G240" s="2" t="str">
        <f>VLOOKUP($F240,階級マスタ!$A:$B,2,FALSE)</f>
        <v>五</v>
      </c>
      <c r="H240" s="2">
        <v>2</v>
      </c>
      <c r="I240" s="2" t="str">
        <f>VLOOKUP($H240,分類マスタ!$A:$B,2,FALSE)</f>
        <v>柔法</v>
      </c>
      <c r="J240" s="3"/>
      <c r="K240" s="3"/>
      <c r="L240" s="3"/>
      <c r="M240" s="3"/>
      <c r="N240" s="3"/>
      <c r="O240" s="7">
        <v>303</v>
      </c>
      <c r="P240" s="3" t="s">
        <v>1492</v>
      </c>
    </row>
    <row r="241" spans="1:16" x14ac:dyDescent="0.45">
      <c r="A241" s="3">
        <v>240</v>
      </c>
      <c r="B241" s="3">
        <v>11</v>
      </c>
      <c r="C241" s="2" t="str">
        <f>VLOOKUP($B241,拳系マスタ!$A:$B,2,FALSE)</f>
        <v>羅漢拳</v>
      </c>
      <c r="D241" s="3" t="s">
        <v>394</v>
      </c>
      <c r="E241" s="3" t="s">
        <v>1414</v>
      </c>
      <c r="F241" s="3">
        <v>11</v>
      </c>
      <c r="G241" s="2" t="str">
        <f>VLOOKUP($F241,階級マスタ!$A:$B,2,FALSE)</f>
        <v>五</v>
      </c>
      <c r="H241" s="2">
        <v>2</v>
      </c>
      <c r="I241" s="2" t="str">
        <f>VLOOKUP($H241,分類マスタ!$A:$B,2,FALSE)</f>
        <v>柔法</v>
      </c>
      <c r="J241" s="3"/>
      <c r="K241" s="3"/>
      <c r="L241" s="3"/>
      <c r="M241" s="3"/>
      <c r="N241" s="3"/>
      <c r="O241" s="7">
        <v>303</v>
      </c>
      <c r="P241" s="3" t="s">
        <v>1492</v>
      </c>
    </row>
    <row r="242" spans="1:16" x14ac:dyDescent="0.45">
      <c r="A242" s="3">
        <v>241</v>
      </c>
      <c r="B242" s="3">
        <v>11</v>
      </c>
      <c r="C242" s="2" t="str">
        <f>VLOOKUP($B242,拳系マスタ!$A:$B,2,FALSE)</f>
        <v>羅漢拳</v>
      </c>
      <c r="D242" s="3" t="s">
        <v>395</v>
      </c>
      <c r="E242" s="3" t="s">
        <v>1415</v>
      </c>
      <c r="F242" s="3">
        <v>10</v>
      </c>
      <c r="G242" s="2" t="str">
        <f>VLOOKUP($F242,階級マスタ!$A:$B,2,FALSE)</f>
        <v>四</v>
      </c>
      <c r="H242" s="2">
        <v>2</v>
      </c>
      <c r="I242" s="2" t="str">
        <f>VLOOKUP($H242,分類マスタ!$A:$B,2,FALSE)</f>
        <v>柔法</v>
      </c>
      <c r="J242" s="3" t="s">
        <v>1164</v>
      </c>
      <c r="K242" s="3"/>
      <c r="L242" s="3"/>
      <c r="M242" s="3" t="s">
        <v>1152</v>
      </c>
      <c r="N242" s="3"/>
      <c r="O242" s="7">
        <v>303</v>
      </c>
      <c r="P242" s="3" t="s">
        <v>1492</v>
      </c>
    </row>
    <row r="243" spans="1:16" x14ac:dyDescent="0.45">
      <c r="A243" s="3">
        <v>242</v>
      </c>
      <c r="B243" s="3">
        <v>11</v>
      </c>
      <c r="C243" s="2" t="str">
        <f>VLOOKUP($B243,拳系マスタ!$A:$B,2,FALSE)</f>
        <v>羅漢拳</v>
      </c>
      <c r="D243" s="3" t="s">
        <v>398</v>
      </c>
      <c r="E243" s="3" t="s">
        <v>1416</v>
      </c>
      <c r="F243" s="3">
        <v>10</v>
      </c>
      <c r="G243" s="2" t="str">
        <f>VLOOKUP($F243,階級マスタ!$A:$B,2,FALSE)</f>
        <v>四</v>
      </c>
      <c r="H243" s="2">
        <v>2</v>
      </c>
      <c r="I243" s="2" t="str">
        <f>VLOOKUP($H243,分類マスタ!$A:$B,2,FALSE)</f>
        <v>柔法</v>
      </c>
      <c r="J243" s="3" t="s">
        <v>1164</v>
      </c>
      <c r="K243" s="3"/>
      <c r="L243" s="3"/>
      <c r="M243" s="3" t="s">
        <v>1152</v>
      </c>
      <c r="N243" s="3"/>
      <c r="O243" s="7">
        <v>303</v>
      </c>
      <c r="P243" s="3" t="s">
        <v>1492</v>
      </c>
    </row>
    <row r="244" spans="1:16" x14ac:dyDescent="0.45">
      <c r="A244" s="3">
        <v>243</v>
      </c>
      <c r="B244" s="3">
        <v>11</v>
      </c>
      <c r="C244" s="2" t="str">
        <f>VLOOKUP($B244,拳系マスタ!$A:$B,2,FALSE)</f>
        <v>羅漢拳</v>
      </c>
      <c r="D244" s="3" t="s">
        <v>399</v>
      </c>
      <c r="E244" s="3" t="s">
        <v>1417</v>
      </c>
      <c r="F244" s="3">
        <v>11</v>
      </c>
      <c r="G244" s="2" t="str">
        <f>VLOOKUP($F244,階級マスタ!$A:$B,2,FALSE)</f>
        <v>五</v>
      </c>
      <c r="H244" s="2">
        <v>2</v>
      </c>
      <c r="I244" s="2" t="str">
        <f>VLOOKUP($H244,分類マスタ!$A:$B,2,FALSE)</f>
        <v>柔法</v>
      </c>
      <c r="J244" s="3"/>
      <c r="K244" s="3"/>
      <c r="L244" s="3"/>
      <c r="M244" s="3"/>
      <c r="N244" s="3"/>
      <c r="O244" s="7">
        <v>305</v>
      </c>
      <c r="P244" s="3" t="s">
        <v>1493</v>
      </c>
    </row>
    <row r="245" spans="1:16" x14ac:dyDescent="0.45">
      <c r="A245" s="3">
        <v>244</v>
      </c>
      <c r="B245" s="3">
        <v>11</v>
      </c>
      <c r="C245" s="2" t="str">
        <f>VLOOKUP($B245,拳系マスタ!$A:$B,2,FALSE)</f>
        <v>羅漢拳</v>
      </c>
      <c r="D245" s="3" t="s">
        <v>400</v>
      </c>
      <c r="E245" s="3" t="s">
        <v>1418</v>
      </c>
      <c r="F245" s="3">
        <v>11</v>
      </c>
      <c r="G245" s="2" t="str">
        <f>VLOOKUP($F245,階級マスタ!$A:$B,2,FALSE)</f>
        <v>五</v>
      </c>
      <c r="H245" s="2">
        <v>2</v>
      </c>
      <c r="I245" s="2" t="str">
        <f>VLOOKUP($H245,分類マスタ!$A:$B,2,FALSE)</f>
        <v>柔法</v>
      </c>
      <c r="J245" s="3"/>
      <c r="K245" s="3"/>
      <c r="L245" s="3"/>
      <c r="M245" s="3"/>
      <c r="N245" s="3"/>
      <c r="O245" s="7">
        <v>305</v>
      </c>
      <c r="P245" s="3" t="s">
        <v>1493</v>
      </c>
    </row>
    <row r="246" spans="1:16" x14ac:dyDescent="0.45">
      <c r="A246" s="3">
        <v>245</v>
      </c>
      <c r="B246" s="3">
        <v>11</v>
      </c>
      <c r="C246" s="2" t="str">
        <f>VLOOKUP($B246,拳系マスタ!$A:$B,2,FALSE)</f>
        <v>羅漢拳</v>
      </c>
      <c r="D246" s="3" t="s">
        <v>401</v>
      </c>
      <c r="E246" s="3" t="s">
        <v>1419</v>
      </c>
      <c r="F246" s="3">
        <v>11</v>
      </c>
      <c r="G246" s="2" t="str">
        <f>VLOOKUP($F246,階級マスタ!$A:$B,2,FALSE)</f>
        <v>五</v>
      </c>
      <c r="H246" s="2">
        <v>2</v>
      </c>
      <c r="I246" s="2" t="str">
        <f>VLOOKUP($H246,分類マスタ!$A:$B,2,FALSE)</f>
        <v>柔法</v>
      </c>
      <c r="J246" s="3"/>
      <c r="K246" s="3"/>
      <c r="L246" s="3"/>
      <c r="M246" s="3"/>
      <c r="N246" s="3"/>
      <c r="O246" s="7">
        <v>305</v>
      </c>
      <c r="P246" s="3" t="s">
        <v>1493</v>
      </c>
    </row>
    <row r="247" spans="1:16" x14ac:dyDescent="0.45">
      <c r="A247" s="3">
        <v>246</v>
      </c>
      <c r="B247" s="3">
        <v>11</v>
      </c>
      <c r="C247" s="2" t="str">
        <f>VLOOKUP($B247,拳系マスタ!$A:$B,2,FALSE)</f>
        <v>羅漢拳</v>
      </c>
      <c r="D247" s="3" t="s">
        <v>402</v>
      </c>
      <c r="E247" s="3" t="s">
        <v>1420</v>
      </c>
      <c r="F247" s="3">
        <v>10</v>
      </c>
      <c r="G247" s="2" t="str">
        <f>VLOOKUP($F247,階級マスタ!$A:$B,2,FALSE)</f>
        <v>四</v>
      </c>
      <c r="H247" s="2">
        <v>2</v>
      </c>
      <c r="I247" s="2" t="str">
        <f>VLOOKUP($H247,分類マスタ!$A:$B,2,FALSE)</f>
        <v>柔法</v>
      </c>
      <c r="J247" s="3"/>
      <c r="K247" s="3"/>
      <c r="L247" s="3"/>
      <c r="M247" s="3"/>
      <c r="N247" s="3"/>
      <c r="O247" s="7">
        <v>305</v>
      </c>
      <c r="P247" s="3" t="s">
        <v>1493</v>
      </c>
    </row>
    <row r="248" spans="1:16" x14ac:dyDescent="0.45">
      <c r="A248" s="3">
        <v>247</v>
      </c>
      <c r="B248" s="3">
        <v>11</v>
      </c>
      <c r="C248" s="2" t="str">
        <f>VLOOKUP($B248,拳系マスタ!$A:$B,2,FALSE)</f>
        <v>羅漢拳</v>
      </c>
      <c r="D248" s="3" t="s">
        <v>403</v>
      </c>
      <c r="E248" s="3" t="s">
        <v>1421</v>
      </c>
      <c r="F248" s="3">
        <v>10</v>
      </c>
      <c r="G248" s="2" t="str">
        <f>VLOOKUP($F248,階級マスタ!$A:$B,2,FALSE)</f>
        <v>四</v>
      </c>
      <c r="H248" s="2">
        <v>2</v>
      </c>
      <c r="I248" s="2" t="str">
        <f>VLOOKUP($H248,分類マスタ!$A:$B,2,FALSE)</f>
        <v>柔法</v>
      </c>
      <c r="J248" s="3"/>
      <c r="K248" s="3"/>
      <c r="L248" s="3"/>
      <c r="M248" s="3"/>
      <c r="N248" s="3"/>
      <c r="O248" s="7">
        <v>305</v>
      </c>
      <c r="P248" s="3" t="s">
        <v>1493</v>
      </c>
    </row>
    <row r="249" spans="1:16" x14ac:dyDescent="0.45">
      <c r="A249" s="3">
        <v>248</v>
      </c>
      <c r="B249" s="3">
        <v>11</v>
      </c>
      <c r="C249" s="2" t="str">
        <f>VLOOKUP($B249,拳系マスタ!$A:$B,2,FALSE)</f>
        <v>羅漢拳</v>
      </c>
      <c r="D249" s="3" t="s">
        <v>404</v>
      </c>
      <c r="E249" s="3" t="s">
        <v>1422</v>
      </c>
      <c r="F249" s="3">
        <v>9</v>
      </c>
      <c r="G249" s="2" t="str">
        <f>VLOOKUP($F249,階級マスタ!$A:$B,2,FALSE)</f>
        <v>三</v>
      </c>
      <c r="H249" s="2">
        <v>2</v>
      </c>
      <c r="I249" s="2" t="str">
        <f>VLOOKUP($H249,分類マスタ!$A:$B,2,FALSE)</f>
        <v>柔法</v>
      </c>
      <c r="J249" s="3" t="s">
        <v>405</v>
      </c>
      <c r="K249" s="3"/>
      <c r="L249" s="3"/>
      <c r="M249" s="3"/>
      <c r="N249" s="3"/>
      <c r="O249" s="7">
        <v>305</v>
      </c>
      <c r="P249" s="3" t="s">
        <v>1493</v>
      </c>
    </row>
    <row r="250" spans="1:16" x14ac:dyDescent="0.45">
      <c r="A250" s="3">
        <v>249</v>
      </c>
      <c r="B250" s="3">
        <v>11</v>
      </c>
      <c r="C250" s="2" t="str">
        <f>VLOOKUP($B250,拳系マスタ!$A:$B,2,FALSE)</f>
        <v>羅漢拳</v>
      </c>
      <c r="D250" s="3" t="s">
        <v>406</v>
      </c>
      <c r="E250" s="3" t="s">
        <v>1423</v>
      </c>
      <c r="F250" s="3">
        <v>10</v>
      </c>
      <c r="G250" s="2" t="str">
        <f>VLOOKUP($F250,階級マスタ!$A:$B,2,FALSE)</f>
        <v>四</v>
      </c>
      <c r="H250" s="2">
        <v>2</v>
      </c>
      <c r="I250" s="2" t="str">
        <f>VLOOKUP($H250,分類マスタ!$A:$B,2,FALSE)</f>
        <v>柔法</v>
      </c>
      <c r="J250" s="3" t="s">
        <v>1164</v>
      </c>
      <c r="K250" s="3"/>
      <c r="L250" s="3"/>
      <c r="M250" s="3" t="s">
        <v>1152</v>
      </c>
      <c r="N250" s="3"/>
      <c r="O250" s="7">
        <v>306</v>
      </c>
      <c r="P250" s="3" t="s">
        <v>1494</v>
      </c>
    </row>
    <row r="251" spans="1:16" x14ac:dyDescent="0.45">
      <c r="A251" s="3">
        <v>250</v>
      </c>
      <c r="B251" s="3">
        <v>11</v>
      </c>
      <c r="C251" s="2" t="str">
        <f>VLOOKUP($B251,拳系マスタ!$A:$B,2,FALSE)</f>
        <v>羅漢拳</v>
      </c>
      <c r="D251" s="3" t="s">
        <v>408</v>
      </c>
      <c r="E251" s="3" t="s">
        <v>1424</v>
      </c>
      <c r="F251" s="3">
        <v>10</v>
      </c>
      <c r="G251" s="2" t="str">
        <f>VLOOKUP($F251,階級マスタ!$A:$B,2,FALSE)</f>
        <v>四</v>
      </c>
      <c r="H251" s="2">
        <v>2</v>
      </c>
      <c r="I251" s="2" t="str">
        <f>VLOOKUP($H251,分類マスタ!$A:$B,2,FALSE)</f>
        <v>柔法</v>
      </c>
      <c r="J251" s="3" t="s">
        <v>1135</v>
      </c>
      <c r="K251" s="3" t="s">
        <v>1152</v>
      </c>
      <c r="L251" s="3"/>
      <c r="M251" s="3" t="s">
        <v>1166</v>
      </c>
      <c r="N251" s="3"/>
      <c r="O251" s="7">
        <v>306</v>
      </c>
      <c r="P251" s="3" t="s">
        <v>1494</v>
      </c>
    </row>
    <row r="252" spans="1:16" x14ac:dyDescent="0.45">
      <c r="A252" s="3">
        <v>251</v>
      </c>
      <c r="B252" s="3">
        <v>11</v>
      </c>
      <c r="C252" s="2" t="str">
        <f>VLOOKUP($B252,拳系マスタ!$A:$B,2,FALSE)</f>
        <v>羅漢拳</v>
      </c>
      <c r="D252" s="3" t="s">
        <v>411</v>
      </c>
      <c r="E252" s="3" t="s">
        <v>1425</v>
      </c>
      <c r="F252" s="3">
        <v>10</v>
      </c>
      <c r="G252" s="2" t="str">
        <f>VLOOKUP($F252,階級マスタ!$A:$B,2,FALSE)</f>
        <v>四</v>
      </c>
      <c r="H252" s="2">
        <v>2</v>
      </c>
      <c r="I252" s="2" t="str">
        <f>VLOOKUP($H252,分類マスタ!$A:$B,2,FALSE)</f>
        <v>柔法</v>
      </c>
      <c r="J252" s="3" t="s">
        <v>1135</v>
      </c>
      <c r="K252" s="3" t="s">
        <v>1152</v>
      </c>
      <c r="L252" s="3"/>
      <c r="M252" s="3" t="s">
        <v>1166</v>
      </c>
      <c r="N252" s="3"/>
      <c r="O252" s="7">
        <v>307</v>
      </c>
      <c r="P252" s="3" t="s">
        <v>1494</v>
      </c>
    </row>
    <row r="253" spans="1:16" x14ac:dyDescent="0.45">
      <c r="A253" s="3">
        <v>252</v>
      </c>
      <c r="B253" s="3">
        <v>11</v>
      </c>
      <c r="C253" s="2" t="str">
        <f>VLOOKUP($B253,拳系マスタ!$A:$B,2,FALSE)</f>
        <v>羅漢拳</v>
      </c>
      <c r="D253" s="3" t="s">
        <v>412</v>
      </c>
      <c r="E253" s="3" t="s">
        <v>1426</v>
      </c>
      <c r="F253" s="3">
        <v>10</v>
      </c>
      <c r="G253" s="2" t="str">
        <f>VLOOKUP($F253,階級マスタ!$A:$B,2,FALSE)</f>
        <v>四</v>
      </c>
      <c r="H253" s="2">
        <v>2</v>
      </c>
      <c r="I253" s="2" t="str">
        <f>VLOOKUP($H253,分類マスタ!$A:$B,2,FALSE)</f>
        <v>柔法</v>
      </c>
      <c r="J253" s="3"/>
      <c r="K253" s="3"/>
      <c r="L253" s="3"/>
      <c r="M253" s="3"/>
      <c r="N253" s="3"/>
      <c r="O253" s="7">
        <v>307</v>
      </c>
      <c r="P253" s="3" t="s">
        <v>1494</v>
      </c>
    </row>
    <row r="254" spans="1:16" x14ac:dyDescent="0.45">
      <c r="A254" s="3">
        <v>253</v>
      </c>
      <c r="B254" s="3">
        <v>11</v>
      </c>
      <c r="C254" s="2" t="str">
        <f>VLOOKUP($B254,拳系マスタ!$A:$B,2,FALSE)</f>
        <v>羅漢拳</v>
      </c>
      <c r="D254" s="3" t="s">
        <v>413</v>
      </c>
      <c r="E254" s="3" t="s">
        <v>1427</v>
      </c>
      <c r="F254" s="3">
        <v>10</v>
      </c>
      <c r="G254" s="2" t="str">
        <f>VLOOKUP($F254,階級マスタ!$A:$B,2,FALSE)</f>
        <v>四</v>
      </c>
      <c r="H254" s="2">
        <v>2</v>
      </c>
      <c r="I254" s="2" t="str">
        <f>VLOOKUP($H254,分類マスタ!$A:$B,2,FALSE)</f>
        <v>柔法</v>
      </c>
      <c r="J254" s="3" t="s">
        <v>1136</v>
      </c>
      <c r="K254" s="3" t="s">
        <v>1152</v>
      </c>
      <c r="L254" s="3"/>
      <c r="M254" s="3" t="s">
        <v>1166</v>
      </c>
      <c r="N254" s="3"/>
      <c r="O254" s="7">
        <v>307</v>
      </c>
      <c r="P254" s="3" t="s">
        <v>1494</v>
      </c>
    </row>
    <row r="255" spans="1:16" x14ac:dyDescent="0.45">
      <c r="A255" s="3">
        <v>254</v>
      </c>
      <c r="B255" s="3">
        <v>11</v>
      </c>
      <c r="C255" s="2" t="str">
        <f>VLOOKUP($B255,拳系マスタ!$A:$B,2,FALSE)</f>
        <v>羅漢拳</v>
      </c>
      <c r="D255" s="3" t="s">
        <v>415</v>
      </c>
      <c r="E255" s="3" t="s">
        <v>1428</v>
      </c>
      <c r="F255" s="3">
        <v>10</v>
      </c>
      <c r="G255" s="2" t="str">
        <f>VLOOKUP($F255,階級マスタ!$A:$B,2,FALSE)</f>
        <v>四</v>
      </c>
      <c r="H255" s="2">
        <v>2</v>
      </c>
      <c r="I255" s="2" t="str">
        <f>VLOOKUP($H255,分類マスタ!$A:$B,2,FALSE)</f>
        <v>柔法</v>
      </c>
      <c r="J255" s="3" t="s">
        <v>1136</v>
      </c>
      <c r="K255" s="3" t="s">
        <v>1152</v>
      </c>
      <c r="L255" s="3"/>
      <c r="M255" s="3" t="s">
        <v>1166</v>
      </c>
      <c r="N255" s="3"/>
      <c r="O255" s="7">
        <v>308</v>
      </c>
      <c r="P255" s="3" t="s">
        <v>1495</v>
      </c>
    </row>
    <row r="256" spans="1:16" x14ac:dyDescent="0.45">
      <c r="A256" s="3">
        <v>255</v>
      </c>
      <c r="B256" s="3">
        <v>11</v>
      </c>
      <c r="C256" s="2" t="str">
        <f>VLOOKUP($B256,拳系マスタ!$A:$B,2,FALSE)</f>
        <v>羅漢拳</v>
      </c>
      <c r="D256" s="3" t="s">
        <v>416</v>
      </c>
      <c r="E256" s="3" t="s">
        <v>1429</v>
      </c>
      <c r="F256" s="3">
        <v>10</v>
      </c>
      <c r="G256" s="2" t="str">
        <f>VLOOKUP($F256,階級マスタ!$A:$B,2,FALSE)</f>
        <v>四</v>
      </c>
      <c r="H256" s="2">
        <v>2</v>
      </c>
      <c r="I256" s="2" t="str">
        <f>VLOOKUP($H256,分類マスタ!$A:$B,2,FALSE)</f>
        <v>柔法</v>
      </c>
      <c r="J256" s="3"/>
      <c r="K256" s="3"/>
      <c r="L256" s="3"/>
      <c r="M256" s="3"/>
      <c r="N256" s="3"/>
      <c r="O256" s="7">
        <v>308</v>
      </c>
      <c r="P256" s="3" t="s">
        <v>1495</v>
      </c>
    </row>
    <row r="257" spans="1:16" x14ac:dyDescent="0.45">
      <c r="A257" s="3">
        <v>256</v>
      </c>
      <c r="B257" s="3">
        <v>11</v>
      </c>
      <c r="C257" s="2" t="str">
        <f>VLOOKUP($B257,拳系マスタ!$A:$B,2,FALSE)</f>
        <v>羅漢拳</v>
      </c>
      <c r="D257" s="3" t="s">
        <v>417</v>
      </c>
      <c r="E257" s="3" t="s">
        <v>1430</v>
      </c>
      <c r="F257" s="3">
        <v>10</v>
      </c>
      <c r="G257" s="2" t="str">
        <f>VLOOKUP($F257,階級マスタ!$A:$B,2,FALSE)</f>
        <v>四</v>
      </c>
      <c r="H257" s="2">
        <v>2</v>
      </c>
      <c r="I257" s="2" t="str">
        <f>VLOOKUP($H257,分類マスタ!$A:$B,2,FALSE)</f>
        <v>柔法</v>
      </c>
      <c r="J257" s="3"/>
      <c r="K257" s="3"/>
      <c r="L257" s="3"/>
      <c r="M257" s="3"/>
      <c r="N257" s="3"/>
      <c r="O257" s="7">
        <v>308</v>
      </c>
      <c r="P257" s="3" t="s">
        <v>1495</v>
      </c>
    </row>
    <row r="258" spans="1:16" x14ac:dyDescent="0.45">
      <c r="A258" s="3">
        <v>257</v>
      </c>
      <c r="B258" s="3">
        <v>11</v>
      </c>
      <c r="C258" s="2" t="str">
        <f>VLOOKUP($B258,拳系マスタ!$A:$B,2,FALSE)</f>
        <v>羅漢拳</v>
      </c>
      <c r="D258" s="3" t="s">
        <v>418</v>
      </c>
      <c r="E258" s="3" t="s">
        <v>1431</v>
      </c>
      <c r="F258" s="3">
        <v>11</v>
      </c>
      <c r="G258" s="2" t="str">
        <f>VLOOKUP($F258,階級マスタ!$A:$B,2,FALSE)</f>
        <v>五</v>
      </c>
      <c r="H258" s="2">
        <v>2</v>
      </c>
      <c r="I258" s="2" t="str">
        <f>VLOOKUP($H258,分類マスタ!$A:$B,2,FALSE)</f>
        <v>柔法</v>
      </c>
      <c r="J258" s="3"/>
      <c r="K258" s="3"/>
      <c r="L258" s="3"/>
      <c r="M258" s="3"/>
      <c r="N258" s="3"/>
      <c r="O258" s="7">
        <v>308</v>
      </c>
      <c r="P258" s="3" t="s">
        <v>1495</v>
      </c>
    </row>
    <row r="259" spans="1:16" x14ac:dyDescent="0.45">
      <c r="A259" s="3">
        <v>258</v>
      </c>
      <c r="B259" s="3">
        <v>11</v>
      </c>
      <c r="C259" s="2" t="str">
        <f>VLOOKUP($B259,拳系マスタ!$A:$B,2,FALSE)</f>
        <v>羅漢拳</v>
      </c>
      <c r="D259" s="3" t="s">
        <v>419</v>
      </c>
      <c r="E259" s="3" t="s">
        <v>1432</v>
      </c>
      <c r="F259" s="3">
        <v>11</v>
      </c>
      <c r="G259" s="2" t="str">
        <f>VLOOKUP($F259,階級マスタ!$A:$B,2,FALSE)</f>
        <v>五</v>
      </c>
      <c r="H259" s="2">
        <v>2</v>
      </c>
      <c r="I259" s="2" t="str">
        <f>VLOOKUP($H259,分類マスタ!$A:$B,2,FALSE)</f>
        <v>柔法</v>
      </c>
      <c r="J259" s="3"/>
      <c r="K259" s="3"/>
      <c r="L259" s="3"/>
      <c r="M259" s="3"/>
      <c r="N259" s="3"/>
      <c r="O259" s="7">
        <v>309</v>
      </c>
      <c r="P259" s="3" t="s">
        <v>1495</v>
      </c>
    </row>
    <row r="260" spans="1:16" x14ac:dyDescent="0.45">
      <c r="A260" s="3">
        <v>259</v>
      </c>
      <c r="B260" s="3">
        <v>11</v>
      </c>
      <c r="C260" s="2" t="str">
        <f>VLOOKUP($B260,拳系マスタ!$A:$B,2,FALSE)</f>
        <v>羅漢拳</v>
      </c>
      <c r="D260" s="3" t="s">
        <v>420</v>
      </c>
      <c r="E260" s="3" t="s">
        <v>1433</v>
      </c>
      <c r="F260" s="3">
        <v>11</v>
      </c>
      <c r="G260" s="2" t="str">
        <f>VLOOKUP($F260,階級マスタ!$A:$B,2,FALSE)</f>
        <v>五</v>
      </c>
      <c r="H260" s="2">
        <v>2</v>
      </c>
      <c r="I260" s="2" t="str">
        <f>VLOOKUP($H260,分類マスタ!$A:$B,2,FALSE)</f>
        <v>柔法</v>
      </c>
      <c r="J260" s="3"/>
      <c r="K260" s="3"/>
      <c r="L260" s="3"/>
      <c r="M260" s="3"/>
      <c r="N260" s="3"/>
      <c r="O260" s="7">
        <v>309</v>
      </c>
      <c r="P260" s="3" t="s">
        <v>1495</v>
      </c>
    </row>
    <row r="261" spans="1:16" x14ac:dyDescent="0.45">
      <c r="A261" s="3">
        <v>260</v>
      </c>
      <c r="B261" s="3">
        <v>11</v>
      </c>
      <c r="C261" s="2" t="str">
        <f>VLOOKUP($B261,拳系マスタ!$A:$B,2,FALSE)</f>
        <v>羅漢拳</v>
      </c>
      <c r="D261" s="3" t="s">
        <v>421</v>
      </c>
      <c r="E261" s="3" t="s">
        <v>1434</v>
      </c>
      <c r="F261" s="3">
        <v>11</v>
      </c>
      <c r="G261" s="2" t="str">
        <f>VLOOKUP($F261,階級マスタ!$A:$B,2,FALSE)</f>
        <v>五</v>
      </c>
      <c r="H261" s="2">
        <v>2</v>
      </c>
      <c r="I261" s="2" t="str">
        <f>VLOOKUP($H261,分類マスタ!$A:$B,2,FALSE)</f>
        <v>柔法</v>
      </c>
      <c r="J261" s="3"/>
      <c r="K261" s="3"/>
      <c r="L261" s="3"/>
      <c r="M261" s="3"/>
      <c r="N261" s="3"/>
      <c r="O261" s="7">
        <v>309</v>
      </c>
      <c r="P261" s="3" t="s">
        <v>1495</v>
      </c>
    </row>
    <row r="262" spans="1:16" x14ac:dyDescent="0.45">
      <c r="A262" s="3">
        <v>261</v>
      </c>
      <c r="B262" s="3">
        <v>11</v>
      </c>
      <c r="C262" s="2" t="str">
        <f>VLOOKUP($B262,拳系マスタ!$A:$B,2,FALSE)</f>
        <v>羅漢拳</v>
      </c>
      <c r="D262" s="3" t="s">
        <v>422</v>
      </c>
      <c r="E262" s="3" t="s">
        <v>1435</v>
      </c>
      <c r="F262" s="3">
        <v>10</v>
      </c>
      <c r="G262" s="2" t="str">
        <f>VLOOKUP($F262,階級マスタ!$A:$B,2,FALSE)</f>
        <v>四</v>
      </c>
      <c r="H262" s="2">
        <v>2</v>
      </c>
      <c r="I262" s="2" t="str">
        <f>VLOOKUP($H262,分類マスタ!$A:$B,2,FALSE)</f>
        <v>柔法</v>
      </c>
      <c r="J262" s="3" t="s">
        <v>1164</v>
      </c>
      <c r="K262" s="3"/>
      <c r="L262" s="3"/>
      <c r="M262" s="3" t="s">
        <v>1152</v>
      </c>
      <c r="N262" s="3"/>
      <c r="O262" s="7">
        <v>310</v>
      </c>
      <c r="P262" s="3" t="s">
        <v>1496</v>
      </c>
    </row>
    <row r="263" spans="1:16" x14ac:dyDescent="0.45">
      <c r="A263" s="3">
        <v>262</v>
      </c>
      <c r="B263" s="3">
        <v>11</v>
      </c>
      <c r="C263" s="2" t="str">
        <f>VLOOKUP($B263,拳系マスタ!$A:$B,2,FALSE)</f>
        <v>羅漢拳</v>
      </c>
      <c r="D263" s="3" t="s">
        <v>423</v>
      </c>
      <c r="E263" s="3" t="s">
        <v>1436</v>
      </c>
      <c r="F263" s="3">
        <v>11</v>
      </c>
      <c r="G263" s="2" t="str">
        <f>VLOOKUP($F263,階級マスタ!$A:$B,2,FALSE)</f>
        <v>五</v>
      </c>
      <c r="H263" s="2">
        <v>2</v>
      </c>
      <c r="I263" s="2" t="str">
        <f>VLOOKUP($H263,分類マスタ!$A:$B,2,FALSE)</f>
        <v>柔法</v>
      </c>
      <c r="J263" s="3" t="s">
        <v>1135</v>
      </c>
      <c r="K263" s="3" t="s">
        <v>1152</v>
      </c>
      <c r="L263" s="3"/>
      <c r="M263" s="3" t="s">
        <v>1166</v>
      </c>
      <c r="N263" s="3"/>
      <c r="O263" s="7">
        <v>310</v>
      </c>
      <c r="P263" s="3" t="s">
        <v>1496</v>
      </c>
    </row>
    <row r="264" spans="1:16" x14ac:dyDescent="0.45">
      <c r="A264" s="3">
        <v>263</v>
      </c>
      <c r="B264" s="3">
        <v>11</v>
      </c>
      <c r="C264" s="2" t="str">
        <f>VLOOKUP($B264,拳系マスタ!$A:$B,2,FALSE)</f>
        <v>羅漢拳</v>
      </c>
      <c r="D264" s="3" t="s">
        <v>424</v>
      </c>
      <c r="E264" s="3" t="s">
        <v>1437</v>
      </c>
      <c r="F264" s="3">
        <v>9</v>
      </c>
      <c r="G264" s="2" t="str">
        <f>VLOOKUP($F264,階級マスタ!$A:$B,2,FALSE)</f>
        <v>三</v>
      </c>
      <c r="H264" s="2">
        <v>2</v>
      </c>
      <c r="I264" s="2" t="str">
        <f>VLOOKUP($H264,分類マスタ!$A:$B,2,FALSE)</f>
        <v>柔法</v>
      </c>
      <c r="J264" s="3" t="s">
        <v>1135</v>
      </c>
      <c r="K264" s="3" t="s">
        <v>1152</v>
      </c>
      <c r="L264" s="3"/>
      <c r="M264" s="3" t="s">
        <v>1152</v>
      </c>
      <c r="N264" s="3"/>
      <c r="O264" s="7">
        <v>311</v>
      </c>
      <c r="P264" s="3" t="s">
        <v>1496</v>
      </c>
    </row>
    <row r="265" spans="1:16" x14ac:dyDescent="0.45">
      <c r="A265" s="3">
        <v>264</v>
      </c>
      <c r="B265" s="3">
        <v>11</v>
      </c>
      <c r="C265" s="2" t="str">
        <f>VLOOKUP($B265,拳系マスタ!$A:$B,2,FALSE)</f>
        <v>羅漢拳</v>
      </c>
      <c r="D265" s="3" t="s">
        <v>427</v>
      </c>
      <c r="E265" s="3" t="s">
        <v>1438</v>
      </c>
      <c r="F265" s="3">
        <v>11</v>
      </c>
      <c r="G265" s="2" t="str">
        <f>VLOOKUP($F265,階級マスタ!$A:$B,2,FALSE)</f>
        <v>五</v>
      </c>
      <c r="H265" s="2">
        <v>2</v>
      </c>
      <c r="I265" s="2" t="str">
        <f>VLOOKUP($H265,分類マスタ!$A:$B,2,FALSE)</f>
        <v>柔法</v>
      </c>
      <c r="J265" s="3" t="s">
        <v>1136</v>
      </c>
      <c r="K265" s="3" t="s">
        <v>1165</v>
      </c>
      <c r="L265" s="3"/>
      <c r="M265" s="3" t="s">
        <v>1165</v>
      </c>
      <c r="N265" s="3"/>
      <c r="O265" s="7">
        <v>311</v>
      </c>
      <c r="P265" s="3" t="s">
        <v>1496</v>
      </c>
    </row>
    <row r="266" spans="1:16" x14ac:dyDescent="0.45">
      <c r="A266" s="3">
        <v>265</v>
      </c>
      <c r="B266" s="3">
        <v>11</v>
      </c>
      <c r="C266" s="2" t="str">
        <f>VLOOKUP($B266,拳系マスタ!$A:$B,2,FALSE)</f>
        <v>羅漢拳</v>
      </c>
      <c r="D266" s="3" t="s">
        <v>428</v>
      </c>
      <c r="E266" s="3" t="s">
        <v>1439</v>
      </c>
      <c r="F266" s="3">
        <v>11</v>
      </c>
      <c r="G266" s="2" t="str">
        <f>VLOOKUP($F266,階級マスタ!$A:$B,2,FALSE)</f>
        <v>五</v>
      </c>
      <c r="H266" s="2">
        <v>2</v>
      </c>
      <c r="I266" s="2" t="str">
        <f>VLOOKUP($H266,分類マスタ!$A:$B,2,FALSE)</f>
        <v>柔法</v>
      </c>
      <c r="J266" s="3"/>
      <c r="K266" s="3"/>
      <c r="L266" s="3"/>
      <c r="M266" s="3"/>
      <c r="N266" s="3"/>
      <c r="O266" s="7">
        <v>312</v>
      </c>
      <c r="P266" s="3" t="s">
        <v>1497</v>
      </c>
    </row>
    <row r="267" spans="1:16" x14ac:dyDescent="0.45">
      <c r="A267" s="3">
        <v>266</v>
      </c>
      <c r="B267" s="3">
        <v>11</v>
      </c>
      <c r="C267" s="2" t="str">
        <f>VLOOKUP($B267,拳系マスタ!$A:$B,2,FALSE)</f>
        <v>羅漢拳</v>
      </c>
      <c r="D267" s="3" t="s">
        <v>429</v>
      </c>
      <c r="E267" s="3" t="s">
        <v>1440</v>
      </c>
      <c r="F267" s="3">
        <v>11</v>
      </c>
      <c r="G267" s="2" t="str">
        <f>VLOOKUP($F267,階級マスタ!$A:$B,2,FALSE)</f>
        <v>五</v>
      </c>
      <c r="H267" s="2">
        <v>2</v>
      </c>
      <c r="I267" s="2" t="str">
        <f>VLOOKUP($H267,分類マスタ!$A:$B,2,FALSE)</f>
        <v>柔法</v>
      </c>
      <c r="J267" s="3"/>
      <c r="K267" s="3"/>
      <c r="L267" s="3"/>
      <c r="M267" s="3"/>
      <c r="N267" s="3"/>
      <c r="O267" s="7">
        <v>312</v>
      </c>
      <c r="P267" s="3" t="s">
        <v>1497</v>
      </c>
    </row>
  </sheetData>
  <autoFilter ref="C1:O267" xr:uid="{0F760AB3-AAE1-4711-982D-A32CBD2B24F5}"/>
  <phoneticPr fontId="2"/>
  <hyperlinks>
    <hyperlink ref="O69" r:id="rId1" display="https://1drv.ms/b/c/a8f0902f6b5ae388/IQDyCF3M6ZB5QLqMtTnu4cBxAUa2pW60kEn3c-NgIR9hEpc?e=7C6j2K" xr:uid="{C31435D0-88F9-4F32-A7CB-28285D602F85}"/>
    <hyperlink ref="O71" r:id="rId2" display="https://1drv.ms/b/c/a8f0902f6b5ae388/IQDQzsgVBUlDRLjlWbMDya-8AVFCZCSZNKpsDexrlbA357A?e=KIeGHy" xr:uid="{75ACFB10-F756-4E4E-8F97-A8194A2666C7}"/>
    <hyperlink ref="O72" r:id="rId3" display="https://1drv.ms/b/c/a8f0902f6b5ae388/IQBmpsInEaLTTY9-uoH8oBZfAfehxLzCtpf6DDIUoqvR1xE?e=W9jga3" xr:uid="{0372A2DC-DAC7-421A-B6EF-731B93C8AF86}"/>
    <hyperlink ref="O75" r:id="rId4" display="https://1drv.ms/b/c/a8f0902f6b5ae388/IQBmpsInEaLTTY9-uoH8oBZfAfehxLzCtpf6DDIUoqvR1xE?e=W9jga3" xr:uid="{7E28015E-8D9F-4288-80C2-F7DAC8AA2739}"/>
    <hyperlink ref="O76" r:id="rId5" display="https://1drv.ms/b/c/a8f0902f6b5ae388/IQBmpsInEaLTTY9-uoH8oBZfAfehxLzCtpf6DDIUoqvR1xE?e=W9jga3" xr:uid="{5DFBBDB3-0595-420C-A5EE-41E59361C9BA}"/>
    <hyperlink ref="O78" r:id="rId6" display="https://1drv.ms/b/c/a8f0902f6b5ae388/IQBeIcbAKv6VT7m_VgLxjQfAAe4Hpe9J27oIOgAz1VHYZVI?e=556ooG" xr:uid="{726AC45D-305D-4B49-A952-5B834AD75664}"/>
    <hyperlink ref="O79" r:id="rId7" display="https://1drv.ms/b/c/a8f0902f6b5ae388/IQBeIcbAKv6VT7m_VgLxjQfAAe4Hpe9J27oIOgAz1VHYZVI?e=556ooG" xr:uid="{FEA4187D-2984-4875-B2A2-0ECA83E1CCB3}"/>
    <hyperlink ref="O80" r:id="rId8" display="https://1drv.ms/b/c/a8f0902f6b5ae388/IQBeIcbAKv6VT7m_VgLxjQfAAe4Hpe9J27oIOgAz1VHYZVI?e=556ooG" xr:uid="{FE1AEB04-73FE-48BC-9AAC-57797A411AFC}"/>
    <hyperlink ref="O81" r:id="rId9" display="https://1drv.ms/b/c/a8f0902f6b5ae388/IQBeIcbAKv6VT7m_VgLxjQfAAe4Hpe9J27oIOgAz1VHYZVI?e=556ooG" xr:uid="{035066D4-C0A9-4784-9A1F-1490A3CA8853}"/>
    <hyperlink ref="O82" r:id="rId10" display="https://1drv.ms/b/c/a8f0902f6b5ae388/IQBeIcbAKv6VT7m_VgLxjQfAAe4Hpe9J27oIOgAz1VHYZVI?e=556ooG" xr:uid="{4892CCF2-FC64-40A1-AD07-5FBC8DE2D702}"/>
    <hyperlink ref="O84" r:id="rId11" display="https://1drv.ms/b/c/a8f0902f6b5ae388/IQDrJQpl75RvQrtn28A_tg1vAYS-O5jFU0xJbdjVPdgH-wY?e=kXYsgr" xr:uid="{03F3D0A4-0FFB-45B2-8CE5-2B9D89B8CDB9}"/>
    <hyperlink ref="O86" r:id="rId12" display="https://1drv.ms/b/c/a8f0902f6b5ae388/IQDrJQpl75RvQrtn28A_tg1vAYS-O5jFU0xJbdjVPdgH-wY?e=kXYsgr" xr:uid="{D103F112-258F-4234-92E8-B954BB1DB25F}"/>
    <hyperlink ref="O87" r:id="rId13" display="https://1drv.ms/b/c/a8f0902f6b5ae388/IQDrJQpl75RvQrtn28A_tg1vAYS-O5jFU0xJbdjVPdgH-wY?e=kXYsgr" xr:uid="{642AEB1E-61D7-4A41-9983-7812B692C121}"/>
    <hyperlink ref="O88" r:id="rId14" display="https://1drv.ms/b/c/a8f0902f6b5ae388/IQDrJQpl75RvQrtn28A_tg1vAYS-O5jFU0xJbdjVPdgH-wY?e=kXYsgr" xr:uid="{41FBA588-19FB-43B2-9790-E484640509D0}"/>
    <hyperlink ref="O89" r:id="rId15" display="https://1drv.ms/b/c/a8f0902f6b5ae388/IQDrJQpl75RvQrtn28A_tg1vAYS-O5jFU0xJbdjVPdgH-wY?e=kXYsgr" xr:uid="{B639306C-2559-46BC-8559-9168458547B0}"/>
    <hyperlink ref="O90" r:id="rId16" display="https://1drv.ms/b/c/a8f0902f6b5ae388/IQCrG59sIiyRR5mViQZ9qz1KAYEOYoy1-eUDz6vve1IeoBM?e=YhZ1bh" xr:uid="{28802AFF-2FF7-470C-9141-6C5282EC8B8A}"/>
    <hyperlink ref="O91" r:id="rId17" display="https://1drv.ms/b/c/a8f0902f6b5ae388/IQCrG59sIiyRR5mViQZ9qz1KAYEOYoy1-eUDz6vve1IeoBM?e=YhZ1bh" xr:uid="{CC4DD8F1-B0FB-4E3B-A84B-0E4B320F0B2F}"/>
    <hyperlink ref="O92" r:id="rId18" display="https://1drv.ms/b/c/a8f0902f6b5ae388/IQCrG59sIiyRR5mViQZ9qz1KAYEOYoy1-eUDz6vve1IeoBM?e=YhZ1bh" xr:uid="{E3B8BFF3-78DF-4D47-AE36-D3286A0C6E8A}"/>
    <hyperlink ref="O94" r:id="rId19" display="https://1drv.ms/b/c/a8f0902f6b5ae388/IQCrG59sIiyRR5mViQZ9qz1KAYEOYoy1-eUDz6vve1IeoBM?e=YhZ1bh" xr:uid="{94275948-A717-4F92-B900-C8A2828B1634}"/>
    <hyperlink ref="O96" r:id="rId20" display="https://1drv.ms/b/c/a8f0902f6b5ae388/IQCrG59sIiyRR5mViQZ9qz1KAYEOYoy1-eUDz6vve1IeoBM?e=YhZ1bh" xr:uid="{BD0DC1E2-6426-46B3-9D4C-EAD1DB67B622}"/>
    <hyperlink ref="O97" r:id="rId21" display="https://1drv.ms/b/c/a8f0902f6b5ae388/IQBlPkTqZuc8RJpVpa-IeRVPAXwsniFAOOTcH9y5svfpl-k?e=AEhbZu" xr:uid="{6BB6C365-B548-44F4-AF45-E01FE5CF71E2}"/>
    <hyperlink ref="O98" r:id="rId22" display="https://1drv.ms/b/c/a8f0902f6b5ae388/IQBlPkTqZuc8RJpVpa-IeRVPAXwsniFAOOTcH9y5svfpl-k?e=AEhbZu" xr:uid="{BA453030-E240-447C-AF2A-CF366B36DBBE}"/>
    <hyperlink ref="O99" r:id="rId23" display="https://1drv.ms/b/c/a8f0902f6b5ae388/IQBlPkTqZuc8RJpVpa-IeRVPAXwsniFAOOTcH9y5svfpl-k?e=AEhbZu" xr:uid="{2EE27F2B-8654-4CC8-A00E-C8B6F92311CE}"/>
    <hyperlink ref="O100" r:id="rId24" display="https://1drv.ms/b/c/a8f0902f6b5ae388/IQBlPkTqZuc8RJpVpa-IeRVPAXwsniFAOOTcH9y5svfpl-k?e=AEhbZu" xr:uid="{5353ABCC-EE77-4825-9B7E-0EB350E6163F}"/>
    <hyperlink ref="O101" r:id="rId25" display="https://1drv.ms/b/c/a8f0902f6b5ae388/IQBlPkTqZuc8RJpVpa-IeRVPAXwsniFAOOTcH9y5svfpl-k?e=AEhbZu" xr:uid="{D1AF47AD-6C56-4C97-8E92-A77A4949D836}"/>
    <hyperlink ref="O102" r:id="rId26" display="https://1drv.ms/b/c/a8f0902f6b5ae388/IQBlPkTqZuc8RJpVpa-IeRVPAXwsniFAOOTcH9y5svfpl-k?e=AEhbZu" xr:uid="{65111E06-6D5F-4927-8423-705C302F8002}"/>
    <hyperlink ref="O103" r:id="rId27" display="https://1drv.ms/b/c/a8f0902f6b5ae388/IQAUdLowiMrtTYFkRz1bda6-AS4Ou7s1HtEa9GoAgDPW20Y?e=nXvcFQ" xr:uid="{E7B8A6CF-3F3E-498E-9EA3-802C0E6972A1}"/>
    <hyperlink ref="O104" r:id="rId28" display="https://1drv.ms/b/c/a8f0902f6b5ae388/IQD7mPaFOrdRT5THNIteXShWAW4Gr0lG1noMQ34e1Ufff6Q?e=thWg2N" xr:uid="{2D7D4663-7D78-4C71-AE9B-E036B8964748}"/>
    <hyperlink ref="O105" r:id="rId29" display="https://1drv.ms/b/c/a8f0902f6b5ae388/IQD7mPaFOrdRT5THNIteXShWAW4Gr0lG1noMQ34e1Ufff6Q?e=thWg2N" xr:uid="{7632756A-BAAD-4562-927E-63E149AE192F}"/>
    <hyperlink ref="O106" r:id="rId30" display="https://1drv.ms/b/c/a8f0902f6b5ae388/IQDJwiU8EXngSZLeVRwFI1nnAdGXlsL-Xccljt2eWfIY0dQ?e=e50GFK" xr:uid="{519FC694-3F90-42A9-ACAB-A664CF5B70C6}"/>
    <hyperlink ref="O107" r:id="rId31" display="https://1drv.ms/b/c/a8f0902f6b5ae388/IQDJwiU8EXngSZLeVRwFI1nnAdGXlsL-Xccljt2eWfIY0dQ?e=e50GFK" xr:uid="{45CE352D-2A6B-4238-B215-FD75FB1C0753}"/>
    <hyperlink ref="O108" r:id="rId32" display="https://1drv.ms/b/c/a8f0902f6b5ae388/IQDJwiU8EXngSZLeVRwFI1nnAdGXlsL-Xccljt2eWfIY0dQ?e=e50GFK" xr:uid="{EC15A78F-BFAD-4339-9DED-AEE9E75147DD}"/>
    <hyperlink ref="O109" r:id="rId33" display="https://1drv.ms/b/c/a8f0902f6b5ae388/IQDJwiU8EXngSZLeVRwFI1nnAdGXlsL-Xccljt2eWfIY0dQ?e=e50GFK" xr:uid="{2EFCFAAC-AE07-4FF5-989E-9ABCB374871C}"/>
    <hyperlink ref="O111" r:id="rId34" display="https://1drv.ms/b/c/a8f0902f6b5ae388/IQDJwiU8EXngSZLeVRwFI1nnAdGXlsL-Xccljt2eWfIY0dQ?e=e50GFK" xr:uid="{0E45F4EC-6DF1-4465-A5C6-F98FF50DA848}"/>
    <hyperlink ref="O112" r:id="rId35" display="https://1drv.ms/b/c/a8f0902f6b5ae388/IQDJwiU8EXngSZLeVRwFI1nnAdGXlsL-Xccljt2eWfIY0dQ?e=e50GFK" xr:uid="{97796D18-DEAF-427B-B385-0D3602868BA1}"/>
    <hyperlink ref="O113" r:id="rId36" display="https://1drv.ms/b/c/a8f0902f6b5ae388/IQDCimVxtuBBTrn2NqPqoQLlAeP49ZWG1dhh28R4iIxwpZk?e=iyzVYv" xr:uid="{80E25AF0-9C1F-41F8-94C9-18B23A2DD0FC}"/>
    <hyperlink ref="O114" r:id="rId37" display="https://1drv.ms/b/c/a8f0902f6b5ae388/IQDCimVxtuBBTrn2NqPqoQLlAeP49ZWG1dhh28R4iIxwpZk?e=iyzVYv" xr:uid="{19136DAC-0C47-43CF-9879-213E317C5E94}"/>
    <hyperlink ref="O115" r:id="rId38" display="https://1drv.ms/b/c/a8f0902f6b5ae388/IQDCimVxtuBBTrn2NqPqoQLlAeP49ZWG1dhh28R4iIxwpZk?e=iyzVYv" xr:uid="{5D0CB920-77D5-4DB4-82D4-4EB222E9A4A2}"/>
    <hyperlink ref="O116" r:id="rId39" display="https://1drv.ms/b/c/a8f0902f6b5ae388/IQDCimVxtuBBTrn2NqPqoQLlAeP49ZWG1dhh28R4iIxwpZk?e=iyzVYv" xr:uid="{13DB1180-DF78-4EC4-8C32-0433628809E1}"/>
    <hyperlink ref="O117" r:id="rId40" display="https://1drv.ms/b/c/a8f0902f6b5ae388/IQA4goP1LZ9ARaSfQ5MVIaNqAQWfG8TyzlWnNVLQVOxf43g?e=Xfk5xB" xr:uid="{AD0B83BC-4161-426F-BD2F-11199FC0468E}"/>
    <hyperlink ref="O118" r:id="rId41" display="https://1drv.ms/b/c/a8f0902f6b5ae388/IQA4goP1LZ9ARaSfQ5MVIaNqAQWfG8TyzlWnNVLQVOxf43g?e=Xfk5xB" xr:uid="{CA9E63EB-6E0D-4CF0-8D71-5850F21D340B}"/>
    <hyperlink ref="O120" r:id="rId42" display="https://1drv.ms/b/c/a8f0902f6b5ae388/IQDk6i2jAKrzRIoVYomJJZ3NAYaGTyuRQB9JMJ5z-XI_0og?e=j0fcB4" xr:uid="{D9AEA547-488A-4B7B-A83C-BA8D4E419705}"/>
    <hyperlink ref="O121" r:id="rId43" display="https://1drv.ms/b/c/a8f0902f6b5ae388/IQDk6i2jAKrzRIoVYomJJZ3NAYaGTyuRQB9JMJ5z-XI_0og?e=j0fcB4" xr:uid="{C43869B7-9C62-493F-BF70-654971E48228}"/>
    <hyperlink ref="O122" r:id="rId44" display="https://1drv.ms/b/c/a8f0902f6b5ae388/IQDk6i2jAKrzRIoVYomJJZ3NAYaGTyuRQB9JMJ5z-XI_0og?e=j0fcB4" xr:uid="{687F8A9A-0519-4DFE-AA38-D11429BC91C1}"/>
    <hyperlink ref="O123" r:id="rId45" display="https://1drv.ms/b/c/a8f0902f6b5ae388/IQDk6i2jAKrzRIoVYomJJZ3NAYaGTyuRQB9JMJ5z-XI_0og?e=j0fcB4" xr:uid="{19755C40-E9B1-4C71-8D1B-B38490DE826F}"/>
    <hyperlink ref="O125" r:id="rId46" display="https://1drv.ms/b/c/a8f0902f6b5ae388/IQDk6i2jAKrzRIoVYomJJZ3NAYaGTyuRQB9JMJ5z-XI_0og?e=j0fcB4" xr:uid="{988A0825-80EC-449C-9AC8-9BCCDF20B1A2}"/>
    <hyperlink ref="O126" r:id="rId47" display="https://1drv.ms/b/c/a8f0902f6b5ae388/IQDk6i2jAKrzRIoVYomJJZ3NAYaGTyuRQB9JMJ5z-XI_0og?e=j0fcB4" xr:uid="{3CECFE1C-2720-4229-BDFC-7C26739BA300}"/>
    <hyperlink ref="O127" r:id="rId48" display="https://1drv.ms/b/c/a8f0902f6b5ae388/IQDk6i2jAKrzRIoVYomJJZ3NAYaGTyuRQB9JMJ5z-XI_0og?e=j0fcB4" xr:uid="{69F67F9A-8863-46DA-9D84-7BFFD17A7561}"/>
    <hyperlink ref="O128" r:id="rId49" display="https://1drv.ms/b/c/a8f0902f6b5ae388/IQDk6i2jAKrzRIoVYomJJZ3NAYaGTyuRQB9JMJ5z-XI_0og?e=j0fcB4" xr:uid="{CA2CA00C-4229-4B62-A45C-400168F70001}"/>
    <hyperlink ref="O129" r:id="rId50" display="https://1drv.ms/b/c/a8f0902f6b5ae388/IQC--d01tQ-KTJBYFh7QJ03hAbnX2t6obNG0HKKFq6JayHQ?e=QXpFXV" xr:uid="{CB6D743E-E149-48D8-9116-E168B0D14605}"/>
    <hyperlink ref="O130" r:id="rId51" display="https://1drv.ms/b/c/a8f0902f6b5ae388/IQC--d01tQ-KTJBYFh7QJ03hAbnX2t6obNG0HKKFq6JayHQ?e=QXpFXV" xr:uid="{A21175B3-7618-4232-913E-A2EE2E004B7D}"/>
    <hyperlink ref="O131" r:id="rId52" display="https://1drv.ms/b/c/a8f0902f6b5ae388/IQC--d01tQ-KTJBYFh7QJ03hAbnX2t6obNG0HKKFq6JayHQ?e=QXpFXV" xr:uid="{84D80F63-F365-4DEF-9E49-BEF14FF662E6}"/>
    <hyperlink ref="O132" r:id="rId53" display="https://1drv.ms/b/c/a8f0902f6b5ae388/IQC--d01tQ-KTJBYFh7QJ03hAbnX2t6obNG0HKKFq6JayHQ?e=QXpFXV" xr:uid="{AB71E65E-E2BE-489A-95C0-DCFB1F604C3C}"/>
    <hyperlink ref="O133" r:id="rId54" display="https://1drv.ms/b/c/a8f0902f6b5ae388/IQC--d01tQ-KTJBYFh7QJ03hAbnX2t6obNG0HKKFq6JayHQ?e=QXpFXV" xr:uid="{84F15F99-FFDC-4BFC-99E2-1B1D5BD7DF86}"/>
    <hyperlink ref="O134" r:id="rId55" display="https://1drv.ms/b/c/a8f0902f6b5ae388/IQBrYvsfhyODR7EpKcgzOjBuAdF5mnWq5OLOMj-UI6vVWZM?e=buZGYe" xr:uid="{645132A5-261C-447D-B146-A211A015E88B}"/>
    <hyperlink ref="O135" r:id="rId56" display="https://1drv.ms/b/c/a8f0902f6b5ae388/IQBrYvsfhyODR7EpKcgzOjBuAdF5mnWq5OLOMj-UI6vVWZM?e=buZGYe" xr:uid="{816F21FA-9DF4-4859-ACE9-73F391A63379}"/>
    <hyperlink ref="O136" r:id="rId57" display="https://1drv.ms/b/c/a8f0902f6b5ae388/IQBrYvsfhyODR7EpKcgzOjBuAdF5mnWq5OLOMj-UI6vVWZM?e=buZGYe" xr:uid="{A7B41B25-3866-495F-B37A-922F4375DC70}"/>
    <hyperlink ref="O137" r:id="rId58" display="https://1drv.ms/b/c/a8f0902f6b5ae388/IQBrYvsfhyODR7EpKcgzOjBuAdF5mnWq5OLOMj-UI6vVWZM?e=buZGYe" xr:uid="{F96145A9-6CAA-4118-9F86-891D8CB0BBCD}"/>
    <hyperlink ref="O138" r:id="rId59" display="https://1drv.ms/b/c/a8f0902f6b5ae388/IQB78FZq8e42T60KxZhblWzQATNV_tauTrZTdJHGnsR_D0I?e=Dmg30B" xr:uid="{1EDB68FF-5758-4CC3-A2BE-6919BF5732AE}"/>
    <hyperlink ref="O139" r:id="rId60" display="https://1drv.ms/b/c/a8f0902f6b5ae388/IQB78FZq8e42T60KxZhblWzQATNV_tauTrZTdJHGnsR_D0I?e=Dmg30B" xr:uid="{269AF5DC-CCFF-4159-AD50-895212426453}"/>
    <hyperlink ref="O140" r:id="rId61" display="https://1drv.ms/b/c/a8f0902f6b5ae388/IQB78FZq8e42T60KxZhblWzQATNV_tauTrZTdJHGnsR_D0I?e=Dmg30B" xr:uid="{DADE6E7F-1152-426B-A5E1-302CDD866B42}"/>
    <hyperlink ref="O141" r:id="rId62" display="https://1drv.ms/b/c/a8f0902f6b5ae388/IQDde1dB9Lm7TpwSW5nFXuirAfHVbfY2sc-hHWv-a3Z06KM?e=DJfsuM" xr:uid="{607AF770-5669-48F3-922A-BE543F407B3C}"/>
    <hyperlink ref="O142" r:id="rId63" display="https://1drv.ms/b/c/a8f0902f6b5ae388/IQDde1dB9Lm7TpwSW5nFXuirAfHVbfY2sc-hHWv-a3Z06KM?e=DJfsuM" xr:uid="{03EE1264-5DD5-42A4-A3C1-7E56F8C2DCA6}"/>
    <hyperlink ref="O143" r:id="rId64" display="https://1drv.ms/b/c/a8f0902f6b5ae388/IQDde1dB9Lm7TpwSW5nFXuirAfHVbfY2sc-hHWv-a3Z06KM?e=DJfsuM" xr:uid="{249A0CD8-73D4-4AF5-BD42-85C0759C358B}"/>
    <hyperlink ref="O144" r:id="rId65" display="https://1drv.ms/b/c/a8f0902f6b5ae388/IQDLWIxtgMQiSomYtX1cavYuAUOL36gSmWjxNgkiftdRQBg?e=KiLE5h" xr:uid="{10B817C0-2E99-4C23-ABDF-4C271D20C30F}"/>
    <hyperlink ref="O145" r:id="rId66" display="https://1drv.ms/b/c/a8f0902f6b5ae388/IQDLWIxtgMQiSomYtX1cavYuAUOL36gSmWjxNgkiftdRQBg?e=KiLE5h" xr:uid="{7E0BEE5B-2150-479A-8921-E06D8E4D0B28}"/>
    <hyperlink ref="O146" r:id="rId67" display="https://1drv.ms/b/c/a8f0902f6b5ae388/IQDLWIxtgMQiSomYtX1cavYuAUOL36gSmWjxNgkiftdRQBg?e=KiLE5h" xr:uid="{FFEA2112-DBF5-421C-9ED9-87D8C6F3F5FB}"/>
    <hyperlink ref="O148" r:id="rId68" display="https://1drv.ms/b/c/a8f0902f6b5ae388/IQDLWIxtgMQiSomYtX1cavYuAUOL36gSmWjxNgkiftdRQBg?e=KiLE5h" xr:uid="{2D82A3EB-2084-48A7-AFF2-93DA7D4FBB16}"/>
    <hyperlink ref="O149" r:id="rId69" display="https://1drv.ms/b/c/a8f0902f6b5ae388/IQDLWIxtgMQiSomYtX1cavYuAUOL36gSmWjxNgkiftdRQBg?e=KiLE5h" xr:uid="{117BCC47-12C3-466C-9026-4CDA53AB45AB}"/>
    <hyperlink ref="O150" r:id="rId70" display="https://1drv.ms/b/c/a8f0902f6b5ae388/IQDLWIxtgMQiSomYtX1cavYuAUOL36gSmWjxNgkiftdRQBg?e=KiLE5h" xr:uid="{E623D1BE-83D3-4B87-AD72-45A1992C2B1B}"/>
    <hyperlink ref="O151" r:id="rId71" display="https://1drv.ms/b/c/a8f0902f6b5ae388/IQDm7AGABlj3Rq_YRNuPPNcoAaizC_gkqWoKi8ze-kmTcsU?e=fTcxPr" xr:uid="{52248829-1EAA-4CB5-9CBC-C21C088211A8}"/>
    <hyperlink ref="O152" r:id="rId72" display="https://1drv.ms/b/c/a8f0902f6b5ae388/IQDm7AGABlj3Rq_YRNuPPNcoAaizC_gkqWoKi8ze-kmTcsU?e=fTcxPr" xr:uid="{6F97F834-D026-40F4-BFB7-FD5B16D3DE46}"/>
    <hyperlink ref="O153" r:id="rId73" display="https://1drv.ms/b/c/a8f0902f6b5ae388/IQDm7AGABlj3Rq_YRNuPPNcoAaizC_gkqWoKi8ze-kmTcsU?e=fTcxPr" xr:uid="{60CA1F64-513A-4347-A0C6-92693B707D7E}"/>
    <hyperlink ref="O154" r:id="rId74" display="https://1drv.ms/b/c/a8f0902f6b5ae388/IQDm7AGABlj3Rq_YRNuPPNcoAaizC_gkqWoKi8ze-kmTcsU?e=fTcxPr" xr:uid="{D369DD6F-D46B-4700-9783-B7D40A002516}"/>
    <hyperlink ref="O155" r:id="rId75" display="https://1drv.ms/b/c/a8f0902f6b5ae388/IQDm7AGABlj3Rq_YRNuPPNcoAaizC_gkqWoKi8ze-kmTcsU?e=fTcxPr" xr:uid="{DBBAD7C8-D7EC-4E24-A9AC-65B09B94F9D2}"/>
    <hyperlink ref="O156" r:id="rId76" display="https://1drv.ms/b/c/a8f0902f6b5ae388/IQDeSDV4bSWEQ6n91g_449XhAfBXPCSlvB-guhhsBtVlH2g?e=1w6ok3" xr:uid="{F7D351B8-61C1-47C8-9E5A-9EA3546F8C2D}"/>
    <hyperlink ref="O157" r:id="rId77" display="https://1drv.ms/b/c/a8f0902f6b5ae388/IQDeSDV4bSWEQ6n91g_449XhAfBXPCSlvB-guhhsBtVlH2g?e=1w6ok3" xr:uid="{F3654773-961B-45C2-879C-6C5095F594F4}"/>
    <hyperlink ref="O158" r:id="rId78" display="https://1drv.ms/b/c/a8f0902f6b5ae388/IQDeSDV4bSWEQ6n91g_449XhAfBXPCSlvB-guhhsBtVlH2g?e=1w6ok3" xr:uid="{A8C9FE5B-5CE5-4BAC-9F66-04ED6BF18940}"/>
    <hyperlink ref="O159" r:id="rId79" display="https://1drv.ms/b/c/a8f0902f6b5ae388/IQDeSDV4bSWEQ6n91g_449XhAfBXPCSlvB-guhhsBtVlH2g?e=1w6ok3" xr:uid="{89EE5F84-371E-4133-B773-163CD625A46B}"/>
    <hyperlink ref="O160" r:id="rId80" display="https://1drv.ms/b/c/a8f0902f6b5ae388/IQDeSDV4bSWEQ6n91g_449XhAfBXPCSlvB-guhhsBtVlH2g?e=1w6ok3" xr:uid="{DAF83CF2-448F-485E-8EA0-4831ECD02E0F}"/>
    <hyperlink ref="O164" r:id="rId81" display="https://1drv.ms/b/c/a8f0902f6b5ae388/IQAOBCGfhXQfTrc3HuTI9qEvAVd6ApxMjvQi3qFBkPqjWZ0?e=DnbcU0" xr:uid="{C45D38BC-B767-4E23-B05A-AC485C4354B9}"/>
    <hyperlink ref="O165" r:id="rId82" display="https://1drv.ms/b/c/a8f0902f6b5ae388/IQAOBCGfhXQfTrc3HuTI9qEvAVd6ApxMjvQi3qFBkPqjWZ0?e=DnbcU0" xr:uid="{82BF3F0F-A972-46E6-BBA4-63DE7AE8EA7C}"/>
    <hyperlink ref="O166" r:id="rId83" display="https://1drv.ms/b/c/a8f0902f6b5ae388/IQAOBCGfhXQfTrc3HuTI9qEvAVd6ApxMjvQi3qFBkPqjWZ0?e=DnbcU0" xr:uid="{A89AF01E-E380-4667-BFB2-B2F531B2973D}"/>
    <hyperlink ref="O167" r:id="rId84" display="https://1drv.ms/b/c/a8f0902f6b5ae388/IQBRAsSBV_-eS5gtp5xw_NxzASq9vDjXFWBLhTMWyA92hyA?e=iGeTLA" xr:uid="{685C3F1C-5709-49D8-BC31-718BF49753F8}"/>
    <hyperlink ref="O168" r:id="rId85" display="https://1drv.ms/b/c/a8f0902f6b5ae388/IQBRAsSBV_-eS5gtp5xw_NxzASq9vDjXFWBLhTMWyA92hyA?e=iGeTLA" xr:uid="{FAAD57CE-396F-4645-9790-D41E94AE7950}"/>
    <hyperlink ref="O169" r:id="rId86" display="https://1drv.ms/b/c/a8f0902f6b5ae388/IQBRAsSBV_-eS5gtp5xw_NxzASq9vDjXFWBLhTMWyA92hyA?e=iGeTLA" xr:uid="{8D4AA5AC-A2BA-4571-A9CF-EB541CC1E9C4}"/>
    <hyperlink ref="O170" r:id="rId87" display="https://1drv.ms/b/c/a8f0902f6b5ae388/IQCrIZSIIFcCRaYSwb3QROwPAep0X2z6vfH5s1lm8Nw0QMk?e=NKG3RC" xr:uid="{6727D537-45A1-413D-8C7A-6EC3DE44BDB8}"/>
    <hyperlink ref="O171" r:id="rId88" display="https://1drv.ms/b/c/a8f0902f6b5ae388/IQCrIZSIIFcCRaYSwb3QROwPAep0X2z6vfH5s1lm8Nw0QMk?e=NKG3RC" xr:uid="{0B0381E2-5573-470E-9C79-B917EF9752D2}"/>
    <hyperlink ref="O172" r:id="rId89" display="https://1drv.ms/b/c/a8f0902f6b5ae388/IQCrIZSIIFcCRaYSwb3QROwPAep0X2z6vfH5s1lm8Nw0QMk?e=NKG3RC" xr:uid="{8A11DE36-732F-4A79-B847-0F9AD2A878B1}"/>
    <hyperlink ref="O173" r:id="rId90" display="https://1drv.ms/b/c/a8f0902f6b5ae388/IQCrIZSIIFcCRaYSwb3QROwPAep0X2z6vfH5s1lm8Nw0QMk?e=NKG3RC" xr:uid="{D1E2685D-49B4-4BDA-ADA7-E57D378AFFC3}"/>
    <hyperlink ref="O174" r:id="rId91" display="https://1drv.ms/b/c/a8f0902f6b5ae388/IQCrIZSIIFcCRaYSwb3QROwPAep0X2z6vfH5s1lm8Nw0QMk?e=NKG3RC" xr:uid="{E21CD391-D3FC-432C-A695-01968CFEA29F}"/>
    <hyperlink ref="O175" r:id="rId92" display="https://1drv.ms/b/c/a8f0902f6b5ae388/IQCrIZSIIFcCRaYSwb3QROwPAep0X2z6vfH5s1lm8Nw0QMk?e=NKG3RC" xr:uid="{7EA67F58-E29A-417C-A873-C74977EE13F0}"/>
    <hyperlink ref="O176" r:id="rId93" display="https://1drv.ms/b/c/a8f0902f6b5ae388/IQAGwcs_G-Y5T7rm1vNk5Cs5AePCaisHScIaAEXlEKT4Exk?e=MQzhtq" xr:uid="{4B35F801-BFFD-4B0B-AD1F-7FC2A92CDC1E}"/>
    <hyperlink ref="O177" r:id="rId94" display="https://1drv.ms/b/c/a8f0902f6b5ae388/IQAGwcs_G-Y5T7rm1vNk5Cs5AePCaisHScIaAEXlEKT4Exk?e=MQzhtq" xr:uid="{B646FD52-165B-4A70-B33E-6BA6FAE5A6D3}"/>
    <hyperlink ref="O178" r:id="rId95" display="https://1drv.ms/b/c/a8f0902f6b5ae388/IQAGwcs_G-Y5T7rm1vNk5Cs5AePCaisHScIaAEXlEKT4Exk?e=MQzhtq" xr:uid="{906B2314-9DF5-403E-B9AE-A96BC37A0ED9}"/>
    <hyperlink ref="O179" r:id="rId96" display="https://1drv.ms/b/c/a8f0902f6b5ae388/IQAGwcs_G-Y5T7rm1vNk5Cs5AePCaisHScIaAEXlEKT4Exk?e=MQzhtq" xr:uid="{988C2A71-8F76-4FFA-8859-314228726774}"/>
    <hyperlink ref="O180" r:id="rId97" display="https://1drv.ms/b/c/a8f0902f6b5ae388/IQAGwcs_G-Y5T7rm1vNk5Cs5AePCaisHScIaAEXlEKT4Exk?e=MQzhtq" xr:uid="{3CC2850D-BB5C-474E-B516-FFEF7948F9AC}"/>
    <hyperlink ref="O181" r:id="rId98" display="https://1drv.ms/b/c/a8f0902f6b5ae388/IQAGwcs_G-Y5T7rm1vNk5Cs5AePCaisHScIaAEXlEKT4Exk?e=MQzhtq" xr:uid="{539AF8BD-ADEB-446F-8628-5330BFA391AA}"/>
    <hyperlink ref="O182" r:id="rId99" display="https://1drv.ms/b/c/a8f0902f6b5ae388/IQDgbMqRb3l-QZ1ly2T7Xz6CAWLh8Cjt6Vw7nogaHz_hE4E?e=YLTJDx" xr:uid="{E3D10D8A-ECD8-4541-BF0F-AE512496CE0C}"/>
    <hyperlink ref="O183" r:id="rId100" display="https://1drv.ms/b/c/a8f0902f6b5ae388/IQDgbMqRb3l-QZ1ly2T7Xz6CAWLh8Cjt6Vw7nogaHz_hE4E?e=YLTJDx" xr:uid="{EBABD81D-5A0E-4FE3-9C8B-06BD1BA10911}"/>
    <hyperlink ref="O184" r:id="rId101" display="https://1drv.ms/b/c/a8f0902f6b5ae388/IQDgbMqRb3l-QZ1ly2T7Xz6CAWLh8Cjt6Vw7nogaHz_hE4E?e=YLTJDx" xr:uid="{50489ADC-09F1-4C2D-B83F-A6893DBF77BF}"/>
    <hyperlink ref="O185" r:id="rId102" display="https://1drv.ms/b/c/a8f0902f6b5ae388/IQDgbMqRb3l-QZ1ly2T7Xz6CAWLh8Cjt6Vw7nogaHz_hE4E?e=YLTJDx" xr:uid="{56439829-A707-4971-9828-F011A5B05686}"/>
    <hyperlink ref="O186" r:id="rId103" display="https://1drv.ms/b/c/a8f0902f6b5ae388/IQDgbMqRb3l-QZ1ly2T7Xz6CAWLh8Cjt6Vw7nogaHz_hE4E?e=YLTJDx" xr:uid="{4C508C43-CABD-4481-9D71-289775B660D5}"/>
    <hyperlink ref="O187" r:id="rId104" display="https://1drv.ms/b/c/a8f0902f6b5ae388/IQCZ4YUDCFyUSb9aJpfei0RJAZXVRljCgxeboY9-4rWQxQY?e=5XyvI9" xr:uid="{B8097126-65D6-4310-9F55-47AC2DFDF768}"/>
    <hyperlink ref="O188" r:id="rId105" display="https://1drv.ms/b/c/a8f0902f6b5ae388/IQCZ4YUDCFyUSb9aJpfei0RJAZXVRljCgxeboY9-4rWQxQY?e=5XyvI9" xr:uid="{DE22B60B-587A-4DED-A768-DC70C614D6C1}"/>
    <hyperlink ref="O189" r:id="rId106" display="https://1drv.ms/b/c/a8f0902f6b5ae388/IQCZ4YUDCFyUSb9aJpfei0RJAZXVRljCgxeboY9-4rWQxQY?e=5XyvI9" xr:uid="{DE112F23-7BA2-4274-842F-E1F8E015ECFD}"/>
    <hyperlink ref="O190" r:id="rId107" display="https://1drv.ms/b/c/a8f0902f6b5ae388/IQD83QVRTndxT5Ftkx4pgXRjAYylxWZsE955SoePmeCnAx8?e=Krcwjn" xr:uid="{D48FA172-0A33-4149-81C8-4794682C407F}"/>
    <hyperlink ref="O191" r:id="rId108" display="https://1drv.ms/b/c/a8f0902f6b5ae388/IQD83QVRTndxT5Ftkx4pgXRjAYylxWZsE955SoePmeCnAx8?e=Krcwjn" xr:uid="{ACF28FE2-4F51-4E73-AFA9-993CBE8F778B}"/>
    <hyperlink ref="O192" r:id="rId109" display="https://1drv.ms/b/c/a8f0902f6b5ae388/IQDUja24671oQpmVEcrqQMhUAQ4fFrO8xp1Q3kby59f_H0A?e=KrHpbi" xr:uid="{64BD920F-176F-4D87-8393-747FFB4A33B0}"/>
    <hyperlink ref="O193" r:id="rId110" display="https://1drv.ms/b/c/a8f0902f6b5ae388/IQDUja24671oQpmVEcrqQMhUAQ4fFrO8xp1Q3kby59f_H0A?e=KrHpbi" xr:uid="{645590C3-7C75-4C37-9489-51450AB7F366}"/>
    <hyperlink ref="O194" r:id="rId111" display="https://1drv.ms/b/c/a8f0902f6b5ae388/IQDUja24671oQpmVEcrqQMhUAQ4fFrO8xp1Q3kby59f_H0A?e=KrHpbi" xr:uid="{7DEB2F3D-D844-4F90-89FA-30DAD818130E}"/>
    <hyperlink ref="O195" r:id="rId112" display="https://1drv.ms/b/c/a8f0902f6b5ae388/IQDUja24671oQpmVEcrqQMhUAQ4fFrO8xp1Q3kby59f_H0A?e=KrHpbi" xr:uid="{ECE372C1-E266-4137-AA4A-929E026FB64D}"/>
    <hyperlink ref="O196" r:id="rId113" display="https://1drv.ms/b/c/a8f0902f6b5ae388/IQDUja24671oQpmVEcrqQMhUAQ4fFrO8xp1Q3kby59f_H0A?e=KrHpbi" xr:uid="{24BC3ED7-6E5F-46A5-AE49-C46F4C7A976E}"/>
    <hyperlink ref="O197" r:id="rId114" display="https://1drv.ms/b/c/a8f0902f6b5ae388/IQDUja24671oQpmVEcrqQMhUAQ4fFrO8xp1Q3kby59f_H0A?e=KrHpbi" xr:uid="{68D599D7-8677-4572-81E1-7B5355E87CD9}"/>
    <hyperlink ref="O198" r:id="rId115" display="https://1drv.ms/b/c/a8f0902f6b5ae388/IQDUja24671oQpmVEcrqQMhUAQ4fFrO8xp1Q3kby59f_H0A?e=KrHpbi" xr:uid="{BCCB7B04-C3D3-49E4-8F7D-898122493204}"/>
    <hyperlink ref="O199" r:id="rId116" display="https://1drv.ms/b/c/a8f0902f6b5ae388/IQDUja24671oQpmVEcrqQMhUAQ4fFrO8xp1Q3kby59f_H0A?e=KrHpbi" xr:uid="{E4FD1652-D6D3-419B-AA7B-56F21AAADA9B}"/>
    <hyperlink ref="O200" r:id="rId117" display="https://1drv.ms/b/c/a8f0902f6b5ae388/IQAvYEsKZrs-S5ihvtoMDzptARaWrh0sX9O1KZInraiVfLQ?e=WW0peS" xr:uid="{7221AF90-EE37-42CF-8919-26FA70C9EE74}"/>
    <hyperlink ref="O201" r:id="rId118" display="https://1drv.ms/b/c/a8f0902f6b5ae388/IQAvYEsKZrs-S5ihvtoMDzptARaWrh0sX9O1KZInraiVfLQ?e=WW0peS" xr:uid="{EAC8D9A4-34D8-4DE0-9154-5C5EAB819134}"/>
    <hyperlink ref="O202" r:id="rId119" display="https://1drv.ms/b/c/a8f0902f6b5ae388/IQAvYEsKZrs-S5ihvtoMDzptARaWrh0sX9O1KZInraiVfLQ?e=WW0peS" xr:uid="{50F1F842-EC5F-4A8E-A43D-5A380803793A}"/>
    <hyperlink ref="O203" r:id="rId120" display="https://1drv.ms/b/c/a8f0902f6b5ae388/IQAvYEsKZrs-S5ihvtoMDzptARaWrh0sX9O1KZInraiVfLQ?e=WW0peS" xr:uid="{0B48DE22-585F-42B2-987A-C571DD9FBB4B}"/>
    <hyperlink ref="O204" r:id="rId121" display="https://1drv.ms/b/c/a8f0902f6b5ae388/IQAvYEsKZrs-S5ihvtoMDzptARaWrh0sX9O1KZInraiVfLQ?e=WW0peS" xr:uid="{0E92113B-5997-416B-B742-1B603327344C}"/>
    <hyperlink ref="O205" r:id="rId122" display="https://1drv.ms/b/c/a8f0902f6b5ae388/IQAvYEsKZrs-S5ihvtoMDzptARaWrh0sX9O1KZInraiVfLQ?e=WW0peS" xr:uid="{C158F967-DA51-40EA-9E9F-82D29102C948}"/>
    <hyperlink ref="O206" r:id="rId123" display="https://1drv.ms/b/c/a8f0902f6b5ae388/IQAvYEsKZrs-S5ihvtoMDzptARaWrh0sX9O1KZInraiVfLQ?e=WW0peS" xr:uid="{473B8E88-938C-41C3-AEAB-C0E8FE82D770}"/>
    <hyperlink ref="O207" r:id="rId124" display="https://1drv.ms/b/c/a8f0902f6b5ae388/IQBSn8gFN_NbSZt9oChYFk_EARpPDMPaI49YFpn3j8w4f0Q?e=JwC3HI" xr:uid="{8C31FEBB-0F3A-463C-8432-45919BBFE66C}"/>
    <hyperlink ref="O208" r:id="rId125" display="https://1drv.ms/b/c/a8f0902f6b5ae388/IQBSn8gFN_NbSZt9oChYFk_EARpPDMPaI49YFpn3j8w4f0Q?e=JwC3HI" xr:uid="{36910EDC-6733-4401-A809-AF7B70BFCF72}"/>
    <hyperlink ref="O209" r:id="rId126" display="https://1drv.ms/b/c/a8f0902f6b5ae388/IQBSn8gFN_NbSZt9oChYFk_EARpPDMPaI49YFpn3j8w4f0Q?e=JwC3HI" xr:uid="{DE7EC5EC-46A1-4135-AC0B-312CE283B904}"/>
    <hyperlink ref="O210" r:id="rId127" display="https://1drv.ms/b/c/a8f0902f6b5ae388/IQBSn8gFN_NbSZt9oChYFk_EARpPDMPaI49YFpn3j8w4f0Q?e=JwC3HI" xr:uid="{7DDF1CFA-0AEF-444A-82EF-5F35B75F4850}"/>
    <hyperlink ref="O211" r:id="rId128" display="https://1drv.ms/b/c/a8f0902f6b5ae388/IQBSn8gFN_NbSZt9oChYFk_EARpPDMPaI49YFpn3j8w4f0Q?e=JwC3HI" xr:uid="{22353F6B-1C56-4901-8F65-5986A853E728}"/>
    <hyperlink ref="O212" r:id="rId129" display="https://1drv.ms/b/c/a8f0902f6b5ae388/IQBSn8gFN_NbSZt9oChYFk_EARpPDMPaI49YFpn3j8w4f0Q?e=JwC3HI" xr:uid="{CDB18E58-6A7D-4913-AAF7-540250C0563E}"/>
    <hyperlink ref="O213" r:id="rId130" display="https://1drv.ms/b/c/a8f0902f6b5ae388/IQBSn8gFN_NbSZt9oChYFk_EARpPDMPaI49YFpn3j8w4f0Q?e=JwC3HI" xr:uid="{A130103C-84E3-4367-8939-1600A12EA89B}"/>
    <hyperlink ref="O214" r:id="rId131" display="https://1drv.ms/b/c/a8f0902f6b5ae388/IQBSn8gFN_NbSZt9oChYFk_EARpPDMPaI49YFpn3j8w4f0Q?e=JwC3HI" xr:uid="{EBD9B616-3B23-4D8D-A0B9-5BA7DD3F21C7}"/>
    <hyperlink ref="O215" r:id="rId132" display="https://1drv.ms/b/c/a8f0902f6b5ae388/IQCdfXjxbZm0SZta_h4yK3f1AUp33zuArX6a5l2OfhoZfVw?e=9bJf6x" xr:uid="{8AB7012F-CAED-4F14-BDCB-4A195DDD4066}"/>
    <hyperlink ref="O216" r:id="rId133" display="https://1drv.ms/b/c/a8f0902f6b5ae388/IQCdfXjxbZm0SZta_h4yK3f1AUp33zuArX6a5l2OfhoZfVw?e=9bJf6x" xr:uid="{DE8441DF-0437-428F-92FF-4A97DA17E63E}"/>
    <hyperlink ref="O217" r:id="rId134" display="https://1drv.ms/b/c/a8f0902f6b5ae388/IQCdfXjxbZm0SZta_h4yK3f1AUp33zuArX6a5l2OfhoZfVw?e=9bJf6x" xr:uid="{818B619C-A576-4551-84DC-006C4965CEF4}"/>
    <hyperlink ref="O220" r:id="rId135" display="https://1drv.ms/b/c/a8f0902f6b5ae388/IQBmtmGw0R12T47jFN0ZL9vHAQF7EDZIXMxFgdRdqJ_gTjI?e=M4mbOW" xr:uid="{ACEA290E-5906-45E2-95CF-F9F263332346}"/>
    <hyperlink ref="O221" r:id="rId136" display="https://1drv.ms/b/c/a8f0902f6b5ae388/IQBmtmGw0R12T47jFN0ZL9vHAQF7EDZIXMxFgdRdqJ_gTjI?e=M4mbOW" xr:uid="{B0E64477-51CB-4E4A-AD2D-022885F3F7FE}"/>
    <hyperlink ref="O222" r:id="rId137" display="https://1drv.ms/b/c/a8f0902f6b5ae388/IQAx_h7THmPRRqUVhOLwr11uAedttrpoXIC0ZcRZUyX8QOs?e=3agvNp" xr:uid="{3DE4A281-9C3C-4EFF-8CD9-0671BEB09180}"/>
    <hyperlink ref="O223" r:id="rId138" display="https://1drv.ms/b/c/a8f0902f6b5ae388/IQAx_h7THmPRRqUVhOLwr11uAedttrpoXIC0ZcRZUyX8QOs?e=3agvNp" xr:uid="{2593C48F-3572-4852-9185-7AA73C296B77}"/>
    <hyperlink ref="O224" r:id="rId139" display="https://1drv.ms/b/c/a8f0902f6b5ae388/IQAx_h7THmPRRqUVhOLwr11uAedttrpoXIC0ZcRZUyX8QOs?e=3agvNp" xr:uid="{68885CBA-B473-4053-887E-B288BE4BED4D}"/>
    <hyperlink ref="O225" r:id="rId140" display="https://1drv.ms/b/c/a8f0902f6b5ae388/IQAx_h7THmPRRqUVhOLwr11uAedttrpoXIC0ZcRZUyX8QOs?e=3agvNp" xr:uid="{CE1521C1-70CF-4D6F-BED8-6DD3518EAE2F}"/>
    <hyperlink ref="O226" r:id="rId141" display="https://1drv.ms/b/c/a8f0902f6b5ae388/IQAx_h7THmPRRqUVhOLwr11uAedttrpoXIC0ZcRZUyX8QOs?e=3agvNp" xr:uid="{78E68FD9-6260-4610-A5A8-E3F338179F87}"/>
    <hyperlink ref="O227" r:id="rId142" display="https://1drv.ms/b/c/a8f0902f6b5ae388/IQAvDF4_YH49S6Xc7C1aydneAdI8_4oWS6N0e7-YF3gcDj8?e=3GA97h" xr:uid="{F16F53F6-87BD-4A14-B9E5-4866DBCB6ACA}"/>
    <hyperlink ref="O228" r:id="rId143" display="https://1drv.ms/b/c/a8f0902f6b5ae388/IQAvDF4_YH49S6Xc7C1aydneAdI8_4oWS6N0e7-YF3gcDj8?e=3GA97h" xr:uid="{66E799E5-94C3-4035-A543-E47A026DE805}"/>
    <hyperlink ref="O229" r:id="rId144" display="https://1drv.ms/b/c/a8f0902f6b5ae388/IQAvDF4_YH49S6Xc7C1aydneAdI8_4oWS6N0e7-YF3gcDj8?e=3GA97h" xr:uid="{F4A0D904-478F-41F7-B4C1-FE7014090B51}"/>
    <hyperlink ref="O231" r:id="rId145" display="https://1drv.ms/b/c/a8f0902f6b5ae388/IQAvDF4_YH49S6Xc7C1aydneAdI8_4oWS6N0e7-YF3gcDj8?e=3GA97h" xr:uid="{397523C9-7C91-4CBD-820C-78E4E5876924}"/>
    <hyperlink ref="O232" r:id="rId146" display="https://1drv.ms/b/c/a8f0902f6b5ae388/IQAvDF4_YH49S6Xc7C1aydneAdI8_4oWS6N0e7-YF3gcDj8?e=3GA97h" xr:uid="{0E32ECE9-4712-471C-A17A-14D437F94474}"/>
    <hyperlink ref="O233" r:id="rId147" display="https://1drv.ms/b/c/a8f0902f6b5ae388/IQDderDuMfABTK8mPGcdGwO0ATOXl4MXxBmOQM_iMwOnBtk?e=pMs1PQ" xr:uid="{0EE1C06D-BBD5-4C75-8DA7-E561B8B7A62D}"/>
    <hyperlink ref="O234" r:id="rId148" display="https://1drv.ms/b/c/a8f0902f6b5ae388/IQDderDuMfABTK8mPGcdGwO0ATOXl4MXxBmOQM_iMwOnBtk?e=pMs1PQ" xr:uid="{7419D686-78AC-41BB-BCCD-3F147FB86718}"/>
    <hyperlink ref="O235" r:id="rId149" display="https://1drv.ms/b/c/a8f0902f6b5ae388/IQDderDuMfABTK8mPGcdGwO0ATOXl4MXxBmOQM_iMwOnBtk?e=pMs1PQ" xr:uid="{D95BBD3A-C2F5-4C97-A923-69B64BB57AFB}"/>
    <hyperlink ref="O236" r:id="rId150" display="https://1drv.ms/b/c/a8f0902f6b5ae388/IQDderDuMfABTK8mPGcdGwO0ATOXl4MXxBmOQM_iMwOnBtk?e=pMs1PQ" xr:uid="{239BEDD7-8E84-4E6F-AA31-1022357E2A3A}"/>
    <hyperlink ref="O237" r:id="rId151" display="https://1drv.ms/b/c/a8f0902f6b5ae388/IQDderDuMfABTK8mPGcdGwO0ATOXl4MXxBmOQM_iMwOnBtk?e=pMs1PQ" xr:uid="{D38CB0A4-8CBD-47F0-A2FE-3FD4A808388A}"/>
    <hyperlink ref="O238" r:id="rId152" display="https://1drv.ms/b/c/a8f0902f6b5ae388/IQDderDuMfABTK8mPGcdGwO0ATOXl4MXxBmOQM_iMwOnBtk?e=pMs1PQ" xr:uid="{D0C25DC1-705D-42EE-96CB-B5D33E819AB6}"/>
    <hyperlink ref="O239" r:id="rId153" display="https://1drv.ms/b/c/a8f0902f6b5ae388/IQDderDuMfABTK8mPGcdGwO0ATOXl4MXxBmOQM_iMwOnBtk?e=pMs1PQ" xr:uid="{5046BCE2-EC1D-4126-966F-1F3AFCDCEED4}"/>
    <hyperlink ref="O240" r:id="rId154" display="https://1drv.ms/b/c/a8f0902f6b5ae388/IQDderDuMfABTK8mPGcdGwO0ATOXl4MXxBmOQM_iMwOnBtk?e=pMs1PQ" xr:uid="{DC7B89CE-32B9-4D10-A7D6-5B8AF0F477E1}"/>
    <hyperlink ref="O241" r:id="rId155" display="https://1drv.ms/b/c/a8f0902f6b5ae388/IQDderDuMfABTK8mPGcdGwO0ATOXl4MXxBmOQM_iMwOnBtk?e=pMs1PQ" xr:uid="{E8911F08-AB0E-435F-8DA1-82892091563F}"/>
    <hyperlink ref="O242" r:id="rId156" display="https://1drv.ms/b/c/a8f0902f6b5ae388/IQDderDuMfABTK8mPGcdGwO0ATOXl4MXxBmOQM_iMwOnBtk?e=pMs1PQ" xr:uid="{2FE2031F-EBAD-48AF-B718-AAE201BD89BA}"/>
    <hyperlink ref="O243" r:id="rId157" display="https://1drv.ms/b/c/a8f0902f6b5ae388/IQDderDuMfABTK8mPGcdGwO0ATOXl4MXxBmOQM_iMwOnBtk?e=pMs1PQ" xr:uid="{47511238-477D-40E1-9A71-85D2CC7B103A}"/>
    <hyperlink ref="O244" r:id="rId158" display="https://1drv.ms/b/c/a8f0902f6b5ae388/IQCW6fdWtajpR50M2pcV8BMJAVW7OhsABfwWNHxlHmU4-JE?e=wO7t5G" xr:uid="{8ED796DD-0E69-42AB-A0DE-6C4BC22CE783}"/>
    <hyperlink ref="O245" r:id="rId159" display="https://1drv.ms/b/c/a8f0902f6b5ae388/IQCW6fdWtajpR50M2pcV8BMJAVW7OhsABfwWNHxlHmU4-JE?e=wO7t5G" xr:uid="{BE9E6D0B-E9FA-45CB-A3BA-EA945C6E1318}"/>
    <hyperlink ref="O246" r:id="rId160" display="https://1drv.ms/b/c/a8f0902f6b5ae388/IQCW6fdWtajpR50M2pcV8BMJAVW7OhsABfwWNHxlHmU4-JE?e=wO7t5G" xr:uid="{A7BE891F-8743-4CAC-B28D-57B085FD9220}"/>
    <hyperlink ref="O247" r:id="rId161" display="https://1drv.ms/b/c/a8f0902f6b5ae388/IQCW6fdWtajpR50M2pcV8BMJAVW7OhsABfwWNHxlHmU4-JE?e=wO7t5G" xr:uid="{99766941-09BC-4F45-9FB4-D7C55D9C8BA7}"/>
    <hyperlink ref="O248" r:id="rId162" display="https://1drv.ms/b/c/a8f0902f6b5ae388/IQCW6fdWtajpR50M2pcV8BMJAVW7OhsABfwWNHxlHmU4-JE?e=wO7t5G" xr:uid="{9EDAF744-D7EE-423B-A5E4-F8DD0BBB9F9C}"/>
    <hyperlink ref="O249" r:id="rId163" display="https://1drv.ms/b/c/a8f0902f6b5ae388/IQCW6fdWtajpR50M2pcV8BMJAVW7OhsABfwWNHxlHmU4-JE?e=wO7t5G" xr:uid="{407CA9CC-D42E-42BF-8E19-F3CD47A34293}"/>
    <hyperlink ref="O250" r:id="rId164" display="https://1drv.ms/b/c/a8f0902f6b5ae388/IQAuPDz1NfwbR64EadSPl5jCAUKpqFsXaReX1Pi1Ag3Ckss?e=6Sv8uf" xr:uid="{1E13D280-6A27-48E0-9473-A8AF0B740916}"/>
    <hyperlink ref="O251" r:id="rId165" display="https://1drv.ms/b/c/a8f0902f6b5ae388/IQAuPDz1NfwbR64EadSPl5jCAUKpqFsXaReX1Pi1Ag3Ckss?e=6Sv8uf" xr:uid="{0A120A3F-B178-4298-8DE7-886E43F5A33A}"/>
    <hyperlink ref="O252" r:id="rId166" display="https://1drv.ms/b/c/a8f0902f6b5ae388/IQAuPDz1NfwbR64EadSPl5jCAUKpqFsXaReX1Pi1Ag3Ckss?e=6Sv8uf" xr:uid="{E1B95625-628E-48F4-B671-8EE8383ECDB0}"/>
    <hyperlink ref="O253" r:id="rId167" display="https://1drv.ms/b/c/a8f0902f6b5ae388/IQAuPDz1NfwbR64EadSPl5jCAUKpqFsXaReX1Pi1Ag3Ckss?e=6Sv8uf" xr:uid="{F735C3EA-1B93-4347-989C-CCBF60B19836}"/>
    <hyperlink ref="O254" r:id="rId168" display="https://1drv.ms/b/c/a8f0902f6b5ae388/IQAuPDz1NfwbR64EadSPl5jCAUKpqFsXaReX1Pi1Ag3Ckss?e=6Sv8uf" xr:uid="{ABED4029-42AD-489C-897F-06F35F5C3F05}"/>
    <hyperlink ref="O255" r:id="rId169" display="https://1drv.ms/b/c/a8f0902f6b5ae388/IQC985puHVBCQ5a8kI8vfjlfAd3WluDDQ-C5eR0g6Fpda9U?e=6adh88" xr:uid="{7C4B8620-F06D-4C4F-8EBD-01C8C1DDB848}"/>
    <hyperlink ref="O256" r:id="rId170" display="https://1drv.ms/b/c/a8f0902f6b5ae388/IQC985puHVBCQ5a8kI8vfjlfAd3WluDDQ-C5eR0g6Fpda9U?e=6adh88" xr:uid="{1689E955-A253-4C83-980C-954E60CB22FE}"/>
    <hyperlink ref="O257" r:id="rId171" display="https://1drv.ms/b/c/a8f0902f6b5ae388/IQC985puHVBCQ5a8kI8vfjlfAd3WluDDQ-C5eR0g6Fpda9U?e=6adh88" xr:uid="{29E4DFBF-016C-4D35-A529-48E7939AF115}"/>
    <hyperlink ref="O258" r:id="rId172" display="https://1drv.ms/b/c/a8f0902f6b5ae388/IQC985puHVBCQ5a8kI8vfjlfAd3WluDDQ-C5eR0g6Fpda9U?e=6adh88" xr:uid="{0D4FB523-E966-4C44-A0D6-3DA7295B8B1B}"/>
    <hyperlink ref="O259" r:id="rId173" display="https://1drv.ms/b/c/a8f0902f6b5ae388/IQC985puHVBCQ5a8kI8vfjlfAd3WluDDQ-C5eR0g6Fpda9U?e=6adh88" xr:uid="{C8A03942-9ECF-44F3-9628-95D58D3B3B59}"/>
    <hyperlink ref="O260" r:id="rId174" display="https://1drv.ms/b/c/a8f0902f6b5ae388/IQC985puHVBCQ5a8kI8vfjlfAd3WluDDQ-C5eR0g6Fpda9U?e=6adh88" xr:uid="{407D78E3-BC9B-41DF-A570-A611F238E238}"/>
    <hyperlink ref="O261" r:id="rId175" display="https://1drv.ms/b/c/a8f0902f6b5ae388/IQC985puHVBCQ5a8kI8vfjlfAd3WluDDQ-C5eR0g6Fpda9U?e=6adh88" xr:uid="{3B58CFC1-1836-40A4-985E-207C816CE61B}"/>
    <hyperlink ref="O262" r:id="rId176" display="https://1drv.ms/b/c/a8f0902f6b5ae388/IQDINnmT1a6nQIE7rh6IQ-pHAQSCoSy5Iv19GGvNuGX4Bbg?e=YSq1DL" xr:uid="{DCCDCDF2-0D64-47DE-8555-23723A58EBCC}"/>
    <hyperlink ref="O263" r:id="rId177" display="https://1drv.ms/b/c/a8f0902f6b5ae388/IQDINnmT1a6nQIE7rh6IQ-pHAQSCoSy5Iv19GGvNuGX4Bbg?e=YSq1DL" xr:uid="{5F1F88E9-A8C7-4728-B546-C1C0A660C42A}"/>
    <hyperlink ref="O264" r:id="rId178" display="https://1drv.ms/b/c/a8f0902f6b5ae388/IQDINnmT1a6nQIE7rh6IQ-pHAQSCoSy5Iv19GGvNuGX4Bbg?e=YSq1DL" xr:uid="{CE9639AA-26DA-4C7E-A0AA-1B599BC8E321}"/>
    <hyperlink ref="O265" r:id="rId179" display="https://1drv.ms/b/c/a8f0902f6b5ae388/IQDINnmT1a6nQIE7rh6IQ-pHAQSCoSy5Iv19GGvNuGX4Bbg?e=YSq1DL" xr:uid="{704A1D22-34E7-4816-A85A-CBB1A5AA9484}"/>
    <hyperlink ref="O266" r:id="rId180" display="https://1drv.ms/b/c/a8f0902f6b5ae388/IQAADjgBPKWcSbRqEfrGg94eAdLgq3hLToQTPw_QeIW_SC8?e=og68di" xr:uid="{612AA4B6-3039-4CBD-ADF5-909D697760A0}"/>
    <hyperlink ref="O267" r:id="rId181" display="https://1drv.ms/b/c/a8f0902f6b5ae388/IQAADjgBPKWcSbRqEfrGg94eAdLgq3hLToQTPw_QeIW_SC8?e=og68di" xr:uid="{B98E5777-3557-41B5-9E3D-F5E141A468C1}"/>
    <hyperlink ref="O63" r:id="rId182" display="https://1drv.ms/b/c/a8f0902f6b5ae388/IQCPPFW4Wm6cQ7Re38nF-N2JAaoges7gjp6gKheraPX3AMw?e=wDkvdm" xr:uid="{175E9315-A6A1-412B-94D2-E0CAF514FC18}"/>
    <hyperlink ref="O64" r:id="rId183" display="https://1drv.ms/b/c/a8f0902f6b5ae388/IQAlQPGHVs6HQrUNVe7cLeL6ARQHXHFGLBRMwOv-HTR8mqU?e=xJsNDp" xr:uid="{835B831B-854D-4E4D-B9EA-8126AA74D785}"/>
    <hyperlink ref="O68" r:id="rId184" display="https://1drv.ms/b/c/a8f0902f6b5ae388/IQAlQPGHVs6HQrUNVe7cLeL6ARQHXHFGLBRMwOv-HTR8mqU?e=xJsNDp" xr:uid="{93284EC8-A9CB-48B6-8128-49FAA6EF1FF0}"/>
    <hyperlink ref="O67" r:id="rId185" display="https://1drv.ms/b/c/a8f0902f6b5ae388/IQAlQPGHVs6HQrUNVe7cLeL6ARQHXHFGLBRMwOv-HTR8mqU?e=xJsNDp" xr:uid="{D977EC9B-80C2-4A55-B648-2DD696681595}"/>
    <hyperlink ref="O65" r:id="rId186" display="https://1drv.ms/b/c/a8f0902f6b5ae388/IQDmUdXfzjnBRZtXzvWtPFMSAYZDmhu8A51Vk3CLUfDMqDk?e=mJM0no" xr:uid="{80AC9D4D-71AF-4893-85A7-2ACD54513AEB}"/>
    <hyperlink ref="O66" r:id="rId187" display="https://1drv.ms/b/c/a8f0902f6b5ae388/IQDmUdXfzjnBRZtXzvWtPFMSAYZDmhu8A51Vk3CLUfDMqDk?e=mJM0no" xr:uid="{CDFF46B9-1E5C-46BC-9CC3-52B25B37D10C}"/>
    <hyperlink ref="O58" r:id="rId188" display="https://1drv.ms/b/c/a8f0902f6b5ae388/IQBmeLAqha30RIjTQbrEAsEtAatm8qvQk-lPz-a_rCiod0k?e=ecbX6X" xr:uid="{6B964FC7-848D-4653-B12F-E5E81AE31F1C}"/>
    <hyperlink ref="O59" r:id="rId189" display="https://1drv.ms/b/c/a8f0902f6b5ae388/IQBmeLAqha30RIjTQbrEAsEtAatm8qvQk-lPz-a_rCiod0k?e=ecbX6X" xr:uid="{DC5DAF65-E0CC-4DD1-B5ED-D5E6710DF0B0}"/>
    <hyperlink ref="O61" r:id="rId190" display="https://1drv.ms/b/c/a8f0902f6b5ae388/IQBmeLAqha30RIjTQbrEAsEtAatm8qvQk-lPz-a_rCiod0k?e=ecbX6X" xr:uid="{38E08D41-55D0-489B-AE57-98E5FB112A89}"/>
    <hyperlink ref="O60" r:id="rId191" display="https://1drv.ms/b/c/a8f0902f6b5ae388/IQBmeLAqha30RIjTQbrEAsEtAatm8qvQk-lPz-a_rCiod0k?e=ecbX6X" xr:uid="{E3094E18-9E41-461D-B431-E34B41464605}"/>
    <hyperlink ref="O62" r:id="rId192" display="https://1drv.ms/b/c/a8f0902f6b5ae388/IQBmeLAqha30RIjTQbrEAsEtAatm8qvQk-lPz-a_rCiod0k?e=ecbX6X" xr:uid="{559ADBB6-7F28-4EE1-9612-74E9BDA0BA9F}"/>
    <hyperlink ref="O52" r:id="rId193" display="https://1drv.ms/b/c/a8f0902f6b5ae388/IQD3Fx_jdbT6TaYgSu1H2jpnAd6nPowys4WiYV99yWcb65g?e=K5Isei" xr:uid="{4FE24B33-74DA-4255-AF5C-33B3B1C8176D}"/>
    <hyperlink ref="O53" r:id="rId194" display="https://1drv.ms/b/c/a8f0902f6b5ae388/IQD3Fx_jdbT6TaYgSu1H2jpnAd6nPowys4WiYV99yWcb65g?e=K5Isei" xr:uid="{481EA9B1-842E-4925-89CD-E59C245CDD08}"/>
    <hyperlink ref="O55" r:id="rId195" display="https://1drv.ms/b/c/a8f0902f6b5ae388/IQCPPFW4Wm6cQ7Re38nF-N2JAaoges7gjp6gKheraPX3AMw?e=wDkvdm" xr:uid="{45CF2B2D-F786-46A1-8C54-32D19270BB3B}"/>
    <hyperlink ref="O54" r:id="rId196" display="https://1drv.ms/b/c/a8f0902f6b5ae388/IQCPPFW4Wm6cQ7Re38nF-N2JAaoges7gjp6gKheraPX3AMw?e=wDkvdm" xr:uid="{0A5FDEEA-009F-468F-BE9B-E2AED795507F}"/>
    <hyperlink ref="O56" r:id="rId197" display="https://1drv.ms/b/c/a8f0902f6b5ae388/IQCPPFW4Wm6cQ7Re38nF-N2JAaoges7gjp6gKheraPX3AMw?e=wDkvdm" xr:uid="{8732BCD8-3F33-4A8B-ACC2-45753355CDD0}"/>
    <hyperlink ref="O57" r:id="rId198" display="https://1drv.ms/b/c/a8f0902f6b5ae388/IQCPPFW4Wm6cQ7Re38nF-N2JAaoges7gjp6gKheraPX3AMw?e=wDkvdm" xr:uid="{6C48F2C7-B2F7-4C67-A58A-AD4D622D8D66}"/>
    <hyperlink ref="O43" r:id="rId199" display="https://1drv.ms/b/c/a8f0902f6b5ae388/IQDqc_SUTTrAQbzx_CA8bISpAYPht4Aw3tbxixvmkWZCI_0?e=HrrJOY" xr:uid="{6A3D0E3D-407F-4AAE-A77F-C350E666A5AA}"/>
    <hyperlink ref="O48" r:id="rId200" display="https://1drv.ms/b/c/a8f0902f6b5ae388/IQBmGjEjSFKdQp0hZMrteBPmAeXT7JqGwFU6s7XtSLAhWjk?e=fCaduj" xr:uid="{33CD922E-777A-4616-AED2-BD607677A1D8}"/>
    <hyperlink ref="O51" r:id="rId201" display="https://1drv.ms/b/c/a8f0902f6b5ae388/IQBmGjEjSFKdQp0hZMrteBPmAeXT7JqGwFU6s7XtSLAhWjk?e=fCaduj" xr:uid="{349D1CBD-D5FE-42CF-98E8-9D43F7B830EF}"/>
    <hyperlink ref="O47" r:id="rId202" display="https://1drv.ms/b/c/a8f0902f6b5ae388/IQBxZQtB0wjNRozSCWBvZgsXAXea6oJtQ1zP2Y2VS4JuP8c?e=PVF2iN" xr:uid="{EDF9B877-7D2B-461B-B5F0-72DF0BDCCC5B}"/>
    <hyperlink ref="O44" r:id="rId203" display="https://1drv.ms/b/c/a8f0902f6b5ae388/IQBxZQtB0wjNRozSCWBvZgsXAXea6oJtQ1zP2Y2VS4JuP8c?e=PVF2iN" xr:uid="{4130F8AE-6520-4A99-AE34-0C2EFF335CD0}"/>
    <hyperlink ref="O49" r:id="rId204" display="https://1drv.ms/b/c/a8f0902f6b5ae388/IQBxZQtB0wjNRozSCWBvZgsXAXea6oJtQ1zP2Y2VS4JuP8c?e=PVF2iN" xr:uid="{C6246AE7-D84F-47CA-AB0B-1AC1130D1BB1}"/>
    <hyperlink ref="O45" r:id="rId205" display="https://1drv.ms/b/c/a8f0902f6b5ae388/IQBxZQtB0wjNRozSCWBvZgsXAXea6oJtQ1zP2Y2VS4JuP8c?e=PVF2iN" xr:uid="{0BCAD91C-D1DE-4F2D-AC1F-98D0A2F9F6C5}"/>
    <hyperlink ref="O46" r:id="rId206" display="https://1drv.ms/b/c/a8f0902f6b5ae388/IQAv9spTGTE-QpiLiY5Ik42tAXnkJIV2TET5z0wR4t9VnSQ?e=S7noyV" xr:uid="{8F35A2CD-9B5B-4079-9F19-34DB6DA59A06}"/>
    <hyperlink ref="O50" r:id="rId207" display="https://1drv.ms/b/c/a8f0902f6b5ae388/IQAv9spTGTE-QpiLiY5Ik42tAXnkJIV2TET5z0wR4t9VnSQ?e=S7noyV" xr:uid="{0C16FBB1-69B5-454E-BD59-F57B19C1031A}"/>
    <hyperlink ref="O40" r:id="rId208" display="https://1drv.ms/b/c/a8f0902f6b5ae388/IQASq74qUrQDQJCOEBQqsgg_AabmYrP6fkoVyrcHT_fpp18?e=Tdogrx" xr:uid="{1F077093-62E3-4FFC-B603-69D5CA8B123B}"/>
    <hyperlink ref="O41" r:id="rId209" display="https://1drv.ms/b/c/a8f0902f6b5ae388/IQASq74qUrQDQJCOEBQqsgg_AabmYrP6fkoVyrcHT_fpp18?e=Tdogrx" xr:uid="{66BBEE8E-D2BF-4CB1-888E-E366650EA3D6}"/>
    <hyperlink ref="O42" r:id="rId210" display="https://1drv.ms/b/c/a8f0902f6b5ae388/IQASq74qUrQDQJCOEBQqsgg_AabmYrP6fkoVyrcHT_fpp18?e=Tdogrx" xr:uid="{19A354EC-027E-41FE-A04D-73603CA24BF2}"/>
    <hyperlink ref="O34" r:id="rId211" display="https://1drv.ms/b/c/a8f0902f6b5ae388/IQDrF7mqLrahQoA27YjFwudrAaveozxiLuDYvYypS1shgqw?e=x2NtKp" xr:uid="{9F39B5ED-7D5E-4076-AB38-0F7341F15071}"/>
    <hyperlink ref="O35" r:id="rId212" display="https://1drv.ms/b/c/a8f0902f6b5ae388/IQDrF7mqLrahQoA27YjFwudrAaveozxiLuDYvYypS1shgqw?e=x2NtKp" xr:uid="{5067E35A-B6FA-4820-865C-DD1EBD3CD1F3}"/>
    <hyperlink ref="O39" r:id="rId213" display="https://1drv.ms/b/c/a8f0902f6b5ae388/IQDrF7mqLrahQoA27YjFwudrAaveozxiLuDYvYypS1shgqw?e=x2NtKp" xr:uid="{D8AE286D-9D4D-415D-979F-D209ADDC7621}"/>
    <hyperlink ref="O38" r:id="rId214" display="https://1drv.ms/b/c/a8f0902f6b5ae388/IQDrF7mqLrahQoA27YjFwudrAaveozxiLuDYvYypS1shgqw?e=x2NtKp" xr:uid="{55371D19-B85E-4042-BEA9-B3ECBCFB09FA}"/>
    <hyperlink ref="O37" r:id="rId215" display="https://1drv.ms/b/c/a8f0902f6b5ae388/IQDrF7mqLrahQoA27YjFwudrAaveozxiLuDYvYypS1shgqw?e=x2NtKp" xr:uid="{18EB85CC-A80E-4BB6-A860-42A13F1AA809}"/>
    <hyperlink ref="O36" r:id="rId216" display="https://1drv.ms/b/c/a8f0902f6b5ae388/IQDrF7mqLrahQoA27YjFwudrAaveozxiLuDYvYypS1shgqw?e=x2NtKp" xr:uid="{8E44010D-CD02-407B-95A1-081928EBB7F9}"/>
    <hyperlink ref="O2" r:id="rId217" display="https://1drv.ms/b/c/a8f0902f6b5ae388/IQAoZaan3izxTLp1z6a5IfKCAXpdNt5erkYURfdLuxcTBqQ?e=0bGVKq" xr:uid="{1B56898A-96AE-439A-BE83-B9052104E0CC}"/>
    <hyperlink ref="O3" r:id="rId218" display="https://1drv.ms/b/c/a8f0902f6b5ae388/IQAoZaan3izxTLp1z6a5IfKCAXpdNt5erkYURfdLuxcTBqQ?e=0bGVKq" xr:uid="{74AF0891-4B32-409F-8DFE-59C673155159}"/>
    <hyperlink ref="O9" r:id="rId219" display="https://1drv.ms/b/c/a8f0902f6b5ae388/IQAoZaan3izxTLp1z6a5IfKCAXpdNt5erkYURfdLuxcTBqQ?e=0bGVKq" xr:uid="{B1DAC0DE-221E-4F23-8617-95E62B659965}"/>
    <hyperlink ref="O10" r:id="rId220" display="https://1drv.ms/b/c/a8f0902f6b5ae388/IQAoZaan3izxTLp1z6a5IfKCAXpdNt5erkYURfdLuxcTBqQ?e=0bGVKq" xr:uid="{DD961DB3-BF23-404E-A635-56732635534B}"/>
    <hyperlink ref="O11" r:id="rId221" display="https://1drv.ms/b/c/a8f0902f6b5ae388/IQAcTj0H3N2mSKfibUFdAd4iAebB_vd9p__mi3BQp-UJeMk?e=xTvrRV" xr:uid="{6C60C4F3-3C93-48D8-8357-E4E1AC753E04}"/>
    <hyperlink ref="O12" r:id="rId222" display="https://1drv.ms/b/c/a8f0902f6b5ae388/IQAcTj0H3N2mSKfibUFdAd4iAebB_vd9p__mi3BQp-UJeMk?e=xTvrRV" xr:uid="{3B7058BE-2D30-4E6D-8987-E5477BA54E7F}"/>
    <hyperlink ref="O22" r:id="rId223" display="https://1drv.ms/b/c/a8f0902f6b5ae388/IQAcTj0H3N2mSKfibUFdAd4iAebB_vd9p__mi3BQp-UJeMk?e=xTvrRV" xr:uid="{DFE1AB7F-19A3-4786-A81A-E12CA1A04409}"/>
    <hyperlink ref="O21" r:id="rId224" display="https://1drv.ms/b/c/a8f0902f6b5ae388/IQAcTj0H3N2mSKfibUFdAd4iAebB_vd9p__mi3BQp-UJeMk?e=xTvrRV" xr:uid="{0004F524-909C-42F7-8F5C-F08E175EDDC6}"/>
    <hyperlink ref="O5" r:id="rId225" display="https://1drv.ms/b/c/a8f0902f6b5ae388/IQAcTj0H3N2mSKfibUFdAd4iAebB_vd9p__mi3BQp-UJeMk?e=xTvrRV" xr:uid="{00919EA1-A521-4EFB-B8CE-3323E9792476}"/>
    <hyperlink ref="O6" r:id="rId226" display="https://1drv.ms/b/c/a8f0902f6b5ae388/IQAcTj0H3N2mSKfibUFdAd4iAebB_vd9p__mi3BQp-UJeMk?e=xTvrRV" xr:uid="{C19853A0-5DB2-4BA8-878E-BF4B74F63D7F}"/>
    <hyperlink ref="O7" r:id="rId227" display="https://1drv.ms/b/c/a8f0902f6b5ae388/IQAfww5_u3A6TIF65QQ6J3LQAUcJR8MB1SZih1j5lJtL7aw?e=QaGbe7" xr:uid="{B17F080D-6639-4285-A3E9-26B9F728A0D6}"/>
    <hyperlink ref="O8" r:id="rId228" display="https://1drv.ms/b/c/a8f0902f6b5ae388/IQAfww5_u3A6TIF65QQ6J3LQAUcJR8MB1SZih1j5lJtL7aw?e=QaGbe7" xr:uid="{7B88B770-EF54-42FF-B508-0DE3D728B415}"/>
    <hyperlink ref="O14" r:id="rId229" display="https://1drv.ms/b/c/a8f0902f6b5ae388/IQAfww5_u3A6TIF65QQ6J3LQAUcJR8MB1SZih1j5lJtL7aw?e=QaGbe7" xr:uid="{6286B3F6-5E62-4E6E-9C12-7C972BFA937A}"/>
    <hyperlink ref="O15" r:id="rId230" display="https://1drv.ms/b/c/a8f0902f6b5ae388/IQAfww5_u3A6TIF65QQ6J3LQAUcJR8MB1SZih1j5lJtL7aw?e=QaGbe7" xr:uid="{FF3DA75B-280E-40DE-9E43-0CD3F039F467}"/>
    <hyperlink ref="O13" r:id="rId231" display="https://1drv.ms/b/c/a8f0902f6b5ae388/IQAfww5_u3A6TIF65QQ6J3LQAUcJR8MB1SZih1j5lJtL7aw?e=QaGbe7" xr:uid="{0F680281-2C1A-4E8C-8730-FCDF5063773F}"/>
    <hyperlink ref="O17" r:id="rId232" display="https://1drv.ms/b/c/a8f0902f6b5ae388/IQAfww5_u3A6TIF65QQ6J3LQAUcJR8MB1SZih1j5lJtL7aw?e=QaGbe7" xr:uid="{61F61A65-9A2D-4F15-810A-C832A40B63CA}"/>
    <hyperlink ref="O18" r:id="rId233" display="https://1drv.ms/b/c/a8f0902f6b5ae388/IQAfww5_u3A6TIF65QQ6J3LQAUcJR8MB1SZih1j5lJtL7aw?e=QaGbe7" xr:uid="{0BCBEF6B-2901-4D92-8373-719140620E18}"/>
    <hyperlink ref="O19" r:id="rId234" display="https://1drv.ms/b/c/a8f0902f6b5ae388/IQAfww5_u3A6TIF65QQ6J3LQAUcJR8MB1SZih1j5lJtL7aw?e=QaGbe7" xr:uid="{1FB88942-4A22-4DFD-87D0-C52090805F03}"/>
    <hyperlink ref="O27" r:id="rId235" display="https://1drv.ms/b/c/a8f0902f6b5ae388/IQB5VMhCWHpGTp2ZrRoF4RjkAe_5rGO2J4lHkPz7UJuR-Ro?e=3M7sSx" xr:uid="{3A03CA2D-D3C2-4D68-9415-9776DA5B1CEB}"/>
    <hyperlink ref="O28" r:id="rId236" display="https://1drv.ms/b/c/a8f0902f6b5ae388/IQB5VMhCWHpGTp2ZrRoF4RjkAe_5rGO2J4lHkPz7UJuR-Ro?e=3M7sSx" xr:uid="{4BD8810B-AEAD-42B3-8FDF-47C0C58989BB}"/>
    <hyperlink ref="O4" r:id="rId237" display="https://1drv.ms/b/c/a8f0902f6b5ae388/IQB5VMhCWHpGTp2ZrRoF4RjkAe_5rGO2J4lHkPz7UJuR-Ro?e=3M7sSx" xr:uid="{45700D67-DF11-4223-93D1-B7C4208E6967}"/>
    <hyperlink ref="O24" r:id="rId238" display="https://1drv.ms/b/c/a8f0902f6b5ae388/IQB5VMhCWHpGTp2ZrRoF4RjkAe_5rGO2J4lHkPz7UJuR-Ro?e=3M7sSx" xr:uid="{CF09F003-EF2B-4AAC-8F96-F543CD03FF7D}"/>
    <hyperlink ref="O25" r:id="rId239" display="https://1drv.ms/b/c/a8f0902f6b5ae388/IQB5VMhCWHpGTp2ZrRoF4RjkAe_5rGO2J4lHkPz7UJuR-Ro?e=3M7sSx" xr:uid="{AA6D48A7-B350-40C5-AC3D-2B2FB840903F}"/>
    <hyperlink ref="O29" r:id="rId240" display="https://1drv.ms/b/c/a8f0902f6b5ae388/IQB5VMhCWHpGTp2ZrRoF4RjkAe_5rGO2J4lHkPz7UJuR-Ro?e=3M7sSx" xr:uid="{AAC0848E-CAFE-4C98-8D6A-A53B06FCAC4F}"/>
    <hyperlink ref="O30" r:id="rId241" display="https://1drv.ms/b/c/a8f0902f6b5ae388/IQB5VMhCWHpGTp2ZrRoF4RjkAe_5rGO2J4lHkPz7UJuR-Ro?e=3M7sSx" xr:uid="{17FA0695-8B62-4533-9501-828D46776EBF}"/>
    <hyperlink ref="O31" r:id="rId242" display="https://1drv.ms/b/c/a8f0902f6b5ae388/IQB5VMhCWHpGTp2ZrRoF4RjkAe_5rGO2J4lHkPz7UJuR-Ro?e=3M7sSx" xr:uid="{1B5FAA1F-0D48-4D57-B161-A9610B7E29E1}"/>
    <hyperlink ref="O16" r:id="rId243" display="https://1drv.ms/b/c/a8f0902f6b5ae388/IQB-O4_Db34GTJZJ_TZ9UE1JAbTW8NgI6loTy4t5cciug6g?e=LX1QwN" xr:uid="{260A06C3-63F2-4A9D-82AF-4875DCF31B28}"/>
    <hyperlink ref="O23" r:id="rId244" display="https://1drv.ms/b/c/a8f0902f6b5ae388/IQB-O4_Db34GTJZJ_TZ9UE1JAbTW8NgI6loTy4t5cciug6g?e=LX1QwN" xr:uid="{32F5C186-3F4F-44EF-BC7E-43CCB1FCA323}"/>
    <hyperlink ref="O32" r:id="rId245" display="https://1drv.ms/b/c/a8f0902f6b5ae388/IQB-O4_Db34GTJZJ_TZ9UE1JAbTW8NgI6loTy4t5cciug6g?e=LX1QwN" xr:uid="{D712EA5C-2D58-490F-9EEB-6748A055BC3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67FB-9514-4A54-B73B-42783611BBBD}">
  <sheetPr codeName="Sheet1">
    <tabColor rgb="FFFFFF00"/>
  </sheetPr>
  <dimension ref="A1:N213"/>
  <sheetViews>
    <sheetView view="pageBreakPreview" zoomScaleNormal="100" zoomScaleSheetLayoutView="100" workbookViewId="0">
      <selection activeCell="C19" sqref="C19"/>
    </sheetView>
  </sheetViews>
  <sheetFormatPr defaultRowHeight="18" x14ac:dyDescent="0.45"/>
  <cols>
    <col min="1" max="1" width="6.3984375" bestFit="1" customWidth="1"/>
    <col min="2" max="2" width="3.3984375" customWidth="1"/>
    <col min="3" max="3" width="21.5" bestFit="1" customWidth="1"/>
    <col min="4" max="4" width="3.3984375" style="1" bestFit="1" customWidth="1"/>
    <col min="5" max="5" width="10" style="1" bestFit="1" customWidth="1"/>
    <col min="6" max="6" width="20.19921875" style="1" customWidth="1"/>
    <col min="7" max="7" width="6.09765625" bestFit="1" customWidth="1"/>
    <col min="8" max="8" width="14.09765625" bestFit="1" customWidth="1"/>
    <col min="9" max="9" width="11.59765625" bestFit="1" customWidth="1"/>
    <col min="10" max="10" width="14.69921875" customWidth="1"/>
  </cols>
  <sheetData>
    <row r="1" spans="1:14" s="1" customFormat="1" x14ac:dyDescent="0.45">
      <c r="A1">
        <f>COUNTIF(A2:A11,TRUE)</f>
        <v>0</v>
      </c>
      <c r="B1" s="5"/>
      <c r="C1" s="5" t="s">
        <v>0</v>
      </c>
      <c r="D1" s="5"/>
      <c r="E1" s="5" t="s">
        <v>1</v>
      </c>
      <c r="F1" s="5" t="s">
        <v>2</v>
      </c>
      <c r="G1" s="5" t="s">
        <v>3</v>
      </c>
      <c r="H1" s="5" t="s">
        <v>4</v>
      </c>
      <c r="I1" s="5" t="s">
        <v>5</v>
      </c>
    </row>
    <row r="2" spans="1:14" x14ac:dyDescent="0.45">
      <c r="A2" s="420" t="b">
        <v>0</v>
      </c>
      <c r="B2" s="3">
        <f t="shared" ref="B2:B11" si="0">ROW()-1</f>
        <v>1</v>
      </c>
      <c r="C2" s="414" t="s">
        <v>40</v>
      </c>
      <c r="D2" s="415" t="s">
        <v>41</v>
      </c>
      <c r="E2" s="415" t="s">
        <v>42</v>
      </c>
      <c r="F2" s="418" t="s">
        <v>43</v>
      </c>
      <c r="G2" s="414">
        <v>176</v>
      </c>
      <c r="H2" s="3"/>
      <c r="I2" s="3">
        <v>104</v>
      </c>
      <c r="M2" s="478" t="s">
        <v>225</v>
      </c>
      <c r="N2" t="str">
        <f>VLOOKUP(M2,C:C,1,FALSE)</f>
        <v>両手送小手</v>
      </c>
    </row>
    <row r="3" spans="1:14" x14ac:dyDescent="0.45">
      <c r="A3" s="420" t="b">
        <v>0</v>
      </c>
      <c r="B3" s="3">
        <f t="shared" si="0"/>
        <v>2</v>
      </c>
      <c r="C3" s="414" t="s">
        <v>44</v>
      </c>
      <c r="D3" s="415" t="s">
        <v>41</v>
      </c>
      <c r="E3" s="415" t="s">
        <v>45</v>
      </c>
      <c r="F3" s="418" t="s">
        <v>43</v>
      </c>
      <c r="G3" s="414">
        <v>176</v>
      </c>
      <c r="H3" s="3"/>
      <c r="I3" s="3"/>
      <c r="M3" s="478" t="s">
        <v>762</v>
      </c>
      <c r="N3" t="e">
        <f t="shared" ref="N3:N66" si="1">VLOOKUP(M3,C:C,1,FALSE)</f>
        <v>#N/A</v>
      </c>
    </row>
    <row r="4" spans="1:14" x14ac:dyDescent="0.45">
      <c r="A4" s="420" t="b">
        <v>0</v>
      </c>
      <c r="B4" s="3">
        <f t="shared" si="0"/>
        <v>3</v>
      </c>
      <c r="C4" s="414" t="s">
        <v>50</v>
      </c>
      <c r="D4" s="415" t="s">
        <v>41</v>
      </c>
      <c r="E4" s="415" t="s">
        <v>45</v>
      </c>
      <c r="F4" s="418" t="s">
        <v>43</v>
      </c>
      <c r="G4" s="414">
        <v>177</v>
      </c>
      <c r="H4" s="3"/>
      <c r="I4" s="3">
        <v>107</v>
      </c>
      <c r="M4" s="478" t="s">
        <v>244</v>
      </c>
      <c r="N4" t="str">
        <f t="shared" si="1"/>
        <v>送横天秤</v>
      </c>
    </row>
    <row r="5" spans="1:14" x14ac:dyDescent="0.45">
      <c r="A5" s="420" t="b">
        <v>0</v>
      </c>
      <c r="B5" s="3">
        <f t="shared" si="0"/>
        <v>4</v>
      </c>
      <c r="C5" s="3" t="s">
        <v>51</v>
      </c>
      <c r="D5" s="415" t="s">
        <v>52</v>
      </c>
      <c r="E5" s="415" t="s">
        <v>53</v>
      </c>
      <c r="F5" s="418" t="s">
        <v>54</v>
      </c>
      <c r="G5" s="414">
        <v>177</v>
      </c>
      <c r="H5" s="3"/>
      <c r="I5" s="3"/>
      <c r="M5" s="478" t="s">
        <v>240</v>
      </c>
      <c r="N5" t="str">
        <f t="shared" si="1"/>
        <v>送巻天秤</v>
      </c>
    </row>
    <row r="6" spans="1:14" x14ac:dyDescent="0.45">
      <c r="A6" s="420" t="b">
        <v>0</v>
      </c>
      <c r="B6" s="3">
        <f t="shared" si="0"/>
        <v>5</v>
      </c>
      <c r="C6" s="414" t="s">
        <v>55</v>
      </c>
      <c r="D6" s="415" t="s">
        <v>52</v>
      </c>
      <c r="E6" s="415" t="s">
        <v>56</v>
      </c>
      <c r="F6" s="418" t="s">
        <v>57</v>
      </c>
      <c r="G6" s="414">
        <v>177</v>
      </c>
      <c r="H6" s="3">
        <v>58</v>
      </c>
      <c r="I6" s="3">
        <v>105</v>
      </c>
      <c r="M6" s="478" t="s">
        <v>246</v>
      </c>
      <c r="N6" t="str">
        <f t="shared" si="1"/>
        <v>送四指捕</v>
      </c>
    </row>
    <row r="7" spans="1:14" x14ac:dyDescent="0.45">
      <c r="A7" s="420" t="b">
        <v>0</v>
      </c>
      <c r="B7" s="3">
        <f t="shared" si="0"/>
        <v>6</v>
      </c>
      <c r="C7" s="414" t="s">
        <v>58</v>
      </c>
      <c r="D7" s="415" t="s">
        <v>52</v>
      </c>
      <c r="E7" s="415" t="s">
        <v>56</v>
      </c>
      <c r="F7" s="418" t="s">
        <v>57</v>
      </c>
      <c r="G7" s="414">
        <v>177</v>
      </c>
      <c r="H7" s="3"/>
      <c r="I7" s="3">
        <v>106</v>
      </c>
      <c r="M7" s="478" t="s">
        <v>355</v>
      </c>
      <c r="N7" t="str">
        <f t="shared" si="1"/>
        <v>合掌送捕</v>
      </c>
    </row>
    <row r="8" spans="1:14" x14ac:dyDescent="0.45">
      <c r="A8" s="420" t="b">
        <v>0</v>
      </c>
      <c r="B8" s="3">
        <f t="shared" si="0"/>
        <v>7</v>
      </c>
      <c r="C8" s="414" t="s">
        <v>59</v>
      </c>
      <c r="D8" s="415" t="s">
        <v>52</v>
      </c>
      <c r="E8" s="415" t="s">
        <v>60</v>
      </c>
      <c r="F8" s="418" t="s">
        <v>54</v>
      </c>
      <c r="G8" s="414">
        <v>178</v>
      </c>
      <c r="H8" s="3"/>
      <c r="I8" s="3">
        <v>99</v>
      </c>
      <c r="M8" s="478" t="s">
        <v>241</v>
      </c>
      <c r="N8" t="str">
        <f t="shared" si="1"/>
        <v>送肘攻</v>
      </c>
    </row>
    <row r="9" spans="1:14" x14ac:dyDescent="0.45">
      <c r="A9" s="420" t="b">
        <v>0</v>
      </c>
      <c r="B9" s="3">
        <f t="shared" si="0"/>
        <v>8</v>
      </c>
      <c r="C9" s="414" t="s">
        <v>61</v>
      </c>
      <c r="D9" s="415" t="s">
        <v>52</v>
      </c>
      <c r="E9" s="415" t="s">
        <v>60</v>
      </c>
      <c r="F9" s="418" t="s">
        <v>54</v>
      </c>
      <c r="G9" s="414">
        <v>178</v>
      </c>
      <c r="H9" s="3"/>
      <c r="I9" s="3"/>
      <c r="M9" s="478" t="s">
        <v>517</v>
      </c>
      <c r="N9" t="str">
        <f t="shared" si="1"/>
        <v>吊落</v>
      </c>
    </row>
    <row r="10" spans="1:14" x14ac:dyDescent="0.45">
      <c r="A10" s="420" t="b">
        <v>0</v>
      </c>
      <c r="B10" s="3">
        <f t="shared" si="0"/>
        <v>9</v>
      </c>
      <c r="C10" s="414" t="s">
        <v>62</v>
      </c>
      <c r="D10" s="415" t="s">
        <v>52</v>
      </c>
      <c r="E10" s="415" t="s">
        <v>56</v>
      </c>
      <c r="F10" s="418" t="s">
        <v>63</v>
      </c>
      <c r="G10" s="414">
        <v>179</v>
      </c>
      <c r="H10" s="3"/>
      <c r="I10" s="3"/>
      <c r="M10" s="478" t="s">
        <v>773</v>
      </c>
      <c r="N10" t="str">
        <f t="shared" si="1"/>
        <v>吊上捕</v>
      </c>
    </row>
    <row r="11" spans="1:14" x14ac:dyDescent="0.45">
      <c r="A11" s="420" t="b">
        <v>0</v>
      </c>
      <c r="B11" s="3">
        <f t="shared" si="0"/>
        <v>10</v>
      </c>
      <c r="C11" s="414" t="s">
        <v>64</v>
      </c>
      <c r="D11" s="415" t="s">
        <v>52</v>
      </c>
      <c r="E11" s="415" t="s">
        <v>53</v>
      </c>
      <c r="F11" s="418" t="s">
        <v>65</v>
      </c>
      <c r="G11" s="3"/>
      <c r="H11" s="3"/>
      <c r="I11" s="3"/>
      <c r="M11" s="478" t="s">
        <v>228</v>
      </c>
      <c r="N11" t="str">
        <f t="shared" si="1"/>
        <v>送捕</v>
      </c>
    </row>
    <row r="12" spans="1:14" x14ac:dyDescent="0.45">
      <c r="M12" s="478" t="s">
        <v>778</v>
      </c>
      <c r="N12" t="e">
        <f t="shared" si="1"/>
        <v>#N/A</v>
      </c>
    </row>
    <row r="13" spans="1:14" s="1" customFormat="1" x14ac:dyDescent="0.45">
      <c r="A13">
        <f>COUNTIF(A14:A22,TRUE)</f>
        <v>0</v>
      </c>
      <c r="B13" s="5"/>
      <c r="C13" s="5" t="s">
        <v>66</v>
      </c>
      <c r="D13" s="5"/>
      <c r="E13" s="5" t="s">
        <v>1</v>
      </c>
      <c r="F13" s="5" t="s">
        <v>2</v>
      </c>
      <c r="G13" s="5" t="s">
        <v>3</v>
      </c>
      <c r="H13" s="5" t="s">
        <v>4</v>
      </c>
      <c r="I13" s="5" t="s">
        <v>5</v>
      </c>
      <c r="M13" s="478" t="s">
        <v>495</v>
      </c>
      <c r="N13" t="str">
        <f t="shared" si="1"/>
        <v>片手寄抜</v>
      </c>
    </row>
    <row r="14" spans="1:14" x14ac:dyDescent="0.45">
      <c r="A14" s="420" t="b">
        <v>0</v>
      </c>
      <c r="B14" s="3">
        <f t="shared" ref="B14:B22" si="2">ROW()-13</f>
        <v>1</v>
      </c>
      <c r="C14" s="3" t="s">
        <v>67</v>
      </c>
      <c r="D14" s="2" t="s">
        <v>68</v>
      </c>
      <c r="E14" s="2" t="s">
        <v>69</v>
      </c>
      <c r="F14" s="418" t="s">
        <v>70</v>
      </c>
      <c r="G14" s="414">
        <v>180</v>
      </c>
      <c r="H14" s="3"/>
      <c r="I14" s="3"/>
      <c r="M14" s="478" t="s">
        <v>152</v>
      </c>
      <c r="N14" t="str">
        <f t="shared" si="1"/>
        <v>両手寄抜</v>
      </c>
    </row>
    <row r="15" spans="1:14" x14ac:dyDescent="0.45">
      <c r="A15" s="420" t="b">
        <v>0</v>
      </c>
      <c r="B15" s="3">
        <f t="shared" si="2"/>
        <v>2</v>
      </c>
      <c r="C15" s="414" t="s">
        <v>71</v>
      </c>
      <c r="D15" s="2" t="s">
        <v>72</v>
      </c>
      <c r="E15" s="2" t="s">
        <v>69</v>
      </c>
      <c r="F15" s="418" t="s">
        <v>70</v>
      </c>
      <c r="G15" s="414">
        <v>180</v>
      </c>
      <c r="H15" s="3"/>
      <c r="I15" s="3">
        <v>116</v>
      </c>
      <c r="M15" s="478" t="s">
        <v>162</v>
      </c>
      <c r="N15" t="str">
        <f t="shared" si="1"/>
        <v>巻抜(両手)</v>
      </c>
    </row>
    <row r="16" spans="1:14" x14ac:dyDescent="0.45">
      <c r="A16" s="420" t="b">
        <v>0</v>
      </c>
      <c r="B16" s="3">
        <f t="shared" si="2"/>
        <v>3</v>
      </c>
      <c r="C16" s="414" t="s">
        <v>73</v>
      </c>
      <c r="D16" s="2" t="s">
        <v>52</v>
      </c>
      <c r="E16" s="2" t="s">
        <v>74</v>
      </c>
      <c r="F16" s="418" t="s">
        <v>70</v>
      </c>
      <c r="G16" s="414">
        <v>180</v>
      </c>
      <c r="H16" s="3"/>
      <c r="I16" s="3">
        <v>118</v>
      </c>
      <c r="M16" s="478" t="s">
        <v>163</v>
      </c>
      <c r="N16" t="str">
        <f t="shared" si="1"/>
        <v>巻抜(片手)</v>
      </c>
    </row>
    <row r="17" spans="1:14" x14ac:dyDescent="0.45">
      <c r="A17" s="420" t="b">
        <v>0</v>
      </c>
      <c r="B17" s="3">
        <f t="shared" si="2"/>
        <v>4</v>
      </c>
      <c r="C17" s="3" t="s">
        <v>75</v>
      </c>
      <c r="D17" s="2" t="s">
        <v>7</v>
      </c>
      <c r="E17" s="415" t="s">
        <v>76</v>
      </c>
      <c r="F17" s="418" t="s">
        <v>77</v>
      </c>
      <c r="G17" s="414">
        <v>182</v>
      </c>
      <c r="H17" s="3">
        <v>60</v>
      </c>
      <c r="I17" s="3">
        <v>109</v>
      </c>
      <c r="M17" s="478" t="s">
        <v>164</v>
      </c>
      <c r="N17" t="str">
        <f t="shared" si="1"/>
        <v>諸手巻抜</v>
      </c>
    </row>
    <row r="18" spans="1:14" x14ac:dyDescent="0.45">
      <c r="A18" s="420" t="b">
        <v>0</v>
      </c>
      <c r="B18" s="3">
        <f t="shared" si="2"/>
        <v>5</v>
      </c>
      <c r="C18" s="3" t="s">
        <v>78</v>
      </c>
      <c r="D18" s="2" t="s">
        <v>7</v>
      </c>
      <c r="E18" s="415" t="s">
        <v>76</v>
      </c>
      <c r="F18" s="418" t="s">
        <v>79</v>
      </c>
      <c r="G18" s="414">
        <v>182</v>
      </c>
      <c r="H18" s="3">
        <v>62</v>
      </c>
      <c r="I18" s="3">
        <v>110</v>
      </c>
      <c r="M18" s="478" t="s">
        <v>178</v>
      </c>
      <c r="N18" t="str">
        <f t="shared" si="1"/>
        <v>肘抜より前天秤</v>
      </c>
    </row>
    <row r="19" spans="1:14" x14ac:dyDescent="0.45">
      <c r="A19" s="420" t="b">
        <v>0</v>
      </c>
      <c r="B19" s="3">
        <f t="shared" si="2"/>
        <v>6</v>
      </c>
      <c r="C19" s="3" t="s">
        <v>80</v>
      </c>
      <c r="D19" s="2" t="s">
        <v>72</v>
      </c>
      <c r="E19" s="2" t="s">
        <v>745</v>
      </c>
      <c r="F19" s="418" t="s">
        <v>81</v>
      </c>
      <c r="G19" s="414">
        <v>183</v>
      </c>
      <c r="H19" s="3">
        <v>72</v>
      </c>
      <c r="I19" s="3"/>
      <c r="M19" s="478" t="s">
        <v>154</v>
      </c>
      <c r="N19" t="str">
        <f t="shared" si="1"/>
        <v>突抜(両手)</v>
      </c>
    </row>
    <row r="20" spans="1:14" x14ac:dyDescent="0.45">
      <c r="A20" s="420" t="b">
        <v>0</v>
      </c>
      <c r="B20" s="3">
        <f t="shared" si="2"/>
        <v>7</v>
      </c>
      <c r="C20" s="3" t="s">
        <v>82</v>
      </c>
      <c r="D20" s="2" t="s">
        <v>26</v>
      </c>
      <c r="E20" s="2" t="s">
        <v>83</v>
      </c>
      <c r="F20" s="418" t="s">
        <v>77</v>
      </c>
      <c r="G20" s="414">
        <v>183</v>
      </c>
      <c r="H20" s="3"/>
      <c r="I20" s="3">
        <v>114</v>
      </c>
      <c r="M20" s="478" t="s">
        <v>156</v>
      </c>
      <c r="N20" t="str">
        <f t="shared" si="1"/>
        <v>突抜(外)</v>
      </c>
    </row>
    <row r="21" spans="1:14" x14ac:dyDescent="0.45">
      <c r="A21" s="420" t="b">
        <v>0</v>
      </c>
      <c r="B21" s="3">
        <f t="shared" si="2"/>
        <v>8</v>
      </c>
      <c r="C21" s="3" t="s">
        <v>84</v>
      </c>
      <c r="D21" s="2" t="s">
        <v>26</v>
      </c>
      <c r="E21" s="2" t="s">
        <v>85</v>
      </c>
      <c r="F21" s="418" t="s">
        <v>77</v>
      </c>
      <c r="G21" s="414">
        <v>183</v>
      </c>
      <c r="H21" s="3">
        <v>70</v>
      </c>
      <c r="I21" s="3">
        <v>112</v>
      </c>
      <c r="M21" s="478" t="s">
        <v>159</v>
      </c>
      <c r="N21" t="str">
        <f t="shared" si="1"/>
        <v>突抜(内)</v>
      </c>
    </row>
    <row r="22" spans="1:14" x14ac:dyDescent="0.45">
      <c r="A22" s="420" t="b">
        <v>0</v>
      </c>
      <c r="B22" s="3">
        <f t="shared" si="2"/>
        <v>9</v>
      </c>
      <c r="C22" s="3" t="s">
        <v>86</v>
      </c>
      <c r="D22" s="2" t="s">
        <v>29</v>
      </c>
      <c r="E22" s="2" t="s">
        <v>87</v>
      </c>
      <c r="F22" s="418" t="s">
        <v>70</v>
      </c>
      <c r="G22" s="414">
        <v>183</v>
      </c>
      <c r="H22" s="3">
        <v>74</v>
      </c>
      <c r="I22" s="3">
        <v>108</v>
      </c>
      <c r="M22" s="478" t="s">
        <v>160</v>
      </c>
      <c r="N22" t="str">
        <f t="shared" si="1"/>
        <v>諸手突抜</v>
      </c>
    </row>
    <row r="23" spans="1:14" x14ac:dyDescent="0.45">
      <c r="M23" s="478" t="s">
        <v>188</v>
      </c>
      <c r="N23" t="str">
        <f t="shared" si="1"/>
        <v>打抜(片手)</v>
      </c>
    </row>
    <row r="24" spans="1:14" s="1" customFormat="1" x14ac:dyDescent="0.45">
      <c r="A24">
        <f>COUNTIF(A25:A33,TRUE)</f>
        <v>0</v>
      </c>
      <c r="B24" s="6"/>
      <c r="C24" s="6" t="s">
        <v>88</v>
      </c>
      <c r="D24" s="6"/>
      <c r="E24" s="5" t="s">
        <v>1</v>
      </c>
      <c r="F24" s="5" t="s">
        <v>2</v>
      </c>
      <c r="G24" s="6" t="s">
        <v>3</v>
      </c>
      <c r="H24" s="6" t="s">
        <v>4</v>
      </c>
      <c r="I24" s="6" t="s">
        <v>5</v>
      </c>
      <c r="M24" s="478" t="s">
        <v>191</v>
      </c>
      <c r="N24" t="str">
        <f t="shared" si="1"/>
        <v>打抜(両手)</v>
      </c>
    </row>
    <row r="25" spans="1:14" x14ac:dyDescent="0.45">
      <c r="A25" s="420" t="b">
        <v>0</v>
      </c>
      <c r="B25" s="3">
        <f t="shared" ref="B25:B33" si="3">ROW()-24</f>
        <v>1</v>
      </c>
      <c r="C25" s="3" t="s">
        <v>89</v>
      </c>
      <c r="D25" s="2" t="s">
        <v>29</v>
      </c>
      <c r="E25" s="2" t="s">
        <v>53</v>
      </c>
      <c r="F25" s="418" t="s">
        <v>90</v>
      </c>
      <c r="G25" s="414">
        <v>185</v>
      </c>
      <c r="H25" s="3">
        <v>64</v>
      </c>
      <c r="I25" s="3">
        <v>120</v>
      </c>
      <c r="M25" s="478" t="s">
        <v>253</v>
      </c>
      <c r="N25" t="str">
        <f t="shared" si="1"/>
        <v>押小手(片手)</v>
      </c>
    </row>
    <row r="26" spans="1:14" x14ac:dyDescent="0.45">
      <c r="A26" s="420" t="b">
        <v>0</v>
      </c>
      <c r="B26" s="3">
        <f t="shared" si="3"/>
        <v>2</v>
      </c>
      <c r="C26" s="414" t="s">
        <v>91</v>
      </c>
      <c r="D26" s="2" t="s">
        <v>52</v>
      </c>
      <c r="E26" s="2" t="s">
        <v>53</v>
      </c>
      <c r="F26" s="418" t="s">
        <v>43</v>
      </c>
      <c r="G26" s="414">
        <v>186</v>
      </c>
      <c r="H26" s="3"/>
      <c r="I26" s="3"/>
      <c r="M26" s="478" t="s">
        <v>255</v>
      </c>
      <c r="N26" t="str">
        <f t="shared" si="1"/>
        <v>押小手(両手)</v>
      </c>
    </row>
    <row r="27" spans="1:14" x14ac:dyDescent="0.45">
      <c r="A27" s="420" t="b">
        <v>0</v>
      </c>
      <c r="B27" s="3">
        <f t="shared" si="3"/>
        <v>3</v>
      </c>
      <c r="C27" s="414" t="s">
        <v>92</v>
      </c>
      <c r="D27" s="2" t="s">
        <v>41</v>
      </c>
      <c r="E27" s="2" t="s">
        <v>53</v>
      </c>
      <c r="F27" s="418" t="s">
        <v>43</v>
      </c>
      <c r="G27" s="414">
        <v>187</v>
      </c>
      <c r="H27" s="3"/>
      <c r="I27" s="3">
        <v>127</v>
      </c>
      <c r="M27" s="478" t="s">
        <v>258</v>
      </c>
      <c r="N27" t="str">
        <f t="shared" si="1"/>
        <v>抜打押小手</v>
      </c>
    </row>
    <row r="28" spans="1:14" x14ac:dyDescent="0.45">
      <c r="A28" s="420" t="b">
        <v>0</v>
      </c>
      <c r="B28" s="3">
        <f t="shared" si="3"/>
        <v>4</v>
      </c>
      <c r="C28" s="3" t="s">
        <v>93</v>
      </c>
      <c r="D28" s="2" t="s">
        <v>68</v>
      </c>
      <c r="E28" s="2" t="s">
        <v>94</v>
      </c>
      <c r="F28" s="419" t="s">
        <v>95</v>
      </c>
      <c r="G28" s="414">
        <v>188</v>
      </c>
      <c r="H28" s="3"/>
      <c r="I28" s="3"/>
      <c r="M28" s="478" t="s">
        <v>256</v>
      </c>
      <c r="N28" t="str">
        <f t="shared" si="1"/>
        <v>小手巻返</v>
      </c>
    </row>
    <row r="29" spans="1:14" x14ac:dyDescent="0.45">
      <c r="A29" s="420" t="b">
        <v>0</v>
      </c>
      <c r="B29" s="3">
        <f t="shared" si="3"/>
        <v>5</v>
      </c>
      <c r="C29" s="3" t="s">
        <v>96</v>
      </c>
      <c r="D29" s="2" t="s">
        <v>68</v>
      </c>
      <c r="E29" s="2" t="s">
        <v>97</v>
      </c>
      <c r="F29" s="418" t="s">
        <v>90</v>
      </c>
      <c r="G29" s="414">
        <v>188</v>
      </c>
      <c r="H29" s="3"/>
      <c r="I29" s="3"/>
      <c r="M29" s="478" t="s">
        <v>799</v>
      </c>
      <c r="N29" t="str">
        <f t="shared" si="1"/>
        <v>二段抜</v>
      </c>
    </row>
    <row r="30" spans="1:14" x14ac:dyDescent="0.45">
      <c r="A30" s="420" t="b">
        <v>0</v>
      </c>
      <c r="B30" s="3">
        <f t="shared" si="3"/>
        <v>6</v>
      </c>
      <c r="C30" s="3" t="s">
        <v>98</v>
      </c>
      <c r="D30" s="2" t="s">
        <v>68</v>
      </c>
      <c r="E30" s="2" t="s">
        <v>53</v>
      </c>
      <c r="F30" s="419" t="s">
        <v>99</v>
      </c>
      <c r="G30" s="414">
        <v>189</v>
      </c>
      <c r="H30" s="3"/>
      <c r="I30" s="3">
        <v>122</v>
      </c>
      <c r="M30" s="478" t="s">
        <v>167</v>
      </c>
      <c r="N30" t="str">
        <f t="shared" si="1"/>
        <v>片手押抜</v>
      </c>
    </row>
    <row r="31" spans="1:14" x14ac:dyDescent="0.45">
      <c r="A31" s="420" t="b">
        <v>0</v>
      </c>
      <c r="B31" s="3">
        <f t="shared" si="3"/>
        <v>7</v>
      </c>
      <c r="C31" s="3" t="s">
        <v>100</v>
      </c>
      <c r="D31" s="2" t="s">
        <v>68</v>
      </c>
      <c r="E31" s="2" t="s">
        <v>53</v>
      </c>
      <c r="F31" s="419" t="s">
        <v>101</v>
      </c>
      <c r="G31" s="414">
        <v>189</v>
      </c>
      <c r="H31" s="3"/>
      <c r="I31" s="3">
        <v>124</v>
      </c>
      <c r="M31" s="478" t="s">
        <v>169</v>
      </c>
      <c r="N31" t="str">
        <f t="shared" si="1"/>
        <v>諸手押抜</v>
      </c>
    </row>
    <row r="32" spans="1:14" x14ac:dyDescent="0.45">
      <c r="A32" s="420" t="b">
        <v>0</v>
      </c>
      <c r="B32" s="3">
        <f t="shared" si="3"/>
        <v>8</v>
      </c>
      <c r="C32" s="3" t="s">
        <v>102</v>
      </c>
      <c r="D32" s="2" t="s">
        <v>26</v>
      </c>
      <c r="E32" s="2" t="s">
        <v>94</v>
      </c>
      <c r="F32" s="419" t="s">
        <v>103</v>
      </c>
      <c r="G32" s="414">
        <v>190</v>
      </c>
      <c r="H32" s="3"/>
      <c r="I32" s="3"/>
      <c r="M32" s="478" t="s">
        <v>215</v>
      </c>
      <c r="N32" t="str">
        <f t="shared" si="1"/>
        <v>巻小手(片手)</v>
      </c>
    </row>
    <row r="33" spans="1:14" x14ac:dyDescent="0.45">
      <c r="A33" s="420" t="b">
        <v>0</v>
      </c>
      <c r="B33" s="3">
        <f t="shared" si="3"/>
        <v>9</v>
      </c>
      <c r="C33" s="414" t="s">
        <v>104</v>
      </c>
      <c r="D33" s="2" t="s">
        <v>41</v>
      </c>
      <c r="E33" s="2" t="s">
        <v>60</v>
      </c>
      <c r="F33" s="418" t="s">
        <v>105</v>
      </c>
      <c r="G33" s="414">
        <v>191</v>
      </c>
      <c r="H33" s="3"/>
      <c r="I33" s="3">
        <v>126</v>
      </c>
      <c r="M33" s="478" t="s">
        <v>216</v>
      </c>
      <c r="N33" t="str">
        <f t="shared" si="1"/>
        <v>巻小手(諸手)</v>
      </c>
    </row>
    <row r="34" spans="1:14" x14ac:dyDescent="0.45">
      <c r="M34" s="478" t="s">
        <v>170</v>
      </c>
      <c r="N34" t="str">
        <f t="shared" si="1"/>
        <v>切抜(外)</v>
      </c>
    </row>
    <row r="35" spans="1:14" s="1" customFormat="1" x14ac:dyDescent="0.45">
      <c r="A35">
        <f>COUNTIF(A36:A41,TRUE)</f>
        <v>0</v>
      </c>
      <c r="B35" s="6"/>
      <c r="C35" s="6" t="s">
        <v>106</v>
      </c>
      <c r="D35" s="6"/>
      <c r="E35" s="5" t="s">
        <v>1</v>
      </c>
      <c r="F35" s="5" t="s">
        <v>2</v>
      </c>
      <c r="G35" s="6" t="s">
        <v>3</v>
      </c>
      <c r="H35" s="6" t="s">
        <v>4</v>
      </c>
      <c r="I35" s="6" t="s">
        <v>5</v>
      </c>
      <c r="M35" s="478" t="s">
        <v>171</v>
      </c>
      <c r="N35" t="str">
        <f t="shared" si="1"/>
        <v>切抜(内)</v>
      </c>
    </row>
    <row r="36" spans="1:14" x14ac:dyDescent="0.45">
      <c r="A36" s="420" t="b">
        <v>0</v>
      </c>
      <c r="B36" s="3">
        <f t="shared" ref="B36:B41" si="4">ROW()-35</f>
        <v>1</v>
      </c>
      <c r="C36" s="3" t="s">
        <v>107</v>
      </c>
      <c r="D36" s="2" t="s">
        <v>68</v>
      </c>
      <c r="E36" s="2" t="s">
        <v>108</v>
      </c>
      <c r="F36" s="419" t="s">
        <v>109</v>
      </c>
      <c r="G36" s="414">
        <v>193</v>
      </c>
      <c r="H36" s="3">
        <v>76</v>
      </c>
      <c r="I36" s="3">
        <v>130</v>
      </c>
      <c r="M36" s="478" t="s">
        <v>811</v>
      </c>
      <c r="N36" t="str">
        <f t="shared" si="1"/>
        <v>合掌抜</v>
      </c>
    </row>
    <row r="37" spans="1:14" x14ac:dyDescent="0.45">
      <c r="A37" s="420" t="b">
        <v>0</v>
      </c>
      <c r="B37" s="3">
        <f t="shared" si="4"/>
        <v>2</v>
      </c>
      <c r="C37" s="3" t="s">
        <v>110</v>
      </c>
      <c r="D37" s="2" t="s">
        <v>68</v>
      </c>
      <c r="E37" s="2" t="s">
        <v>111</v>
      </c>
      <c r="F37" s="419" t="s">
        <v>112</v>
      </c>
      <c r="G37" s="414">
        <v>193</v>
      </c>
      <c r="H37" s="3">
        <v>78</v>
      </c>
      <c r="I37" s="3">
        <v>128</v>
      </c>
      <c r="M37" s="478" t="s">
        <v>503</v>
      </c>
      <c r="N37" t="str">
        <f t="shared" si="1"/>
        <v>諸手引抜</v>
      </c>
    </row>
    <row r="38" spans="1:14" x14ac:dyDescent="0.45">
      <c r="A38" s="420" t="b">
        <v>0</v>
      </c>
      <c r="B38" s="3">
        <f t="shared" si="4"/>
        <v>3</v>
      </c>
      <c r="C38" s="414" t="s">
        <v>113</v>
      </c>
      <c r="D38" s="2" t="s">
        <v>52</v>
      </c>
      <c r="E38" s="2" t="s">
        <v>45</v>
      </c>
      <c r="F38" s="418" t="s">
        <v>114</v>
      </c>
      <c r="G38" s="414">
        <v>194</v>
      </c>
      <c r="H38" s="3"/>
      <c r="I38" s="3">
        <v>131</v>
      </c>
      <c r="M38" s="478" t="s">
        <v>264</v>
      </c>
      <c r="N38" t="str">
        <f t="shared" si="1"/>
        <v>切小手(片手)</v>
      </c>
    </row>
    <row r="39" spans="1:14" x14ac:dyDescent="0.45">
      <c r="A39" s="420" t="b">
        <v>0</v>
      </c>
      <c r="B39" s="3">
        <f t="shared" si="4"/>
        <v>4</v>
      </c>
      <c r="C39" s="414" t="s">
        <v>115</v>
      </c>
      <c r="D39" s="2" t="s">
        <v>41</v>
      </c>
      <c r="E39" s="2" t="s">
        <v>116</v>
      </c>
      <c r="F39" s="418" t="s">
        <v>70</v>
      </c>
      <c r="G39" s="414">
        <v>194</v>
      </c>
      <c r="H39" s="3"/>
      <c r="I39" s="3">
        <v>132</v>
      </c>
      <c r="M39" s="478" t="s">
        <v>267</v>
      </c>
      <c r="N39" t="str">
        <f t="shared" si="1"/>
        <v>切返小手</v>
      </c>
    </row>
    <row r="40" spans="1:14" x14ac:dyDescent="0.45">
      <c r="A40" s="420" t="b">
        <v>0</v>
      </c>
      <c r="B40" s="3">
        <f t="shared" si="4"/>
        <v>5</v>
      </c>
      <c r="C40" s="414" t="s">
        <v>117</v>
      </c>
      <c r="D40" s="2" t="s">
        <v>52</v>
      </c>
      <c r="E40" s="2" t="s">
        <v>118</v>
      </c>
      <c r="F40" s="418" t="s">
        <v>43</v>
      </c>
      <c r="G40" s="414">
        <v>194</v>
      </c>
      <c r="H40" s="3"/>
      <c r="I40" s="3">
        <v>136</v>
      </c>
      <c r="M40" s="478" t="s">
        <v>271</v>
      </c>
      <c r="N40" t="str">
        <f t="shared" si="1"/>
        <v>切返投</v>
      </c>
    </row>
    <row r="41" spans="1:14" x14ac:dyDescent="0.45">
      <c r="A41" s="420" t="b">
        <v>0</v>
      </c>
      <c r="B41" s="3">
        <f t="shared" si="4"/>
        <v>6</v>
      </c>
      <c r="C41" s="414" t="s">
        <v>119</v>
      </c>
      <c r="D41" s="2" t="s">
        <v>52</v>
      </c>
      <c r="E41" s="2" t="s">
        <v>118</v>
      </c>
      <c r="F41" s="418" t="s">
        <v>120</v>
      </c>
      <c r="G41" s="414">
        <v>194</v>
      </c>
      <c r="H41" s="3"/>
      <c r="I41" s="3">
        <v>134</v>
      </c>
      <c r="M41" s="478" t="s">
        <v>274</v>
      </c>
      <c r="N41" t="str">
        <f t="shared" si="1"/>
        <v>諸手切返投</v>
      </c>
    </row>
    <row r="42" spans="1:14" x14ac:dyDescent="0.45">
      <c r="M42" s="478" t="s">
        <v>270</v>
      </c>
      <c r="N42" t="str">
        <f t="shared" si="1"/>
        <v>切返天秤</v>
      </c>
    </row>
    <row r="43" spans="1:14" s="1" customFormat="1" x14ac:dyDescent="0.45">
      <c r="A43">
        <f>COUNTIF(A44:A49,TRUE)</f>
        <v>0</v>
      </c>
      <c r="B43" s="6"/>
      <c r="C43" s="6" t="s">
        <v>121</v>
      </c>
      <c r="D43" s="6"/>
      <c r="E43" s="5" t="s">
        <v>1</v>
      </c>
      <c r="F43" s="5" t="s">
        <v>2</v>
      </c>
      <c r="G43" s="6" t="s">
        <v>3</v>
      </c>
      <c r="H43" s="6" t="s">
        <v>4</v>
      </c>
      <c r="I43" s="6" t="s">
        <v>5</v>
      </c>
      <c r="M43" s="478" t="s">
        <v>819</v>
      </c>
      <c r="N43" t="str">
        <f t="shared" si="1"/>
        <v>切返巻天秤</v>
      </c>
    </row>
    <row r="44" spans="1:14" x14ac:dyDescent="0.45">
      <c r="A44" s="420" t="b">
        <v>0</v>
      </c>
      <c r="B44" s="3">
        <f t="shared" ref="B44:B49" si="5">ROW()-43</f>
        <v>1</v>
      </c>
      <c r="C44" s="414" t="s">
        <v>122</v>
      </c>
      <c r="D44" s="2" t="s">
        <v>41</v>
      </c>
      <c r="E44" s="2" t="s">
        <v>123</v>
      </c>
      <c r="F44" s="418" t="s">
        <v>124</v>
      </c>
      <c r="G44" s="414">
        <v>195</v>
      </c>
      <c r="H44" s="3"/>
      <c r="I44" s="3">
        <v>138</v>
      </c>
      <c r="M44" s="478" t="s">
        <v>185</v>
      </c>
      <c r="N44" t="str">
        <f t="shared" si="1"/>
        <v>切返抜(諸手)</v>
      </c>
    </row>
    <row r="45" spans="1:14" x14ac:dyDescent="0.45">
      <c r="A45" s="420" t="b">
        <v>0</v>
      </c>
      <c r="B45" s="3">
        <f t="shared" si="5"/>
        <v>2</v>
      </c>
      <c r="C45" s="414" t="s">
        <v>125</v>
      </c>
      <c r="D45" s="2" t="s">
        <v>41</v>
      </c>
      <c r="E45" s="2" t="s">
        <v>116</v>
      </c>
      <c r="F45" s="418" t="s">
        <v>124</v>
      </c>
      <c r="G45" s="414">
        <v>196</v>
      </c>
      <c r="H45" s="3"/>
      <c r="I45" s="3"/>
      <c r="M45" s="478" t="s">
        <v>187</v>
      </c>
      <c r="N45" t="str">
        <f t="shared" si="1"/>
        <v>切返抜(片手)</v>
      </c>
    </row>
    <row r="46" spans="1:14" x14ac:dyDescent="0.45">
      <c r="A46" s="420" t="b">
        <v>0</v>
      </c>
      <c r="B46" s="3">
        <f t="shared" si="5"/>
        <v>3</v>
      </c>
      <c r="C46" s="3" t="s">
        <v>126</v>
      </c>
      <c r="D46" s="2" t="s">
        <v>52</v>
      </c>
      <c r="E46" s="2" t="s">
        <v>127</v>
      </c>
      <c r="F46" s="418" t="s">
        <v>70</v>
      </c>
      <c r="G46" s="414">
        <v>196</v>
      </c>
      <c r="H46" s="3"/>
      <c r="I46" s="3">
        <v>140</v>
      </c>
      <c r="M46" s="478" t="s">
        <v>822</v>
      </c>
      <c r="N46" t="str">
        <f t="shared" si="1"/>
        <v>三角抜</v>
      </c>
    </row>
    <row r="47" spans="1:14" x14ac:dyDescent="0.45">
      <c r="A47" s="420" t="b">
        <v>0</v>
      </c>
      <c r="B47" s="3">
        <f t="shared" si="5"/>
        <v>4</v>
      </c>
      <c r="C47" s="414" t="s">
        <v>128</v>
      </c>
      <c r="D47" s="2" t="s">
        <v>41</v>
      </c>
      <c r="E47" s="2" t="s">
        <v>129</v>
      </c>
      <c r="F47" s="418" t="s">
        <v>70</v>
      </c>
      <c r="G47" s="414">
        <v>197</v>
      </c>
      <c r="H47" s="3"/>
      <c r="I47" s="3">
        <v>142</v>
      </c>
      <c r="M47" t="s">
        <v>259</v>
      </c>
      <c r="N47" t="str">
        <f t="shared" si="1"/>
        <v>十字小手(片手)</v>
      </c>
    </row>
    <row r="48" spans="1:14" x14ac:dyDescent="0.45">
      <c r="A48" s="420" t="b">
        <v>0</v>
      </c>
      <c r="B48" s="3">
        <f t="shared" si="5"/>
        <v>5</v>
      </c>
      <c r="C48" s="414" t="s">
        <v>130</v>
      </c>
      <c r="D48" s="2" t="s">
        <v>41</v>
      </c>
      <c r="E48" s="2" t="s">
        <v>116</v>
      </c>
      <c r="F48" s="418" t="s">
        <v>70</v>
      </c>
      <c r="G48" s="414">
        <v>198</v>
      </c>
      <c r="H48" s="3"/>
      <c r="I48" s="3">
        <v>144</v>
      </c>
      <c r="M48" t="s">
        <v>261</v>
      </c>
      <c r="N48" t="str">
        <f t="shared" si="1"/>
        <v>両手十字小手</v>
      </c>
    </row>
    <row r="49" spans="1:14" x14ac:dyDescent="0.45">
      <c r="A49" s="420" t="b">
        <v>0</v>
      </c>
      <c r="B49" s="3">
        <f t="shared" si="5"/>
        <v>6</v>
      </c>
      <c r="C49" s="414" t="s">
        <v>131</v>
      </c>
      <c r="D49" s="2" t="s">
        <v>41</v>
      </c>
      <c r="E49" s="2" t="s">
        <v>53</v>
      </c>
      <c r="F49" s="418" t="s">
        <v>132</v>
      </c>
      <c r="G49" s="414">
        <v>199</v>
      </c>
      <c r="H49" s="3"/>
      <c r="I49" s="3"/>
      <c r="M49" t="s">
        <v>262</v>
      </c>
      <c r="N49" t="str">
        <f t="shared" si="1"/>
        <v>諸手十字小手</v>
      </c>
    </row>
    <row r="50" spans="1:14" x14ac:dyDescent="0.45">
      <c r="M50" s="478" t="s">
        <v>260</v>
      </c>
      <c r="N50" t="str">
        <f t="shared" si="1"/>
        <v>略十字小手</v>
      </c>
    </row>
    <row r="51" spans="1:14" x14ac:dyDescent="0.45">
      <c r="A51">
        <f>COUNTIF(A52:A56,TRUE)</f>
        <v>0</v>
      </c>
      <c r="B51" s="6"/>
      <c r="C51" s="6" t="s">
        <v>133</v>
      </c>
      <c r="D51" s="6"/>
      <c r="E51" s="5" t="s">
        <v>1</v>
      </c>
      <c r="F51" s="5" t="s">
        <v>2</v>
      </c>
      <c r="G51" s="6" t="s">
        <v>3</v>
      </c>
      <c r="H51" s="6" t="s">
        <v>4</v>
      </c>
      <c r="I51" s="6" t="s">
        <v>5</v>
      </c>
      <c r="M51" s="478" t="s">
        <v>827</v>
      </c>
      <c r="N51" t="str">
        <f t="shared" si="1"/>
        <v>巻十字小手</v>
      </c>
    </row>
    <row r="52" spans="1:14" x14ac:dyDescent="0.45">
      <c r="A52" s="420" t="b">
        <v>0</v>
      </c>
      <c r="B52" s="3">
        <f>ROW()-51</f>
        <v>1</v>
      </c>
      <c r="C52" s="414" t="s">
        <v>134</v>
      </c>
      <c r="D52" s="2" t="s">
        <v>72</v>
      </c>
      <c r="E52" s="2" t="s">
        <v>123</v>
      </c>
      <c r="F52" s="419" t="s">
        <v>135</v>
      </c>
      <c r="G52" s="414">
        <v>200</v>
      </c>
      <c r="H52" s="3"/>
      <c r="I52" s="3">
        <v>146</v>
      </c>
      <c r="M52" s="478" t="s">
        <v>172</v>
      </c>
      <c r="N52" t="str">
        <f t="shared" si="1"/>
        <v>十字抜(片手)</v>
      </c>
    </row>
    <row r="53" spans="1:14" x14ac:dyDescent="0.45">
      <c r="A53" s="420" t="b">
        <v>0</v>
      </c>
      <c r="B53" s="3">
        <f>ROW()-51</f>
        <v>2</v>
      </c>
      <c r="C53" s="414" t="s">
        <v>136</v>
      </c>
      <c r="D53" s="2" t="s">
        <v>72</v>
      </c>
      <c r="E53" s="2" t="s">
        <v>137</v>
      </c>
      <c r="F53" s="419" t="s">
        <v>138</v>
      </c>
      <c r="G53" s="414">
        <v>200</v>
      </c>
      <c r="H53" s="3"/>
      <c r="I53" s="3"/>
      <c r="M53" s="478" t="s">
        <v>173</v>
      </c>
      <c r="N53" t="str">
        <f t="shared" si="1"/>
        <v>十字抜(両手)</v>
      </c>
    </row>
    <row r="54" spans="1:14" x14ac:dyDescent="0.45">
      <c r="A54" s="420" t="b">
        <v>0</v>
      </c>
      <c r="B54" s="3">
        <f>ROW()-51</f>
        <v>3</v>
      </c>
      <c r="C54" s="414" t="s">
        <v>139</v>
      </c>
      <c r="D54" s="2" t="s">
        <v>41</v>
      </c>
      <c r="E54" s="2" t="s">
        <v>123</v>
      </c>
      <c r="F54" s="418" t="s">
        <v>140</v>
      </c>
      <c r="G54" s="414">
        <v>200</v>
      </c>
      <c r="H54" s="3"/>
      <c r="I54" s="3">
        <v>148</v>
      </c>
      <c r="M54" s="478" t="s">
        <v>175</v>
      </c>
      <c r="N54" t="str">
        <f t="shared" si="1"/>
        <v>諸手十字抜</v>
      </c>
    </row>
    <row r="55" spans="1:14" x14ac:dyDescent="0.45">
      <c r="A55" s="420" t="b">
        <v>0</v>
      </c>
      <c r="B55" s="3">
        <f>ROW()-51</f>
        <v>4</v>
      </c>
      <c r="C55" s="414" t="s">
        <v>141</v>
      </c>
      <c r="D55" s="2" t="s">
        <v>41</v>
      </c>
      <c r="E55" s="2" t="s">
        <v>123</v>
      </c>
      <c r="F55" s="418" t="s">
        <v>142</v>
      </c>
      <c r="G55" s="414">
        <v>200</v>
      </c>
      <c r="H55" s="3"/>
      <c r="I55" s="3">
        <v>147</v>
      </c>
      <c r="M55" s="478" t="s">
        <v>830</v>
      </c>
      <c r="N55" t="e">
        <f t="shared" si="1"/>
        <v>#N/A</v>
      </c>
    </row>
    <row r="56" spans="1:14" x14ac:dyDescent="0.45">
      <c r="A56" s="420" t="b">
        <v>0</v>
      </c>
      <c r="B56" s="3">
        <f>ROW()-51</f>
        <v>5</v>
      </c>
      <c r="C56" s="414" t="s">
        <v>143</v>
      </c>
      <c r="D56" s="2" t="s">
        <v>41</v>
      </c>
      <c r="E56" s="2" t="s">
        <v>123</v>
      </c>
      <c r="F56" s="418" t="s">
        <v>144</v>
      </c>
      <c r="G56" s="414">
        <v>201</v>
      </c>
      <c r="H56" s="3"/>
      <c r="I56" s="3">
        <v>150</v>
      </c>
      <c r="M56" s="478" t="s">
        <v>833</v>
      </c>
      <c r="N56" t="e">
        <f t="shared" si="1"/>
        <v>#N/A</v>
      </c>
    </row>
    <row r="57" spans="1:14" x14ac:dyDescent="0.45">
      <c r="M57" s="478" t="s">
        <v>835</v>
      </c>
      <c r="N57" t="e">
        <f t="shared" si="1"/>
        <v>#N/A</v>
      </c>
    </row>
    <row r="58" spans="1:14" x14ac:dyDescent="0.45">
      <c r="A58">
        <f>COUNTIF(A59:A92,TRUE)</f>
        <v>11</v>
      </c>
      <c r="B58" s="6"/>
      <c r="C58" s="6" t="s">
        <v>145</v>
      </c>
      <c r="D58" s="6"/>
      <c r="E58" s="5" t="s">
        <v>1</v>
      </c>
      <c r="F58" s="5" t="s">
        <v>2</v>
      </c>
      <c r="G58" s="6" t="s">
        <v>3</v>
      </c>
      <c r="H58" s="6" t="s">
        <v>4</v>
      </c>
      <c r="I58" s="6" t="s">
        <v>5</v>
      </c>
      <c r="M58" s="478" t="s">
        <v>214</v>
      </c>
      <c r="N58" t="str">
        <f t="shared" si="1"/>
        <v>逆手投</v>
      </c>
    </row>
    <row r="59" spans="1:14" x14ac:dyDescent="0.45">
      <c r="A59" s="420" t="b">
        <v>0</v>
      </c>
      <c r="B59" s="3">
        <f t="shared" ref="B59:B92" si="6">ROW()-58</f>
        <v>1</v>
      </c>
      <c r="C59" s="3" t="s">
        <v>146</v>
      </c>
      <c r="D59" s="2" t="s">
        <v>147</v>
      </c>
      <c r="E59" s="2" t="s">
        <v>148</v>
      </c>
      <c r="F59" s="418"/>
      <c r="G59" s="414">
        <v>213</v>
      </c>
      <c r="H59" s="3">
        <v>88</v>
      </c>
      <c r="I59" s="3">
        <v>152</v>
      </c>
      <c r="J59" t="str">
        <f t="shared" ref="J59:J92" si="7">VLOOKUP(C59,M:M,1,FALSE)</f>
        <v>小手抜</v>
      </c>
      <c r="M59" s="478" t="s">
        <v>223</v>
      </c>
      <c r="N59" t="str">
        <f t="shared" si="1"/>
        <v>外巻天秤</v>
      </c>
    </row>
    <row r="60" spans="1:14" x14ac:dyDescent="0.45">
      <c r="A60" s="420" t="b">
        <v>0</v>
      </c>
      <c r="B60" s="3">
        <f t="shared" si="6"/>
        <v>2</v>
      </c>
      <c r="C60" s="3" t="s">
        <v>149</v>
      </c>
      <c r="D60" s="2" t="s">
        <v>150</v>
      </c>
      <c r="E60" s="2" t="s">
        <v>151</v>
      </c>
      <c r="F60" s="418"/>
      <c r="G60" s="3"/>
      <c r="H60" s="3"/>
      <c r="I60" s="3">
        <v>162</v>
      </c>
      <c r="J60" t="str">
        <f t="shared" si="7"/>
        <v>片手寄抜</v>
      </c>
      <c r="M60" s="478" t="s">
        <v>837</v>
      </c>
      <c r="N60" t="str">
        <f t="shared" si="1"/>
        <v>巻落</v>
      </c>
    </row>
    <row r="61" spans="1:14" x14ac:dyDescent="0.45">
      <c r="A61" s="420" t="b">
        <v>0</v>
      </c>
      <c r="B61" s="3">
        <f t="shared" si="6"/>
        <v>3</v>
      </c>
      <c r="C61" s="3" t="s">
        <v>152</v>
      </c>
      <c r="D61" s="2" t="s">
        <v>153</v>
      </c>
      <c r="E61" s="2" t="s">
        <v>148</v>
      </c>
      <c r="F61" s="418"/>
      <c r="G61" s="414">
        <v>218</v>
      </c>
      <c r="H61" s="3">
        <v>94</v>
      </c>
      <c r="I61" s="3"/>
      <c r="J61" t="str">
        <f t="shared" si="7"/>
        <v>両手寄抜</v>
      </c>
      <c r="M61" s="478" t="s">
        <v>842</v>
      </c>
      <c r="N61" t="str">
        <f t="shared" si="1"/>
        <v>外巻落</v>
      </c>
    </row>
    <row r="62" spans="1:14" x14ac:dyDescent="0.45">
      <c r="A62" s="420" t="b">
        <v>0</v>
      </c>
      <c r="B62" s="3">
        <f t="shared" si="6"/>
        <v>4</v>
      </c>
      <c r="C62" s="3" t="s">
        <v>154</v>
      </c>
      <c r="D62" s="2" t="s">
        <v>153</v>
      </c>
      <c r="E62" s="2" t="s">
        <v>155</v>
      </c>
      <c r="F62" s="418"/>
      <c r="G62" s="414">
        <v>220</v>
      </c>
      <c r="H62" s="3"/>
      <c r="I62" s="3"/>
      <c r="J62" t="str">
        <f t="shared" si="7"/>
        <v>突抜(両手)</v>
      </c>
      <c r="M62" s="478" t="s">
        <v>844</v>
      </c>
      <c r="N62" t="str">
        <f t="shared" si="1"/>
        <v>下受蹴小手投</v>
      </c>
    </row>
    <row r="63" spans="1:14" x14ac:dyDescent="0.45">
      <c r="A63" s="420" t="b">
        <v>0</v>
      </c>
      <c r="B63" s="3">
        <f t="shared" si="6"/>
        <v>5</v>
      </c>
      <c r="C63" s="3" t="s">
        <v>156</v>
      </c>
      <c r="D63" s="2" t="s">
        <v>157</v>
      </c>
      <c r="E63" s="2" t="s">
        <v>158</v>
      </c>
      <c r="F63" s="418"/>
      <c r="G63" s="3"/>
      <c r="H63" s="3"/>
      <c r="I63" s="3"/>
      <c r="J63" t="str">
        <f t="shared" si="7"/>
        <v>突抜(外)</v>
      </c>
      <c r="M63" s="478" t="s">
        <v>532</v>
      </c>
      <c r="N63" t="str">
        <f t="shared" si="1"/>
        <v>合掌逆小手</v>
      </c>
    </row>
    <row r="64" spans="1:14" x14ac:dyDescent="0.45">
      <c r="A64" s="420" t="b">
        <v>0</v>
      </c>
      <c r="B64" s="3">
        <f t="shared" si="6"/>
        <v>6</v>
      </c>
      <c r="C64" s="3" t="s">
        <v>159</v>
      </c>
      <c r="D64" s="2" t="s">
        <v>157</v>
      </c>
      <c r="E64" s="2" t="s">
        <v>155</v>
      </c>
      <c r="F64" s="418"/>
      <c r="G64" s="3"/>
      <c r="H64" s="3"/>
      <c r="I64" s="3"/>
      <c r="J64" t="str">
        <f t="shared" si="7"/>
        <v>突抜(内)</v>
      </c>
      <c r="M64" s="478" t="s">
        <v>211</v>
      </c>
      <c r="N64" t="str">
        <f t="shared" si="1"/>
        <v>握返</v>
      </c>
    </row>
    <row r="65" spans="1:14" x14ac:dyDescent="0.45">
      <c r="A65" s="420" t="b">
        <v>0</v>
      </c>
      <c r="B65" s="3">
        <f t="shared" si="6"/>
        <v>7</v>
      </c>
      <c r="C65" s="3" t="s">
        <v>160</v>
      </c>
      <c r="D65" s="2" t="s">
        <v>161</v>
      </c>
      <c r="E65" s="2" t="s">
        <v>151</v>
      </c>
      <c r="F65" s="418"/>
      <c r="G65" s="414">
        <v>221</v>
      </c>
      <c r="H65" s="3"/>
      <c r="I65" s="3"/>
      <c r="J65" t="str">
        <f t="shared" si="7"/>
        <v>諸手突抜</v>
      </c>
      <c r="M65" s="478" t="s">
        <v>522</v>
      </c>
      <c r="N65" t="str">
        <f t="shared" si="1"/>
        <v>巻込小手</v>
      </c>
    </row>
    <row r="66" spans="1:14" x14ac:dyDescent="0.45">
      <c r="A66" s="420" t="b">
        <v>0</v>
      </c>
      <c r="B66" s="3">
        <f t="shared" si="6"/>
        <v>8</v>
      </c>
      <c r="C66" s="3" t="s">
        <v>162</v>
      </c>
      <c r="D66" s="2" t="s">
        <v>153</v>
      </c>
      <c r="E66" s="2" t="s">
        <v>148</v>
      </c>
      <c r="F66" s="418"/>
      <c r="G66" s="414">
        <v>221</v>
      </c>
      <c r="H66" s="3"/>
      <c r="I66" s="3"/>
      <c r="J66" t="str">
        <f t="shared" si="7"/>
        <v>巻抜(両手)</v>
      </c>
      <c r="M66" s="478" t="s">
        <v>146</v>
      </c>
      <c r="N66" t="str">
        <f t="shared" si="1"/>
        <v>小手抜</v>
      </c>
    </row>
    <row r="67" spans="1:14" x14ac:dyDescent="0.45">
      <c r="A67" s="420" t="b">
        <v>0</v>
      </c>
      <c r="B67" s="3">
        <f t="shared" si="6"/>
        <v>9</v>
      </c>
      <c r="C67" s="3" t="s">
        <v>163</v>
      </c>
      <c r="D67" s="2" t="s">
        <v>150</v>
      </c>
      <c r="E67" s="2" t="s">
        <v>151</v>
      </c>
      <c r="F67" s="418"/>
      <c r="G67" s="3"/>
      <c r="H67" s="3">
        <v>96</v>
      </c>
      <c r="I67" s="3">
        <v>164</v>
      </c>
      <c r="J67" t="str">
        <f t="shared" si="7"/>
        <v>巻抜(片手)</v>
      </c>
      <c r="M67" t="s">
        <v>391</v>
      </c>
      <c r="N67" t="e">
        <f t="shared" ref="N67:N130" si="8">VLOOKUP(M67,C:C,1,FALSE)</f>
        <v>#N/A</v>
      </c>
    </row>
    <row r="68" spans="1:14" x14ac:dyDescent="0.45">
      <c r="A68" s="420" t="b">
        <v>1</v>
      </c>
      <c r="B68" s="3">
        <f t="shared" si="6"/>
        <v>10</v>
      </c>
      <c r="C68" s="414" t="s">
        <v>164</v>
      </c>
      <c r="D68" s="2" t="s">
        <v>72</v>
      </c>
      <c r="E68" s="2" t="s">
        <v>151</v>
      </c>
      <c r="F68" s="418" t="s">
        <v>754</v>
      </c>
      <c r="G68" s="414">
        <v>222</v>
      </c>
      <c r="H68" s="3"/>
      <c r="I68" s="3"/>
      <c r="J68" t="str">
        <f t="shared" si="7"/>
        <v>諸手巻抜</v>
      </c>
      <c r="M68" t="s">
        <v>381</v>
      </c>
      <c r="N68" t="e">
        <f t="shared" si="8"/>
        <v>#N/A</v>
      </c>
    </row>
    <row r="69" spans="1:14" x14ac:dyDescent="0.45">
      <c r="A69" s="420" t="b">
        <v>0</v>
      </c>
      <c r="B69" s="3">
        <f t="shared" si="6"/>
        <v>11</v>
      </c>
      <c r="C69" s="414" t="s">
        <v>165</v>
      </c>
      <c r="D69" s="2" t="s">
        <v>52</v>
      </c>
      <c r="E69" s="2" t="s">
        <v>166</v>
      </c>
      <c r="F69" s="418"/>
      <c r="G69" s="414">
        <v>222</v>
      </c>
      <c r="H69" s="3"/>
      <c r="I69" s="3"/>
      <c r="J69" t="str">
        <f t="shared" si="7"/>
        <v>上げ抜</v>
      </c>
      <c r="M69" t="s">
        <v>382</v>
      </c>
      <c r="N69" t="str">
        <f t="shared" si="8"/>
        <v>引胸落</v>
      </c>
    </row>
    <row r="70" spans="1:14" x14ac:dyDescent="0.45">
      <c r="A70" s="420" t="b">
        <v>1</v>
      </c>
      <c r="B70" s="3">
        <f t="shared" si="6"/>
        <v>12</v>
      </c>
      <c r="C70" s="3" t="s">
        <v>167</v>
      </c>
      <c r="D70" s="2" t="s">
        <v>161</v>
      </c>
      <c r="E70" s="2" t="s">
        <v>168</v>
      </c>
      <c r="F70" s="418"/>
      <c r="G70" s="414">
        <v>223</v>
      </c>
      <c r="H70" s="3"/>
      <c r="I70" s="3">
        <v>208</v>
      </c>
      <c r="J70" t="str">
        <f t="shared" si="7"/>
        <v>片手押抜</v>
      </c>
      <c r="M70" t="s">
        <v>384</v>
      </c>
      <c r="N70" t="str">
        <f t="shared" si="8"/>
        <v>両胸落</v>
      </c>
    </row>
    <row r="71" spans="1:14" x14ac:dyDescent="0.45">
      <c r="A71" s="420" t="b">
        <v>1</v>
      </c>
      <c r="B71" s="3">
        <f t="shared" si="6"/>
        <v>13</v>
      </c>
      <c r="C71" s="414" t="s">
        <v>169</v>
      </c>
      <c r="D71" s="2" t="s">
        <v>72</v>
      </c>
      <c r="E71" s="2" t="s">
        <v>148</v>
      </c>
      <c r="F71" s="418"/>
      <c r="G71" s="414">
        <v>223</v>
      </c>
      <c r="H71" s="3"/>
      <c r="I71" s="3"/>
      <c r="J71" t="str">
        <f t="shared" si="7"/>
        <v>諸手押抜</v>
      </c>
      <c r="M71" t="s">
        <v>764</v>
      </c>
      <c r="N71" t="e">
        <f t="shared" si="8"/>
        <v>#N/A</v>
      </c>
    </row>
    <row r="72" spans="1:14" x14ac:dyDescent="0.45">
      <c r="A72" s="420" t="b">
        <v>0</v>
      </c>
      <c r="B72" s="3">
        <f t="shared" si="6"/>
        <v>14</v>
      </c>
      <c r="C72" s="3" t="s">
        <v>170</v>
      </c>
      <c r="D72" s="2" t="s">
        <v>157</v>
      </c>
      <c r="E72" s="2" t="s">
        <v>151</v>
      </c>
      <c r="F72" s="418"/>
      <c r="G72" s="414">
        <v>223</v>
      </c>
      <c r="H72" s="3">
        <v>140</v>
      </c>
      <c r="I72" s="3"/>
      <c r="J72" t="str">
        <f t="shared" si="7"/>
        <v>切抜(外)</v>
      </c>
      <c r="M72" t="s">
        <v>767</v>
      </c>
      <c r="N72" t="e">
        <f t="shared" si="8"/>
        <v>#N/A</v>
      </c>
    </row>
    <row r="73" spans="1:14" x14ac:dyDescent="0.45">
      <c r="A73" s="420" t="b">
        <v>0</v>
      </c>
      <c r="B73" s="3">
        <f t="shared" si="6"/>
        <v>15</v>
      </c>
      <c r="C73" s="3" t="s">
        <v>171</v>
      </c>
      <c r="D73" s="2" t="s">
        <v>157</v>
      </c>
      <c r="E73" s="2" t="s">
        <v>148</v>
      </c>
      <c r="F73" s="418"/>
      <c r="G73" s="3"/>
      <c r="H73" s="3"/>
      <c r="I73" s="3"/>
      <c r="J73" t="str">
        <f t="shared" si="7"/>
        <v>切抜(内)</v>
      </c>
      <c r="M73" t="s">
        <v>392</v>
      </c>
      <c r="N73" t="str">
        <f t="shared" si="8"/>
        <v>送襟捕</v>
      </c>
    </row>
    <row r="74" spans="1:14" x14ac:dyDescent="0.45">
      <c r="A74" s="420" t="b">
        <v>0</v>
      </c>
      <c r="B74" s="3">
        <f t="shared" si="6"/>
        <v>16</v>
      </c>
      <c r="C74" s="3" t="s">
        <v>172</v>
      </c>
      <c r="D74" s="2" t="s">
        <v>153</v>
      </c>
      <c r="E74" s="2" t="s">
        <v>151</v>
      </c>
      <c r="F74" s="418"/>
      <c r="G74" s="414">
        <v>224</v>
      </c>
      <c r="H74" s="3"/>
      <c r="I74" s="3">
        <v>178</v>
      </c>
      <c r="J74" t="str">
        <f t="shared" si="7"/>
        <v>十字抜(片手)</v>
      </c>
      <c r="M74" t="s">
        <v>395</v>
      </c>
      <c r="N74" t="str">
        <f t="shared" si="8"/>
        <v>後襟捕(表)</v>
      </c>
    </row>
    <row r="75" spans="1:14" x14ac:dyDescent="0.45">
      <c r="A75" s="420" t="b">
        <v>0</v>
      </c>
      <c r="B75" s="3">
        <f t="shared" si="6"/>
        <v>17</v>
      </c>
      <c r="C75" s="3" t="s">
        <v>173</v>
      </c>
      <c r="D75" s="2" t="s">
        <v>174</v>
      </c>
      <c r="E75" s="2" t="s">
        <v>148</v>
      </c>
      <c r="F75" s="418"/>
      <c r="G75" s="3"/>
      <c r="H75" s="3">
        <v>104</v>
      </c>
      <c r="I75" s="3"/>
      <c r="J75" t="str">
        <f t="shared" si="7"/>
        <v>十字抜(両手)</v>
      </c>
      <c r="M75" t="s">
        <v>398</v>
      </c>
      <c r="N75" t="str">
        <f t="shared" si="8"/>
        <v>後襟捕(裏)</v>
      </c>
    </row>
    <row r="76" spans="1:14" x14ac:dyDescent="0.45">
      <c r="A76" s="420" t="b">
        <v>1</v>
      </c>
      <c r="B76" s="3">
        <f t="shared" si="6"/>
        <v>18</v>
      </c>
      <c r="C76" s="3" t="s">
        <v>175</v>
      </c>
      <c r="D76" s="2" t="s">
        <v>161</v>
      </c>
      <c r="E76" s="2" t="s">
        <v>151</v>
      </c>
      <c r="F76" s="418"/>
      <c r="G76" s="414">
        <v>224</v>
      </c>
      <c r="H76" s="3"/>
      <c r="I76" s="3"/>
      <c r="J76" t="str">
        <f t="shared" si="7"/>
        <v>諸手十字抜</v>
      </c>
      <c r="M76" t="s">
        <v>197</v>
      </c>
      <c r="N76" t="str">
        <f t="shared" si="8"/>
        <v>襟抜</v>
      </c>
    </row>
    <row r="77" spans="1:14" x14ac:dyDescent="0.45">
      <c r="A77" s="420" t="b">
        <v>0</v>
      </c>
      <c r="B77" s="3">
        <f t="shared" si="6"/>
        <v>19</v>
      </c>
      <c r="C77" s="3" t="s">
        <v>176</v>
      </c>
      <c r="D77" s="2" t="s">
        <v>174</v>
      </c>
      <c r="E77" s="2" t="s">
        <v>148</v>
      </c>
      <c r="F77" s="418"/>
      <c r="G77" s="414">
        <v>225</v>
      </c>
      <c r="H77" s="3">
        <v>106</v>
      </c>
      <c r="I77" s="3"/>
      <c r="J77" t="str">
        <f t="shared" si="7"/>
        <v>合掌抜</v>
      </c>
      <c r="M77" t="s">
        <v>777</v>
      </c>
      <c r="N77" t="e">
        <f t="shared" si="8"/>
        <v>#N/A</v>
      </c>
    </row>
    <row r="78" spans="1:14" x14ac:dyDescent="0.45">
      <c r="A78" s="420" t="b">
        <v>1</v>
      </c>
      <c r="B78" s="3">
        <f t="shared" si="6"/>
        <v>20</v>
      </c>
      <c r="C78" s="3" t="s">
        <v>177</v>
      </c>
      <c r="D78" s="2" t="s">
        <v>153</v>
      </c>
      <c r="E78" s="2" t="s">
        <v>151</v>
      </c>
      <c r="F78" s="418"/>
      <c r="G78" s="414">
        <v>225</v>
      </c>
      <c r="H78" s="3"/>
      <c r="I78" s="3">
        <v>204</v>
      </c>
      <c r="J78" t="str">
        <f t="shared" si="7"/>
        <v>二段抜</v>
      </c>
      <c r="M78" t="s">
        <v>779</v>
      </c>
      <c r="N78" t="e">
        <f t="shared" si="8"/>
        <v>#N/A</v>
      </c>
    </row>
    <row r="79" spans="1:14" x14ac:dyDescent="0.45">
      <c r="A79" s="420" t="b">
        <v>1</v>
      </c>
      <c r="B79" s="3">
        <f t="shared" si="6"/>
        <v>21</v>
      </c>
      <c r="C79" s="3" t="s">
        <v>178</v>
      </c>
      <c r="D79" s="2" t="s">
        <v>153</v>
      </c>
      <c r="E79" s="2" t="s">
        <v>151</v>
      </c>
      <c r="F79" s="418"/>
      <c r="G79" s="414">
        <v>225</v>
      </c>
      <c r="H79" s="3"/>
      <c r="I79" s="3">
        <v>176</v>
      </c>
      <c r="J79" t="str">
        <f t="shared" si="7"/>
        <v>肘抜より前天秤</v>
      </c>
      <c r="M79" t="s">
        <v>364</v>
      </c>
      <c r="N79" t="e">
        <f t="shared" si="8"/>
        <v>#N/A</v>
      </c>
    </row>
    <row r="80" spans="1:14" x14ac:dyDescent="0.45">
      <c r="A80" s="420" t="b">
        <v>1</v>
      </c>
      <c r="B80" s="3">
        <f t="shared" si="6"/>
        <v>22</v>
      </c>
      <c r="C80" s="3" t="s">
        <v>179</v>
      </c>
      <c r="D80" s="2" t="s">
        <v>161</v>
      </c>
      <c r="E80" s="2" t="s">
        <v>151</v>
      </c>
      <c r="F80" s="418"/>
      <c r="G80" s="414">
        <v>226</v>
      </c>
      <c r="H80" s="3"/>
      <c r="I80" s="3"/>
      <c r="J80" t="str">
        <f t="shared" si="7"/>
        <v>諸手引抜</v>
      </c>
      <c r="M80" t="s">
        <v>361</v>
      </c>
      <c r="N80" t="e">
        <f t="shared" si="8"/>
        <v>#N/A</v>
      </c>
    </row>
    <row r="81" spans="1:14" x14ac:dyDescent="0.45">
      <c r="A81" s="420" t="b">
        <v>0</v>
      </c>
      <c r="B81" s="3">
        <f t="shared" si="6"/>
        <v>23</v>
      </c>
      <c r="C81" s="414" t="s">
        <v>180</v>
      </c>
      <c r="D81" s="2" t="s">
        <v>72</v>
      </c>
      <c r="E81" s="2" t="s">
        <v>151</v>
      </c>
      <c r="F81" s="418"/>
      <c r="G81" s="414">
        <v>226</v>
      </c>
      <c r="H81" s="3"/>
      <c r="I81" s="3"/>
      <c r="J81" t="str">
        <f t="shared" si="7"/>
        <v>諸手輪抜</v>
      </c>
      <c r="M81" t="s">
        <v>371</v>
      </c>
      <c r="N81" t="e">
        <f t="shared" si="8"/>
        <v>#N/A</v>
      </c>
    </row>
    <row r="82" spans="1:14" x14ac:dyDescent="0.45">
      <c r="A82" s="420" t="b">
        <v>0</v>
      </c>
      <c r="B82" s="3">
        <f t="shared" si="6"/>
        <v>24</v>
      </c>
      <c r="C82" s="3" t="s">
        <v>181</v>
      </c>
      <c r="D82" s="2" t="s">
        <v>174</v>
      </c>
      <c r="E82" s="2" t="s">
        <v>182</v>
      </c>
      <c r="F82" s="418"/>
      <c r="G82" s="414">
        <v>227</v>
      </c>
      <c r="H82" s="3">
        <v>118</v>
      </c>
      <c r="I82" s="3">
        <v>192</v>
      </c>
      <c r="J82" t="str">
        <f t="shared" si="7"/>
        <v>上膊抜(片手)</v>
      </c>
      <c r="M82" t="s">
        <v>376</v>
      </c>
      <c r="N82" t="str">
        <f t="shared" si="8"/>
        <v>後袖巻(捕)</v>
      </c>
    </row>
    <row r="83" spans="1:14" x14ac:dyDescent="0.45">
      <c r="A83" s="420" t="b">
        <v>1</v>
      </c>
      <c r="B83" s="3">
        <f t="shared" si="6"/>
        <v>25</v>
      </c>
      <c r="C83" s="3" t="s">
        <v>183</v>
      </c>
      <c r="D83" s="2" t="s">
        <v>174</v>
      </c>
      <c r="E83" s="2" t="s">
        <v>182</v>
      </c>
      <c r="F83" s="418"/>
      <c r="G83" s="3"/>
      <c r="H83" s="3"/>
      <c r="I83" s="3"/>
      <c r="J83" t="str">
        <f t="shared" si="7"/>
        <v>上膊抜(両手)</v>
      </c>
      <c r="M83" t="s">
        <v>794</v>
      </c>
      <c r="N83" t="str">
        <f t="shared" si="8"/>
        <v>袖巻返</v>
      </c>
    </row>
    <row r="84" spans="1:14" x14ac:dyDescent="0.45">
      <c r="A84" s="420" t="b">
        <v>0</v>
      </c>
      <c r="B84" s="3">
        <f t="shared" si="6"/>
        <v>26</v>
      </c>
      <c r="C84" s="3" t="s">
        <v>184</v>
      </c>
      <c r="D84" s="2" t="s">
        <v>174</v>
      </c>
      <c r="E84" s="2" t="s">
        <v>148</v>
      </c>
      <c r="F84" s="418"/>
      <c r="G84" s="414">
        <v>227</v>
      </c>
      <c r="H84" s="3">
        <v>120</v>
      </c>
      <c r="I84" s="3">
        <v>194</v>
      </c>
      <c r="J84" t="str">
        <f t="shared" si="7"/>
        <v>押切抜</v>
      </c>
      <c r="M84" t="s">
        <v>797</v>
      </c>
      <c r="N84" t="str">
        <f t="shared" si="8"/>
        <v>袖口捕</v>
      </c>
    </row>
    <row r="85" spans="1:14" x14ac:dyDescent="0.45">
      <c r="A85" s="420" t="b">
        <v>0</v>
      </c>
      <c r="B85" s="3">
        <f t="shared" si="6"/>
        <v>27</v>
      </c>
      <c r="C85" s="3" t="s">
        <v>185</v>
      </c>
      <c r="D85" s="2" t="s">
        <v>174</v>
      </c>
      <c r="E85" s="2" t="s">
        <v>186</v>
      </c>
      <c r="F85" s="418"/>
      <c r="G85" s="3"/>
      <c r="H85" s="3"/>
      <c r="I85" s="3"/>
      <c r="J85" t="str">
        <f t="shared" si="7"/>
        <v>切返抜(諸手)</v>
      </c>
      <c r="M85" t="s">
        <v>369</v>
      </c>
      <c r="N85" t="str">
        <f t="shared" si="8"/>
        <v>袖口巻</v>
      </c>
    </row>
    <row r="86" spans="1:14" x14ac:dyDescent="0.45">
      <c r="A86" s="420" t="b">
        <v>1</v>
      </c>
      <c r="B86" s="3">
        <f t="shared" si="6"/>
        <v>28</v>
      </c>
      <c r="C86" s="3" t="s">
        <v>187</v>
      </c>
      <c r="D86" s="2" t="s">
        <v>174</v>
      </c>
      <c r="E86" s="2" t="s">
        <v>186</v>
      </c>
      <c r="F86" s="418"/>
      <c r="G86" s="414">
        <v>227</v>
      </c>
      <c r="H86" s="3">
        <v>112</v>
      </c>
      <c r="I86" s="3">
        <v>184</v>
      </c>
      <c r="J86" t="str">
        <f t="shared" si="7"/>
        <v>切返抜(片手)</v>
      </c>
      <c r="M86" t="s">
        <v>372</v>
      </c>
      <c r="N86" t="str">
        <f t="shared" si="8"/>
        <v>逆袖捕</v>
      </c>
    </row>
    <row r="87" spans="1:14" x14ac:dyDescent="0.45">
      <c r="A87" s="420" t="b">
        <v>0</v>
      </c>
      <c r="B87" s="3">
        <f t="shared" si="6"/>
        <v>29</v>
      </c>
      <c r="C87" s="414" t="s">
        <v>188</v>
      </c>
      <c r="D87" s="2" t="s">
        <v>41</v>
      </c>
      <c r="E87" s="2" t="s">
        <v>189</v>
      </c>
      <c r="F87" s="418" t="s">
        <v>190</v>
      </c>
      <c r="G87" s="414">
        <v>228</v>
      </c>
      <c r="H87" s="3"/>
      <c r="I87" s="3"/>
      <c r="J87" t="str">
        <f t="shared" si="7"/>
        <v>打抜(片手)</v>
      </c>
      <c r="M87" t="s">
        <v>800</v>
      </c>
      <c r="N87" t="str">
        <f t="shared" si="8"/>
        <v>逆袖巻</v>
      </c>
    </row>
    <row r="88" spans="1:14" x14ac:dyDescent="0.45">
      <c r="A88" s="420" t="b">
        <v>0</v>
      </c>
      <c r="B88" s="3">
        <f t="shared" si="6"/>
        <v>30</v>
      </c>
      <c r="C88" s="414" t="s">
        <v>191</v>
      </c>
      <c r="D88" s="2" t="s">
        <v>41</v>
      </c>
      <c r="E88" s="2" t="s">
        <v>192</v>
      </c>
      <c r="F88" s="418" t="s">
        <v>190</v>
      </c>
      <c r="G88" s="414">
        <v>228</v>
      </c>
      <c r="H88" s="3"/>
      <c r="I88" s="3"/>
      <c r="J88" t="str">
        <f t="shared" si="7"/>
        <v>打抜(両手)</v>
      </c>
      <c r="M88" t="s">
        <v>195</v>
      </c>
      <c r="N88" t="str">
        <f t="shared" si="8"/>
        <v>袖抜</v>
      </c>
    </row>
    <row r="89" spans="1:14" x14ac:dyDescent="0.45">
      <c r="A89" s="420" t="b">
        <v>0</v>
      </c>
      <c r="B89" s="3">
        <f t="shared" si="6"/>
        <v>31</v>
      </c>
      <c r="C89" s="3" t="s">
        <v>193</v>
      </c>
      <c r="D89" s="2" t="s">
        <v>174</v>
      </c>
      <c r="E89" s="2" t="s">
        <v>194</v>
      </c>
      <c r="F89" s="418"/>
      <c r="G89" s="414">
        <v>228</v>
      </c>
      <c r="H89" s="3">
        <v>114</v>
      </c>
      <c r="I89" s="3"/>
      <c r="J89" t="str">
        <f t="shared" si="7"/>
        <v>三角抜</v>
      </c>
      <c r="M89" t="s">
        <v>181</v>
      </c>
      <c r="N89" t="str">
        <f t="shared" si="8"/>
        <v>上膊抜(片手)</v>
      </c>
    </row>
    <row r="90" spans="1:14" x14ac:dyDescent="0.45">
      <c r="A90" s="420" t="b">
        <v>1</v>
      </c>
      <c r="B90" s="3">
        <f t="shared" si="6"/>
        <v>32</v>
      </c>
      <c r="C90" s="3" t="s">
        <v>195</v>
      </c>
      <c r="D90" s="2" t="s">
        <v>161</v>
      </c>
      <c r="E90" s="2" t="s">
        <v>196</v>
      </c>
      <c r="F90" s="418"/>
      <c r="G90" s="414">
        <v>229</v>
      </c>
      <c r="H90" s="3">
        <v>124</v>
      </c>
      <c r="I90" s="3"/>
      <c r="J90" t="str">
        <f t="shared" si="7"/>
        <v>袖抜</v>
      </c>
      <c r="M90" t="s">
        <v>183</v>
      </c>
      <c r="N90" t="str">
        <f t="shared" si="8"/>
        <v>上膊抜(両手)</v>
      </c>
    </row>
    <row r="91" spans="1:14" x14ac:dyDescent="0.45">
      <c r="A91" s="420" t="b">
        <v>1</v>
      </c>
      <c r="B91" s="3">
        <f t="shared" si="6"/>
        <v>33</v>
      </c>
      <c r="C91" s="3" t="s">
        <v>197</v>
      </c>
      <c r="D91" s="2" t="s">
        <v>161</v>
      </c>
      <c r="E91" s="2" t="s">
        <v>198</v>
      </c>
      <c r="F91" s="418"/>
      <c r="G91" s="414">
        <v>229</v>
      </c>
      <c r="H91" s="3">
        <v>132</v>
      </c>
      <c r="I91" s="3">
        <v>198</v>
      </c>
      <c r="J91" t="str">
        <f t="shared" si="7"/>
        <v>襟抜</v>
      </c>
      <c r="M91" t="s">
        <v>184</v>
      </c>
      <c r="N91" t="str">
        <f t="shared" si="8"/>
        <v>押切抜</v>
      </c>
    </row>
    <row r="92" spans="1:14" x14ac:dyDescent="0.45">
      <c r="A92" s="420" t="b">
        <v>0</v>
      </c>
      <c r="B92" s="3">
        <f t="shared" si="6"/>
        <v>34</v>
      </c>
      <c r="C92" s="414" t="s">
        <v>199</v>
      </c>
      <c r="D92" s="2" t="s">
        <v>200</v>
      </c>
      <c r="E92" s="2" t="s">
        <v>123</v>
      </c>
      <c r="F92" s="418" t="s">
        <v>201</v>
      </c>
      <c r="G92" s="414">
        <v>229</v>
      </c>
      <c r="H92" s="3"/>
      <c r="I92" s="3"/>
      <c r="J92" t="str">
        <f t="shared" si="7"/>
        <v>足抜(二種)</v>
      </c>
      <c r="M92" t="s">
        <v>582</v>
      </c>
      <c r="N92" t="str">
        <f t="shared" si="8"/>
        <v>表投</v>
      </c>
    </row>
    <row r="93" spans="1:14" x14ac:dyDescent="0.45">
      <c r="M93" t="s">
        <v>415</v>
      </c>
      <c r="N93" t="str">
        <f t="shared" si="8"/>
        <v>裏投</v>
      </c>
    </row>
    <row r="94" spans="1:14" x14ac:dyDescent="0.45">
      <c r="A94">
        <f>COUNTIF(A95:A148,TRUE)</f>
        <v>3</v>
      </c>
      <c r="B94" s="6"/>
      <c r="C94" s="6" t="s">
        <v>202</v>
      </c>
      <c r="D94" s="6"/>
      <c r="E94" s="5" t="s">
        <v>1</v>
      </c>
      <c r="F94" s="5" t="s">
        <v>2</v>
      </c>
      <c r="G94" s="6" t="s">
        <v>3</v>
      </c>
      <c r="H94" s="6" t="s">
        <v>4</v>
      </c>
      <c r="I94" s="6" t="s">
        <v>5</v>
      </c>
      <c r="M94" t="s">
        <v>816</v>
      </c>
      <c r="N94" t="str">
        <f t="shared" si="8"/>
        <v>矢筈投</v>
      </c>
    </row>
    <row r="95" spans="1:14" x14ac:dyDescent="0.45">
      <c r="A95" s="420" t="b">
        <v>0</v>
      </c>
      <c r="B95" s="3">
        <v>1</v>
      </c>
      <c r="C95" s="3" t="s">
        <v>203</v>
      </c>
      <c r="D95" s="2" t="s">
        <v>150</v>
      </c>
      <c r="E95" s="2" t="s">
        <v>192</v>
      </c>
      <c r="F95" s="418"/>
      <c r="G95" s="414">
        <v>239</v>
      </c>
      <c r="H95" s="3">
        <v>90</v>
      </c>
      <c r="I95" s="3">
        <v>156</v>
      </c>
      <c r="J95" t="e">
        <f t="shared" ref="J95:J126" si="9">VLOOKUP(C95,M:M,1,FALSE)</f>
        <v>#N/A</v>
      </c>
      <c r="M95" t="s">
        <v>424</v>
      </c>
      <c r="N95" t="str">
        <f t="shared" si="8"/>
        <v>肩打投</v>
      </c>
    </row>
    <row r="96" spans="1:14" x14ac:dyDescent="0.45">
      <c r="A96" s="420" t="b">
        <v>0</v>
      </c>
      <c r="B96" s="3">
        <v>2</v>
      </c>
      <c r="C96" s="414" t="s">
        <v>204</v>
      </c>
      <c r="D96" s="2" t="s">
        <v>41</v>
      </c>
      <c r="E96" s="2" t="s">
        <v>189</v>
      </c>
      <c r="F96" s="418" t="s">
        <v>205</v>
      </c>
      <c r="G96" s="414">
        <v>241</v>
      </c>
      <c r="H96" s="3"/>
      <c r="I96" s="3"/>
      <c r="J96" t="str">
        <f t="shared" si="9"/>
        <v>諸手逆小手</v>
      </c>
      <c r="M96" t="s">
        <v>408</v>
      </c>
      <c r="N96" t="str">
        <f t="shared" si="8"/>
        <v>首締投</v>
      </c>
    </row>
    <row r="97" spans="1:14" x14ac:dyDescent="0.45">
      <c r="A97" s="420" t="b">
        <v>0</v>
      </c>
      <c r="B97" s="3">
        <v>3</v>
      </c>
      <c r="C97" s="414" t="s">
        <v>206</v>
      </c>
      <c r="D97" s="2" t="s">
        <v>200</v>
      </c>
      <c r="E97" s="2" t="s">
        <v>192</v>
      </c>
      <c r="F97" s="418" t="s">
        <v>207</v>
      </c>
      <c r="G97" s="414">
        <v>241</v>
      </c>
      <c r="H97" s="3"/>
      <c r="I97" s="3"/>
      <c r="J97" t="str">
        <f t="shared" si="9"/>
        <v>合掌逆小手</v>
      </c>
      <c r="M97" t="s">
        <v>411</v>
      </c>
      <c r="N97" t="str">
        <f t="shared" si="8"/>
        <v>首締守法十字投</v>
      </c>
    </row>
    <row r="98" spans="1:14" x14ac:dyDescent="0.45">
      <c r="A98" s="420" t="b">
        <v>0</v>
      </c>
      <c r="B98" s="3">
        <v>4</v>
      </c>
      <c r="C98" s="414" t="s">
        <v>208</v>
      </c>
      <c r="D98" s="2" t="s">
        <v>200</v>
      </c>
      <c r="E98" s="2" t="s">
        <v>209</v>
      </c>
      <c r="F98" s="418" t="s">
        <v>210</v>
      </c>
      <c r="G98" s="414">
        <v>242</v>
      </c>
      <c r="H98" s="3"/>
      <c r="I98" s="3"/>
      <c r="J98" t="str">
        <f t="shared" si="9"/>
        <v>逆合掌投(二種)</v>
      </c>
      <c r="M98" t="s">
        <v>412</v>
      </c>
      <c r="N98" t="str">
        <f t="shared" si="8"/>
        <v>拳締捕</v>
      </c>
    </row>
    <row r="99" spans="1:14" x14ac:dyDescent="0.45">
      <c r="A99" s="420" t="b">
        <v>0</v>
      </c>
      <c r="B99" s="3">
        <v>5</v>
      </c>
      <c r="C99" s="414" t="s">
        <v>211</v>
      </c>
      <c r="D99" s="2" t="s">
        <v>52</v>
      </c>
      <c r="E99" s="2" t="s">
        <v>212</v>
      </c>
      <c r="F99" s="418" t="s">
        <v>213</v>
      </c>
      <c r="G99" s="414">
        <v>242</v>
      </c>
      <c r="H99" s="3"/>
      <c r="I99" s="3"/>
      <c r="J99" t="str">
        <f t="shared" si="9"/>
        <v>握返</v>
      </c>
      <c r="M99" t="s">
        <v>180</v>
      </c>
      <c r="N99" t="str">
        <f t="shared" si="8"/>
        <v>諸手輪抜</v>
      </c>
    </row>
    <row r="100" spans="1:14" x14ac:dyDescent="0.45">
      <c r="A100" s="420" t="b">
        <v>0</v>
      </c>
      <c r="B100" s="3">
        <v>6</v>
      </c>
      <c r="C100" s="414" t="s">
        <v>214</v>
      </c>
      <c r="D100" s="2" t="s">
        <v>41</v>
      </c>
      <c r="E100" s="2" t="s">
        <v>189</v>
      </c>
      <c r="F100" s="418" t="s">
        <v>207</v>
      </c>
      <c r="G100" s="414">
        <v>242</v>
      </c>
      <c r="H100" s="3"/>
      <c r="I100" s="3"/>
      <c r="J100" t="str">
        <f t="shared" si="9"/>
        <v>逆手投</v>
      </c>
      <c r="M100" t="s">
        <v>164</v>
      </c>
      <c r="N100" t="str">
        <f t="shared" si="8"/>
        <v>諸手巻抜</v>
      </c>
    </row>
    <row r="101" spans="1:14" x14ac:dyDescent="0.45">
      <c r="A101" s="420" t="b">
        <v>0</v>
      </c>
      <c r="B101" s="3">
        <v>7</v>
      </c>
      <c r="C101" s="414" t="s">
        <v>215</v>
      </c>
      <c r="D101" s="2" t="s">
        <v>161</v>
      </c>
      <c r="E101" s="2" t="s">
        <v>192</v>
      </c>
      <c r="F101" s="418"/>
      <c r="G101" s="414">
        <v>242</v>
      </c>
      <c r="H101" s="3"/>
      <c r="I101" s="3"/>
      <c r="J101" t="str">
        <f t="shared" si="9"/>
        <v>巻小手(片手)</v>
      </c>
      <c r="M101" t="s">
        <v>512</v>
      </c>
      <c r="N101" t="str">
        <f t="shared" si="8"/>
        <v>諸手逆小手</v>
      </c>
    </row>
    <row r="102" spans="1:14" x14ac:dyDescent="0.45">
      <c r="A102" s="420" t="b">
        <v>0</v>
      </c>
      <c r="B102" s="3">
        <v>8</v>
      </c>
      <c r="C102" s="414" t="s">
        <v>216</v>
      </c>
      <c r="D102" s="2" t="s">
        <v>161</v>
      </c>
      <c r="E102" s="2" t="s">
        <v>192</v>
      </c>
      <c r="F102" s="418"/>
      <c r="G102" s="3"/>
      <c r="H102" s="3"/>
      <c r="I102" s="3">
        <v>212</v>
      </c>
      <c r="J102" t="str">
        <f t="shared" si="9"/>
        <v>巻小手(諸手)</v>
      </c>
      <c r="M102" t="s">
        <v>516</v>
      </c>
      <c r="N102" t="e">
        <f t="shared" si="8"/>
        <v>#N/A</v>
      </c>
    </row>
    <row r="103" spans="1:14" x14ac:dyDescent="0.45">
      <c r="A103" s="420" t="b">
        <v>0</v>
      </c>
      <c r="B103" s="3">
        <v>9</v>
      </c>
      <c r="C103" s="414" t="s">
        <v>217</v>
      </c>
      <c r="D103" s="2" t="s">
        <v>41</v>
      </c>
      <c r="E103" s="2" t="s">
        <v>56</v>
      </c>
      <c r="F103" s="418" t="s">
        <v>57</v>
      </c>
      <c r="G103" s="414">
        <v>243</v>
      </c>
      <c r="H103" s="3"/>
      <c r="I103" s="3">
        <v>214</v>
      </c>
      <c r="J103" t="str">
        <f t="shared" si="9"/>
        <v>下受蹴小手投</v>
      </c>
      <c r="M103" t="s">
        <v>826</v>
      </c>
      <c r="N103" t="str">
        <f t="shared" si="8"/>
        <v>振捨表投</v>
      </c>
    </row>
    <row r="104" spans="1:14" x14ac:dyDescent="0.45">
      <c r="A104" s="420" t="b">
        <v>0</v>
      </c>
      <c r="B104" s="3">
        <v>10</v>
      </c>
      <c r="C104" s="3" t="s">
        <v>218</v>
      </c>
      <c r="D104" s="2" t="s">
        <v>153</v>
      </c>
      <c r="E104" s="2" t="s">
        <v>192</v>
      </c>
      <c r="F104" s="418"/>
      <c r="G104" s="414">
        <v>243</v>
      </c>
      <c r="H104" s="3"/>
      <c r="I104" s="3"/>
      <c r="J104" t="e">
        <f t="shared" si="9"/>
        <v>#N/A</v>
      </c>
      <c r="M104" t="s">
        <v>523</v>
      </c>
      <c r="N104" t="str">
        <f t="shared" si="8"/>
        <v>諸手送小手投</v>
      </c>
    </row>
    <row r="105" spans="1:14" x14ac:dyDescent="0.45">
      <c r="A105" s="420" t="b">
        <v>0</v>
      </c>
      <c r="B105" s="3">
        <v>11</v>
      </c>
      <c r="C105" s="414" t="s">
        <v>219</v>
      </c>
      <c r="D105" s="2" t="s">
        <v>52</v>
      </c>
      <c r="E105" s="2" t="s">
        <v>220</v>
      </c>
      <c r="F105" s="418" t="s">
        <v>221</v>
      </c>
      <c r="G105" s="414">
        <v>244</v>
      </c>
      <c r="H105" s="3"/>
      <c r="I105" s="3"/>
      <c r="J105" t="str">
        <f t="shared" si="9"/>
        <v>巻込小手</v>
      </c>
      <c r="M105" t="s">
        <v>245</v>
      </c>
      <c r="N105" t="str">
        <f t="shared" si="8"/>
        <v>送突倒</v>
      </c>
    </row>
    <row r="106" spans="1:14" x14ac:dyDescent="0.45">
      <c r="A106" s="420" t="b">
        <v>0</v>
      </c>
      <c r="B106" s="3">
        <v>12</v>
      </c>
      <c r="C106" s="414" t="s">
        <v>222</v>
      </c>
      <c r="D106" s="2" t="s">
        <v>41</v>
      </c>
      <c r="E106" s="2" t="s">
        <v>189</v>
      </c>
      <c r="F106" s="418" t="s">
        <v>207</v>
      </c>
      <c r="G106" s="414">
        <v>244</v>
      </c>
      <c r="H106" s="3"/>
      <c r="I106" s="3"/>
      <c r="J106" t="str">
        <f t="shared" si="9"/>
        <v>龍投</v>
      </c>
      <c r="M106" t="s">
        <v>831</v>
      </c>
      <c r="N106" t="str">
        <f t="shared" si="8"/>
        <v>腰挫</v>
      </c>
    </row>
    <row r="107" spans="1:14" x14ac:dyDescent="0.45">
      <c r="A107" s="420" t="b">
        <v>0</v>
      </c>
      <c r="B107" s="3">
        <v>13</v>
      </c>
      <c r="C107" s="414" t="s">
        <v>223</v>
      </c>
      <c r="D107" s="2" t="s">
        <v>41</v>
      </c>
      <c r="E107" s="2" t="s">
        <v>189</v>
      </c>
      <c r="F107" s="418" t="s">
        <v>207</v>
      </c>
      <c r="G107" s="414">
        <v>245</v>
      </c>
      <c r="H107" s="3"/>
      <c r="I107" s="3"/>
      <c r="J107" t="str">
        <f t="shared" si="9"/>
        <v>外巻天秤</v>
      </c>
      <c r="M107" t="s">
        <v>290</v>
      </c>
      <c r="N107" t="str">
        <f t="shared" si="8"/>
        <v>上受投</v>
      </c>
    </row>
    <row r="108" spans="1:14" x14ac:dyDescent="0.45">
      <c r="A108" s="420" t="b">
        <v>0</v>
      </c>
      <c r="B108" s="3">
        <v>14</v>
      </c>
      <c r="C108" s="3" t="s">
        <v>224</v>
      </c>
      <c r="D108" s="2" t="s">
        <v>157</v>
      </c>
      <c r="E108" s="2" t="s">
        <v>189</v>
      </c>
      <c r="F108" s="418"/>
      <c r="G108" s="414">
        <v>245</v>
      </c>
      <c r="H108" s="3"/>
      <c r="I108" s="3">
        <v>166</v>
      </c>
      <c r="J108" t="e">
        <f t="shared" si="9"/>
        <v>#N/A</v>
      </c>
      <c r="M108" t="s">
        <v>293</v>
      </c>
      <c r="N108" t="str">
        <f t="shared" si="8"/>
        <v>上受逆手投</v>
      </c>
    </row>
    <row r="109" spans="1:14" x14ac:dyDescent="0.45">
      <c r="A109" s="420" t="b">
        <v>0</v>
      </c>
      <c r="B109" s="3">
        <v>15</v>
      </c>
      <c r="C109" s="3" t="s">
        <v>225</v>
      </c>
      <c r="D109" s="2" t="s">
        <v>174</v>
      </c>
      <c r="E109" s="2" t="s">
        <v>192</v>
      </c>
      <c r="F109" s="418"/>
      <c r="G109" s="414">
        <v>246</v>
      </c>
      <c r="H109" s="3">
        <v>98</v>
      </c>
      <c r="I109" s="3">
        <v>174</v>
      </c>
      <c r="J109" t="str">
        <f t="shared" si="9"/>
        <v>両手送小手</v>
      </c>
      <c r="M109" t="s">
        <v>295</v>
      </c>
      <c r="N109" t="str">
        <f t="shared" si="8"/>
        <v>上受背投</v>
      </c>
    </row>
    <row r="110" spans="1:14" x14ac:dyDescent="0.45">
      <c r="A110" s="420" t="b">
        <v>0</v>
      </c>
      <c r="B110" s="3">
        <v>16</v>
      </c>
      <c r="C110" s="414" t="s">
        <v>226</v>
      </c>
      <c r="D110" s="2" t="s">
        <v>52</v>
      </c>
      <c r="E110" s="2" t="s">
        <v>189</v>
      </c>
      <c r="F110" s="418" t="s">
        <v>205</v>
      </c>
      <c r="G110" s="414">
        <v>247</v>
      </c>
      <c r="H110" s="3"/>
      <c r="I110" s="3"/>
      <c r="J110" t="str">
        <f t="shared" si="9"/>
        <v>諸手送小手投</v>
      </c>
      <c r="M110" t="s">
        <v>297</v>
      </c>
      <c r="N110" t="str">
        <f t="shared" si="8"/>
        <v>押受投</v>
      </c>
    </row>
    <row r="111" spans="1:14" x14ac:dyDescent="0.45">
      <c r="A111" s="420" t="b">
        <v>0</v>
      </c>
      <c r="B111" s="3">
        <v>17</v>
      </c>
      <c r="C111" s="414" t="s">
        <v>227</v>
      </c>
      <c r="D111" s="2" t="s">
        <v>41</v>
      </c>
      <c r="E111" s="2" t="s">
        <v>189</v>
      </c>
      <c r="F111" s="418" t="s">
        <v>205</v>
      </c>
      <c r="G111" s="3"/>
      <c r="H111" s="3"/>
      <c r="I111" s="3"/>
      <c r="J111" t="e">
        <f t="shared" si="9"/>
        <v>#N/A</v>
      </c>
      <c r="M111" t="s">
        <v>839</v>
      </c>
      <c r="N111" t="str">
        <f t="shared" si="8"/>
        <v>押受巻投</v>
      </c>
    </row>
    <row r="112" spans="1:14" x14ac:dyDescent="0.45">
      <c r="A112" s="420" t="b">
        <v>0</v>
      </c>
      <c r="B112" s="3">
        <v>18</v>
      </c>
      <c r="C112" s="3" t="s">
        <v>228</v>
      </c>
      <c r="D112" s="2" t="s">
        <v>174</v>
      </c>
      <c r="E112" s="2" t="s">
        <v>229</v>
      </c>
      <c r="F112" s="418"/>
      <c r="G112" s="414">
        <v>248</v>
      </c>
      <c r="H112" s="3"/>
      <c r="I112" s="3"/>
      <c r="J112" t="str">
        <f t="shared" si="9"/>
        <v>送捕</v>
      </c>
      <c r="M112" t="s">
        <v>300</v>
      </c>
      <c r="N112" t="str">
        <f t="shared" si="8"/>
        <v>片手投</v>
      </c>
    </row>
    <row r="113" spans="1:14" x14ac:dyDescent="0.45">
      <c r="A113" s="420" t="b">
        <v>0</v>
      </c>
      <c r="B113" s="3">
        <v>19</v>
      </c>
      <c r="C113" s="414" t="s">
        <v>230</v>
      </c>
      <c r="D113" s="2" t="s">
        <v>52</v>
      </c>
      <c r="E113" s="2" t="s">
        <v>231</v>
      </c>
      <c r="F113" s="418" t="s">
        <v>232</v>
      </c>
      <c r="G113" s="414">
        <v>248</v>
      </c>
      <c r="H113" s="3"/>
      <c r="I113" s="3">
        <v>218</v>
      </c>
      <c r="J113" t="str">
        <f t="shared" si="9"/>
        <v>木葉送</v>
      </c>
      <c r="M113" t="s">
        <v>845</v>
      </c>
      <c r="N113" t="str">
        <f t="shared" si="8"/>
        <v>逆片手投</v>
      </c>
    </row>
    <row r="114" spans="1:14" x14ac:dyDescent="0.45">
      <c r="A114" s="420" t="b">
        <v>0</v>
      </c>
      <c r="B114" s="3">
        <v>20</v>
      </c>
      <c r="C114" s="414" t="s">
        <v>233</v>
      </c>
      <c r="D114" s="2" t="s">
        <v>200</v>
      </c>
      <c r="E114" s="2" t="s">
        <v>234</v>
      </c>
      <c r="F114" s="418" t="s">
        <v>210</v>
      </c>
      <c r="G114" s="414">
        <v>248</v>
      </c>
      <c r="H114" s="3"/>
      <c r="I114" s="3"/>
      <c r="J114" t="str">
        <f t="shared" si="9"/>
        <v>送合掌(二種)</v>
      </c>
      <c r="M114" t="s">
        <v>301</v>
      </c>
      <c r="N114" t="str">
        <f t="shared" si="8"/>
        <v>送片手投</v>
      </c>
    </row>
    <row r="115" spans="1:14" x14ac:dyDescent="0.45">
      <c r="A115" s="420" t="b">
        <v>0</v>
      </c>
      <c r="B115" s="3">
        <v>21</v>
      </c>
      <c r="C115" s="414" t="s">
        <v>235</v>
      </c>
      <c r="D115" s="2" t="s">
        <v>200</v>
      </c>
      <c r="E115" s="2" t="s">
        <v>236</v>
      </c>
      <c r="F115" s="418" t="s">
        <v>237</v>
      </c>
      <c r="G115" s="414">
        <v>248</v>
      </c>
      <c r="H115" s="3"/>
      <c r="I115" s="3"/>
      <c r="J115" t="str">
        <f t="shared" si="9"/>
        <v>熊手返(両手)</v>
      </c>
      <c r="M115" t="s">
        <v>847</v>
      </c>
      <c r="N115" t="str">
        <f t="shared" si="8"/>
        <v>合掌片手投</v>
      </c>
    </row>
    <row r="116" spans="1:14" x14ac:dyDescent="0.45">
      <c r="A116" s="420" t="b">
        <v>0</v>
      </c>
      <c r="B116" s="3">
        <v>22</v>
      </c>
      <c r="C116" s="414" t="s">
        <v>238</v>
      </c>
      <c r="D116" s="2" t="s">
        <v>200</v>
      </c>
      <c r="E116" s="2" t="s">
        <v>236</v>
      </c>
      <c r="F116" s="418" t="s">
        <v>237</v>
      </c>
      <c r="G116" s="3"/>
      <c r="H116" s="3"/>
      <c r="I116" s="3"/>
      <c r="J116" t="str">
        <f t="shared" si="9"/>
        <v>熊手返(片手)</v>
      </c>
      <c r="M116" t="s">
        <v>304</v>
      </c>
      <c r="N116" t="str">
        <f t="shared" si="8"/>
        <v>諸手片手投</v>
      </c>
    </row>
    <row r="117" spans="1:14" x14ac:dyDescent="0.45">
      <c r="A117" s="420" t="b">
        <v>0</v>
      </c>
      <c r="B117" s="3">
        <v>23</v>
      </c>
      <c r="C117" s="414" t="s">
        <v>239</v>
      </c>
      <c r="D117" s="2" t="s">
        <v>41</v>
      </c>
      <c r="E117" s="2" t="s">
        <v>189</v>
      </c>
      <c r="F117" s="418" t="s">
        <v>190</v>
      </c>
      <c r="G117" s="414">
        <v>249</v>
      </c>
      <c r="H117" s="3"/>
      <c r="I117" s="3"/>
      <c r="J117" t="str">
        <f t="shared" si="9"/>
        <v>吊落</v>
      </c>
      <c r="M117" t="s">
        <v>303</v>
      </c>
      <c r="N117" t="str">
        <f t="shared" si="8"/>
        <v>両手片手投</v>
      </c>
    </row>
    <row r="118" spans="1:14" x14ac:dyDescent="0.45">
      <c r="A118" s="420" t="b">
        <v>0</v>
      </c>
      <c r="B118" s="3">
        <v>24</v>
      </c>
      <c r="C118" s="3" t="s">
        <v>240</v>
      </c>
      <c r="D118" s="2" t="s">
        <v>157</v>
      </c>
      <c r="E118" s="2" t="s">
        <v>189</v>
      </c>
      <c r="F118" s="418"/>
      <c r="G118" s="414">
        <v>249</v>
      </c>
      <c r="H118" s="3">
        <v>100</v>
      </c>
      <c r="I118" s="3">
        <v>170</v>
      </c>
      <c r="J118" t="str">
        <f t="shared" si="9"/>
        <v>送巻天秤</v>
      </c>
      <c r="M118" t="s">
        <v>848</v>
      </c>
      <c r="N118" t="str">
        <f t="shared" si="8"/>
        <v>片手投切返</v>
      </c>
    </row>
    <row r="119" spans="1:14" x14ac:dyDescent="0.45">
      <c r="A119" s="420" t="b">
        <v>0</v>
      </c>
      <c r="B119" s="3">
        <v>25</v>
      </c>
      <c r="C119" s="414" t="s">
        <v>241</v>
      </c>
      <c r="D119" s="2" t="s">
        <v>41</v>
      </c>
      <c r="E119" s="2" t="s">
        <v>189</v>
      </c>
      <c r="F119" s="418" t="s">
        <v>190</v>
      </c>
      <c r="G119" s="414">
        <v>249</v>
      </c>
      <c r="H119" s="3"/>
      <c r="I119" s="3">
        <v>172</v>
      </c>
      <c r="J119" t="str">
        <f t="shared" si="9"/>
        <v>送肘攻</v>
      </c>
      <c r="M119" t="s">
        <v>319</v>
      </c>
      <c r="N119" t="str">
        <f t="shared" si="8"/>
        <v>引天秤</v>
      </c>
    </row>
    <row r="120" spans="1:14" x14ac:dyDescent="0.45">
      <c r="A120" s="420" t="b">
        <v>1</v>
      </c>
      <c r="B120" s="3">
        <v>26</v>
      </c>
      <c r="C120" s="414" t="s">
        <v>242</v>
      </c>
      <c r="D120" s="2" t="s">
        <v>52</v>
      </c>
      <c r="E120" s="2" t="s">
        <v>231</v>
      </c>
      <c r="F120" s="418" t="s">
        <v>243</v>
      </c>
      <c r="G120" s="414">
        <v>249</v>
      </c>
      <c r="H120" s="3"/>
      <c r="I120" s="3"/>
      <c r="J120" t="str">
        <f t="shared" si="9"/>
        <v>送指返</v>
      </c>
      <c r="M120" t="s">
        <v>322</v>
      </c>
      <c r="N120" t="str">
        <f t="shared" si="8"/>
        <v>逆引天秤</v>
      </c>
    </row>
    <row r="121" spans="1:14" x14ac:dyDescent="0.45">
      <c r="A121" s="420" t="b">
        <v>0</v>
      </c>
      <c r="B121" s="3">
        <v>27</v>
      </c>
      <c r="C121" s="3" t="s">
        <v>244</v>
      </c>
      <c r="D121" s="2" t="s">
        <v>174</v>
      </c>
      <c r="E121" s="2"/>
      <c r="F121" s="418"/>
      <c r="G121" s="414">
        <v>250</v>
      </c>
      <c r="H121" s="3"/>
      <c r="I121" s="3"/>
      <c r="J121" t="str">
        <f t="shared" si="9"/>
        <v>送横天秤</v>
      </c>
      <c r="M121" t="s">
        <v>323</v>
      </c>
      <c r="N121" t="str">
        <f t="shared" si="8"/>
        <v>合掌引天秤</v>
      </c>
    </row>
    <row r="122" spans="1:14" x14ac:dyDescent="0.45">
      <c r="A122" s="420" t="b">
        <v>0</v>
      </c>
      <c r="B122" s="3">
        <v>28</v>
      </c>
      <c r="C122" s="414" t="s">
        <v>245</v>
      </c>
      <c r="D122" s="2" t="s">
        <v>52</v>
      </c>
      <c r="E122" s="2" t="s">
        <v>189</v>
      </c>
      <c r="F122" s="418" t="s">
        <v>205</v>
      </c>
      <c r="G122" s="414">
        <v>250</v>
      </c>
      <c r="H122" s="3"/>
      <c r="I122" s="3">
        <v>222</v>
      </c>
      <c r="J122" t="str">
        <f t="shared" si="9"/>
        <v>送突倒</v>
      </c>
      <c r="M122" t="s">
        <v>321</v>
      </c>
      <c r="N122" t="str">
        <f t="shared" si="8"/>
        <v>天秤投</v>
      </c>
    </row>
    <row r="123" spans="1:14" x14ac:dyDescent="0.45">
      <c r="A123" s="420" t="b">
        <v>0</v>
      </c>
      <c r="B123" s="3">
        <v>29</v>
      </c>
      <c r="C123" s="414" t="s">
        <v>246</v>
      </c>
      <c r="D123" s="2" t="s">
        <v>52</v>
      </c>
      <c r="E123" s="2" t="s">
        <v>189</v>
      </c>
      <c r="F123" s="418" t="s">
        <v>190</v>
      </c>
      <c r="G123" s="414">
        <v>251</v>
      </c>
      <c r="H123" s="3"/>
      <c r="I123" s="3"/>
      <c r="J123" t="str">
        <f t="shared" si="9"/>
        <v>送四指捕</v>
      </c>
      <c r="M123" t="s">
        <v>766</v>
      </c>
      <c r="N123" t="str">
        <f t="shared" si="8"/>
        <v>掬首投</v>
      </c>
    </row>
    <row r="124" spans="1:14" x14ac:dyDescent="0.45">
      <c r="A124" s="420" t="b">
        <v>0</v>
      </c>
      <c r="B124" s="3">
        <v>33</v>
      </c>
      <c r="C124" s="414" t="s">
        <v>251</v>
      </c>
      <c r="D124" s="2" t="s">
        <v>52</v>
      </c>
      <c r="E124" s="2" t="s">
        <v>189</v>
      </c>
      <c r="F124" s="418" t="s">
        <v>205</v>
      </c>
      <c r="G124" s="414">
        <v>252</v>
      </c>
      <c r="H124" s="3"/>
      <c r="I124" s="3">
        <v>220</v>
      </c>
      <c r="J124" t="str">
        <f t="shared" si="9"/>
        <v>振捨表投</v>
      </c>
      <c r="M124" t="s">
        <v>578</v>
      </c>
      <c r="N124" t="str">
        <f t="shared" si="8"/>
        <v>半月首投</v>
      </c>
    </row>
    <row r="125" spans="1:14" x14ac:dyDescent="0.45">
      <c r="A125" s="420" t="b">
        <v>0</v>
      </c>
      <c r="B125" s="3">
        <v>34</v>
      </c>
      <c r="C125" s="414" t="s">
        <v>252</v>
      </c>
      <c r="D125" s="2" t="s">
        <v>52</v>
      </c>
      <c r="E125" s="2" t="s">
        <v>189</v>
      </c>
      <c r="F125" s="418" t="s">
        <v>205</v>
      </c>
      <c r="G125" s="414">
        <v>252</v>
      </c>
      <c r="H125" s="3"/>
      <c r="I125" s="3">
        <v>224</v>
      </c>
      <c r="J125" t="str">
        <f t="shared" si="9"/>
        <v>腰挫</v>
      </c>
      <c r="M125" t="s">
        <v>770</v>
      </c>
      <c r="N125" t="str">
        <f t="shared" si="8"/>
        <v>巻打首投</v>
      </c>
    </row>
    <row r="126" spans="1:14" x14ac:dyDescent="0.45">
      <c r="A126" s="420" t="b">
        <v>0</v>
      </c>
      <c r="B126" s="3">
        <v>35</v>
      </c>
      <c r="C126" s="414" t="s">
        <v>253</v>
      </c>
      <c r="D126" s="2" t="s">
        <v>72</v>
      </c>
      <c r="E126" s="2" t="s">
        <v>254</v>
      </c>
      <c r="F126" s="418"/>
      <c r="G126" s="414">
        <v>253</v>
      </c>
      <c r="H126" s="3"/>
      <c r="I126" s="3"/>
      <c r="J126" t="str">
        <f t="shared" si="9"/>
        <v>押小手(片手)</v>
      </c>
      <c r="M126" t="s">
        <v>772</v>
      </c>
      <c r="N126" t="str">
        <f t="shared" si="8"/>
        <v>後首投</v>
      </c>
    </row>
    <row r="127" spans="1:14" x14ac:dyDescent="0.45">
      <c r="A127" s="420" t="b">
        <v>0</v>
      </c>
      <c r="B127" s="3">
        <v>36</v>
      </c>
      <c r="C127" s="414" t="s">
        <v>255</v>
      </c>
      <c r="D127" s="2" t="s">
        <v>72</v>
      </c>
      <c r="E127" s="2" t="s">
        <v>747</v>
      </c>
      <c r="F127" s="418"/>
      <c r="G127" s="414">
        <v>254</v>
      </c>
      <c r="H127" s="3"/>
      <c r="I127" s="3">
        <v>206</v>
      </c>
      <c r="J127" t="str">
        <f t="shared" ref="J127:J148" si="10">VLOOKUP(C127,M:M,1,FALSE)</f>
        <v>押小手(両手)</v>
      </c>
      <c r="M127" t="s">
        <v>230</v>
      </c>
      <c r="N127" t="str">
        <f t="shared" si="8"/>
        <v>木葉送</v>
      </c>
    </row>
    <row r="128" spans="1:14" x14ac:dyDescent="0.45">
      <c r="A128" s="420" t="b">
        <v>0</v>
      </c>
      <c r="B128" s="3">
        <v>37</v>
      </c>
      <c r="C128" s="414" t="s">
        <v>256</v>
      </c>
      <c r="D128" s="2" t="s">
        <v>72</v>
      </c>
      <c r="E128" s="2" t="s">
        <v>257</v>
      </c>
      <c r="F128" s="418"/>
      <c r="G128" s="414">
        <v>254</v>
      </c>
      <c r="H128" s="3"/>
      <c r="I128" s="3">
        <v>210</v>
      </c>
      <c r="J128" t="str">
        <f t="shared" si="10"/>
        <v>小手巻返</v>
      </c>
      <c r="M128" t="s">
        <v>275</v>
      </c>
      <c r="N128" t="str">
        <f t="shared" si="8"/>
        <v>木葉返</v>
      </c>
    </row>
    <row r="129" spans="1:14" x14ac:dyDescent="0.45">
      <c r="A129" s="420" t="b">
        <v>0</v>
      </c>
      <c r="B129" s="3">
        <v>38</v>
      </c>
      <c r="C129" s="414" t="s">
        <v>258</v>
      </c>
      <c r="D129" s="2" t="s">
        <v>41</v>
      </c>
      <c r="E129" s="2" t="s">
        <v>192</v>
      </c>
      <c r="F129" s="418" t="s">
        <v>190</v>
      </c>
      <c r="G129" s="414">
        <v>254</v>
      </c>
      <c r="H129" s="3"/>
      <c r="I129" s="3"/>
      <c r="J129" t="str">
        <f t="shared" si="10"/>
        <v>抜打押小手</v>
      </c>
      <c r="M129" t="s">
        <v>242</v>
      </c>
      <c r="N129" t="str">
        <f t="shared" si="8"/>
        <v>送指返</v>
      </c>
    </row>
    <row r="130" spans="1:14" x14ac:dyDescent="0.45">
      <c r="A130" s="420" t="b">
        <v>0</v>
      </c>
      <c r="B130" s="3">
        <v>39</v>
      </c>
      <c r="C130" s="3" t="s">
        <v>259</v>
      </c>
      <c r="D130" s="2" t="s">
        <v>153</v>
      </c>
      <c r="E130" s="2" t="s">
        <v>189</v>
      </c>
      <c r="F130" s="418"/>
      <c r="G130" s="414">
        <v>257</v>
      </c>
      <c r="H130" s="3">
        <v>108</v>
      </c>
      <c r="I130" s="3">
        <v>180</v>
      </c>
      <c r="J130" t="str">
        <f t="shared" si="10"/>
        <v>十字小手(片手)</v>
      </c>
      <c r="M130" t="s">
        <v>331</v>
      </c>
      <c r="N130" t="str">
        <f t="shared" si="8"/>
        <v>閂送(捕)</v>
      </c>
    </row>
    <row r="131" spans="1:14" x14ac:dyDescent="0.45">
      <c r="A131" s="420" t="b">
        <v>0</v>
      </c>
      <c r="B131" s="3">
        <v>40</v>
      </c>
      <c r="C131" s="3" t="s">
        <v>260</v>
      </c>
      <c r="D131" s="2" t="s">
        <v>174</v>
      </c>
      <c r="E131" s="2"/>
      <c r="F131" s="418"/>
      <c r="G131" s="414">
        <v>257</v>
      </c>
      <c r="H131" s="3">
        <v>110</v>
      </c>
      <c r="I131" s="3">
        <v>182</v>
      </c>
      <c r="J131" t="str">
        <f t="shared" si="10"/>
        <v>略十字小手</v>
      </c>
      <c r="M131" t="s">
        <v>786</v>
      </c>
      <c r="N131" t="str">
        <f t="shared" ref="N131:N166" si="11">VLOOKUP(M131,C:C,1,FALSE)</f>
        <v>閂外天秤</v>
      </c>
    </row>
    <row r="132" spans="1:14" x14ac:dyDescent="0.45">
      <c r="A132" s="420" t="b">
        <v>0</v>
      </c>
      <c r="B132" s="3">
        <v>41</v>
      </c>
      <c r="C132" s="3" t="s">
        <v>261</v>
      </c>
      <c r="D132" s="2" t="s">
        <v>174</v>
      </c>
      <c r="E132" s="2" t="s">
        <v>192</v>
      </c>
      <c r="F132" s="418"/>
      <c r="G132" s="414">
        <v>257</v>
      </c>
      <c r="H132" s="3"/>
      <c r="I132" s="3"/>
      <c r="J132" t="str">
        <f t="shared" si="10"/>
        <v>両手十字小手</v>
      </c>
      <c r="M132" t="s">
        <v>165</v>
      </c>
      <c r="N132" t="str">
        <f t="shared" si="11"/>
        <v>上げ抜</v>
      </c>
    </row>
    <row r="133" spans="1:14" x14ac:dyDescent="0.45">
      <c r="A133" s="420" t="b">
        <v>0</v>
      </c>
      <c r="B133" s="3">
        <v>42</v>
      </c>
      <c r="C133" s="414" t="s">
        <v>262</v>
      </c>
      <c r="D133" s="2" t="s">
        <v>161</v>
      </c>
      <c r="E133" s="2" t="s">
        <v>192</v>
      </c>
      <c r="F133" s="418"/>
      <c r="G133" s="414">
        <v>258</v>
      </c>
      <c r="H133" s="3"/>
      <c r="I133" s="3"/>
      <c r="J133" t="str">
        <f t="shared" si="10"/>
        <v>諸手十字小手</v>
      </c>
      <c r="M133" t="s">
        <v>284</v>
      </c>
      <c r="N133" t="str">
        <f t="shared" si="11"/>
        <v>居捕送小手</v>
      </c>
    </row>
    <row r="134" spans="1:14" x14ac:dyDescent="0.45">
      <c r="A134" s="420" t="b">
        <v>0</v>
      </c>
      <c r="B134" s="3">
        <v>43</v>
      </c>
      <c r="C134" s="3" t="s">
        <v>263</v>
      </c>
      <c r="D134" s="2" t="s">
        <v>174</v>
      </c>
      <c r="E134" s="2"/>
      <c r="F134" s="418"/>
      <c r="G134" s="414">
        <v>258</v>
      </c>
      <c r="H134" s="3"/>
      <c r="I134" s="3"/>
      <c r="J134" t="str">
        <f t="shared" si="10"/>
        <v>巻十字小手</v>
      </c>
      <c r="M134" t="s">
        <v>286</v>
      </c>
      <c r="N134" t="str">
        <f t="shared" si="11"/>
        <v>居捕逆小手</v>
      </c>
    </row>
    <row r="135" spans="1:14" x14ac:dyDescent="0.45">
      <c r="A135" s="420" t="b">
        <v>0</v>
      </c>
      <c r="B135" s="3">
        <v>44</v>
      </c>
      <c r="C135" s="3" t="s">
        <v>264</v>
      </c>
      <c r="D135" s="2" t="s">
        <v>174</v>
      </c>
      <c r="E135" s="2" t="s">
        <v>265</v>
      </c>
      <c r="F135" s="418"/>
      <c r="G135" s="414">
        <v>258</v>
      </c>
      <c r="H135" s="3">
        <v>116</v>
      </c>
      <c r="I135" s="3">
        <v>186</v>
      </c>
      <c r="J135" t="str">
        <f t="shared" si="10"/>
        <v>切小手(片手)</v>
      </c>
      <c r="M135" t="s">
        <v>287</v>
      </c>
      <c r="N135" t="str">
        <f t="shared" si="11"/>
        <v>居捕押小手</v>
      </c>
    </row>
    <row r="136" spans="1:14" x14ac:dyDescent="0.45">
      <c r="A136" s="420" t="b">
        <v>0</v>
      </c>
      <c r="B136" s="3">
        <v>45</v>
      </c>
      <c r="C136" s="3" t="s">
        <v>266</v>
      </c>
      <c r="D136" s="2" t="s">
        <v>174</v>
      </c>
      <c r="E136" s="2" t="s">
        <v>265</v>
      </c>
      <c r="F136" s="418"/>
      <c r="G136" s="3"/>
      <c r="H136" s="3"/>
      <c r="I136" s="3"/>
      <c r="J136" t="e">
        <f t="shared" si="10"/>
        <v>#N/A</v>
      </c>
      <c r="M136" t="s">
        <v>233</v>
      </c>
      <c r="N136" t="str">
        <f t="shared" si="11"/>
        <v>送合掌(二種)</v>
      </c>
    </row>
    <row r="137" spans="1:14" x14ac:dyDescent="0.45">
      <c r="A137" s="420" t="b">
        <v>1</v>
      </c>
      <c r="B137" s="3">
        <v>46</v>
      </c>
      <c r="C137" s="414" t="s">
        <v>267</v>
      </c>
      <c r="D137" s="2" t="s">
        <v>52</v>
      </c>
      <c r="E137" s="2" t="s">
        <v>220</v>
      </c>
      <c r="F137" s="418" t="s">
        <v>221</v>
      </c>
      <c r="G137" s="414">
        <v>259</v>
      </c>
      <c r="H137" s="3"/>
      <c r="I137" s="3">
        <v>188</v>
      </c>
      <c r="J137" t="str">
        <f t="shared" si="10"/>
        <v>切返小手</v>
      </c>
      <c r="M137" t="s">
        <v>208</v>
      </c>
      <c r="N137" t="str">
        <f t="shared" si="11"/>
        <v>逆合掌投(二種)</v>
      </c>
    </row>
    <row r="138" spans="1:14" x14ac:dyDescent="0.45">
      <c r="A138" s="420" t="b">
        <v>0</v>
      </c>
      <c r="B138" s="3">
        <v>47</v>
      </c>
      <c r="C138" s="414" t="s">
        <v>268</v>
      </c>
      <c r="D138" s="2" t="s">
        <v>41</v>
      </c>
      <c r="E138" s="2" t="s">
        <v>269</v>
      </c>
      <c r="F138" s="418" t="s">
        <v>221</v>
      </c>
      <c r="G138" s="414">
        <v>259</v>
      </c>
      <c r="H138" s="3"/>
      <c r="I138" s="3"/>
      <c r="J138" t="str">
        <f t="shared" si="10"/>
        <v>切返巻天秤</v>
      </c>
      <c r="M138" t="s">
        <v>801</v>
      </c>
      <c r="N138" t="str">
        <f t="shared" si="11"/>
        <v>合掌丁字</v>
      </c>
    </row>
    <row r="139" spans="1:14" x14ac:dyDescent="0.45">
      <c r="A139" s="420" t="b">
        <v>0</v>
      </c>
      <c r="B139" s="3">
        <v>48</v>
      </c>
      <c r="C139" s="414" t="s">
        <v>270</v>
      </c>
      <c r="D139" s="2" t="s">
        <v>41</v>
      </c>
      <c r="E139" s="2" t="s">
        <v>269</v>
      </c>
      <c r="F139" s="418" t="s">
        <v>221</v>
      </c>
      <c r="G139" s="414">
        <v>259</v>
      </c>
      <c r="H139" s="3"/>
      <c r="I139" s="3"/>
      <c r="J139" t="str">
        <f t="shared" si="10"/>
        <v>切返天秤</v>
      </c>
      <c r="M139" t="s">
        <v>279</v>
      </c>
      <c r="N139" t="str">
        <f t="shared" si="11"/>
        <v>合掌突落</v>
      </c>
    </row>
    <row r="140" spans="1:14" x14ac:dyDescent="0.45">
      <c r="A140" s="420" t="b">
        <v>1</v>
      </c>
      <c r="B140" s="3">
        <v>49</v>
      </c>
      <c r="C140" s="414" t="s">
        <v>271</v>
      </c>
      <c r="D140" s="2" t="s">
        <v>52</v>
      </c>
      <c r="E140" s="2" t="s">
        <v>220</v>
      </c>
      <c r="F140" s="418" t="s">
        <v>221</v>
      </c>
      <c r="G140" s="414">
        <v>260</v>
      </c>
      <c r="H140" s="3"/>
      <c r="I140" s="3">
        <v>190</v>
      </c>
      <c r="J140" t="str">
        <f t="shared" si="10"/>
        <v>切返投</v>
      </c>
      <c r="M140" t="s">
        <v>235</v>
      </c>
      <c r="N140" t="str">
        <f t="shared" si="11"/>
        <v>熊手返(両手)</v>
      </c>
    </row>
    <row r="141" spans="1:14" x14ac:dyDescent="0.45">
      <c r="A141" s="420" t="b">
        <v>0</v>
      </c>
      <c r="B141" s="3">
        <v>50</v>
      </c>
      <c r="C141" s="414" t="s">
        <v>272</v>
      </c>
      <c r="D141" s="2" t="s">
        <v>200</v>
      </c>
      <c r="E141" s="2" t="s">
        <v>192</v>
      </c>
      <c r="F141" s="418" t="s">
        <v>273</v>
      </c>
      <c r="G141" s="414">
        <v>260</v>
      </c>
      <c r="H141" s="3"/>
      <c r="I141" s="3"/>
      <c r="J141" t="str">
        <f t="shared" si="10"/>
        <v>片手投切返</v>
      </c>
      <c r="M141" t="s">
        <v>238</v>
      </c>
      <c r="N141" t="str">
        <f t="shared" si="11"/>
        <v>熊手返(片手)</v>
      </c>
    </row>
    <row r="142" spans="1:14" x14ac:dyDescent="0.45">
      <c r="A142" s="420" t="b">
        <v>0</v>
      </c>
      <c r="B142" s="3">
        <v>51</v>
      </c>
      <c r="C142" s="414" t="s">
        <v>274</v>
      </c>
      <c r="D142" s="2" t="s">
        <v>52</v>
      </c>
      <c r="E142" s="2" t="s">
        <v>220</v>
      </c>
      <c r="F142" s="418" t="s">
        <v>221</v>
      </c>
      <c r="G142" s="414">
        <v>261</v>
      </c>
      <c r="H142" s="3"/>
      <c r="I142" s="3"/>
      <c r="J142" t="str">
        <f t="shared" si="10"/>
        <v>諸手切返投</v>
      </c>
      <c r="M142" t="s">
        <v>199</v>
      </c>
      <c r="N142" t="str">
        <f t="shared" si="11"/>
        <v>足抜(二種)</v>
      </c>
    </row>
    <row r="143" spans="1:14" x14ac:dyDescent="0.45">
      <c r="A143" s="420" t="b">
        <v>0</v>
      </c>
      <c r="B143" s="3">
        <v>52</v>
      </c>
      <c r="C143" s="414" t="s">
        <v>275</v>
      </c>
      <c r="D143" s="2" t="s">
        <v>52</v>
      </c>
      <c r="E143" s="2" t="s">
        <v>231</v>
      </c>
      <c r="F143" s="418" t="s">
        <v>232</v>
      </c>
      <c r="G143" s="414">
        <v>261</v>
      </c>
      <c r="H143" s="3"/>
      <c r="I143" s="3">
        <v>216</v>
      </c>
      <c r="J143" t="str">
        <f t="shared" si="10"/>
        <v>木葉返</v>
      </c>
      <c r="M143" t="s">
        <v>813</v>
      </c>
      <c r="N143" t="e">
        <f t="shared" si="11"/>
        <v>#N/A</v>
      </c>
    </row>
    <row r="144" spans="1:14" x14ac:dyDescent="0.45">
      <c r="A144" s="420" t="b">
        <v>0</v>
      </c>
      <c r="B144" s="3">
        <v>54</v>
      </c>
      <c r="C144" s="414" t="s">
        <v>278</v>
      </c>
      <c r="D144" s="2" t="s">
        <v>200</v>
      </c>
      <c r="E144" s="2" t="s">
        <v>212</v>
      </c>
      <c r="F144" s="418" t="s">
        <v>213</v>
      </c>
      <c r="G144" s="414">
        <v>262</v>
      </c>
      <c r="H144" s="3"/>
      <c r="I144" s="3"/>
      <c r="J144" t="str">
        <f t="shared" si="10"/>
        <v>合掌丁字</v>
      </c>
      <c r="M144" t="s">
        <v>332</v>
      </c>
      <c r="N144" t="e">
        <f t="shared" si="11"/>
        <v>#N/A</v>
      </c>
    </row>
    <row r="145" spans="1:14" x14ac:dyDescent="0.45">
      <c r="A145" s="420" t="b">
        <v>0</v>
      </c>
      <c r="B145" s="3">
        <v>55</v>
      </c>
      <c r="C145" s="414" t="s">
        <v>279</v>
      </c>
      <c r="D145" s="2" t="s">
        <v>200</v>
      </c>
      <c r="E145" s="2" t="s">
        <v>212</v>
      </c>
      <c r="F145" s="418" t="s">
        <v>213</v>
      </c>
      <c r="G145" s="414">
        <v>262</v>
      </c>
      <c r="H145" s="3"/>
      <c r="I145" s="3"/>
      <c r="J145" t="str">
        <f t="shared" si="10"/>
        <v>合掌突落</v>
      </c>
      <c r="M145" t="s">
        <v>817</v>
      </c>
      <c r="N145" t="e">
        <f t="shared" si="11"/>
        <v>#N/A</v>
      </c>
    </row>
    <row r="146" spans="1:14" x14ac:dyDescent="0.45">
      <c r="A146" s="420" t="b">
        <v>0</v>
      </c>
      <c r="B146" s="3">
        <v>59</v>
      </c>
      <c r="C146" s="414" t="s">
        <v>284</v>
      </c>
      <c r="D146" s="2" t="s">
        <v>52</v>
      </c>
      <c r="E146" s="2" t="s">
        <v>285</v>
      </c>
      <c r="F146" s="418" t="s">
        <v>190</v>
      </c>
      <c r="G146" s="3"/>
      <c r="H146" s="3"/>
      <c r="I146" s="3">
        <v>168</v>
      </c>
      <c r="J146" t="str">
        <f t="shared" si="10"/>
        <v>居捕送小手</v>
      </c>
      <c r="M146" t="s">
        <v>818</v>
      </c>
      <c r="N146" t="e">
        <f t="shared" si="11"/>
        <v>#N/A</v>
      </c>
    </row>
    <row r="147" spans="1:14" x14ac:dyDescent="0.45">
      <c r="A147" s="420" t="b">
        <v>0</v>
      </c>
      <c r="B147" s="3">
        <v>60</v>
      </c>
      <c r="C147" s="414" t="s">
        <v>286</v>
      </c>
      <c r="D147" s="2" t="s">
        <v>52</v>
      </c>
      <c r="E147" s="2" t="s">
        <v>285</v>
      </c>
      <c r="F147" s="418" t="s">
        <v>207</v>
      </c>
      <c r="G147" s="3"/>
      <c r="H147" s="3"/>
      <c r="I147" s="3">
        <v>160</v>
      </c>
      <c r="J147" t="str">
        <f t="shared" si="10"/>
        <v>居捕逆小手</v>
      </c>
      <c r="M147" t="s">
        <v>349</v>
      </c>
      <c r="N147" t="e">
        <f t="shared" si="11"/>
        <v>#N/A</v>
      </c>
    </row>
    <row r="148" spans="1:14" x14ac:dyDescent="0.45">
      <c r="A148" s="420" t="b">
        <v>0</v>
      </c>
      <c r="B148" s="3">
        <v>61</v>
      </c>
      <c r="C148" s="414" t="s">
        <v>287</v>
      </c>
      <c r="D148" s="2" t="s">
        <v>52</v>
      </c>
      <c r="E148" s="2" t="s">
        <v>288</v>
      </c>
      <c r="F148" s="418" t="s">
        <v>190</v>
      </c>
      <c r="G148" s="3"/>
      <c r="H148" s="3"/>
      <c r="I148" s="3"/>
      <c r="J148" t="str">
        <f t="shared" si="10"/>
        <v>居捕押小手</v>
      </c>
      <c r="M148" t="s">
        <v>352</v>
      </c>
      <c r="N148" t="e">
        <f t="shared" si="11"/>
        <v>#N/A</v>
      </c>
    </row>
    <row r="149" spans="1:14" x14ac:dyDescent="0.45">
      <c r="M149" t="s">
        <v>327</v>
      </c>
      <c r="N149" t="e">
        <f t="shared" si="11"/>
        <v>#N/A</v>
      </c>
    </row>
    <row r="150" spans="1:14" x14ac:dyDescent="0.45">
      <c r="A150">
        <f>COUNTIF(A151:A166,TRUE)</f>
        <v>1</v>
      </c>
      <c r="B150" s="6"/>
      <c r="C150" s="6" t="s">
        <v>289</v>
      </c>
      <c r="D150" s="6"/>
      <c r="E150" s="5" t="s">
        <v>1</v>
      </c>
      <c r="F150" s="5" t="s">
        <v>2</v>
      </c>
      <c r="G150" s="6" t="s">
        <v>3</v>
      </c>
      <c r="H150" s="6" t="s">
        <v>4</v>
      </c>
      <c r="I150" s="6" t="s">
        <v>5</v>
      </c>
      <c r="M150" t="s">
        <v>336</v>
      </c>
      <c r="N150" t="e">
        <f t="shared" si="11"/>
        <v>#N/A</v>
      </c>
    </row>
    <row r="151" spans="1:14" x14ac:dyDescent="0.45">
      <c r="A151" s="420" t="b">
        <v>0</v>
      </c>
      <c r="B151" s="3">
        <v>1</v>
      </c>
      <c r="C151" s="414" t="s">
        <v>290</v>
      </c>
      <c r="D151" s="2" t="s">
        <v>291</v>
      </c>
      <c r="E151" s="2" t="s">
        <v>60</v>
      </c>
      <c r="F151" s="418" t="s">
        <v>292</v>
      </c>
      <c r="G151" s="414">
        <v>268</v>
      </c>
      <c r="H151" s="3"/>
      <c r="I151" s="3">
        <v>226</v>
      </c>
      <c r="J151" t="str">
        <f t="shared" ref="J151:J166" si="12">VLOOKUP(C151,M:M,1,FALSE)</f>
        <v>上受投</v>
      </c>
      <c r="M151" t="s">
        <v>547</v>
      </c>
      <c r="N151" t="e">
        <f t="shared" si="11"/>
        <v>#N/A</v>
      </c>
    </row>
    <row r="152" spans="1:14" x14ac:dyDescent="0.45">
      <c r="A152" s="420" t="b">
        <v>0</v>
      </c>
      <c r="B152" s="3">
        <v>2</v>
      </c>
      <c r="C152" s="414" t="s">
        <v>293</v>
      </c>
      <c r="D152" s="2" t="s">
        <v>291</v>
      </c>
      <c r="E152" s="2" t="s">
        <v>60</v>
      </c>
      <c r="F152" s="418" t="s">
        <v>294</v>
      </c>
      <c r="G152" s="414">
        <v>269</v>
      </c>
      <c r="H152" s="3"/>
      <c r="I152" s="3"/>
      <c r="J152" t="str">
        <f t="shared" si="12"/>
        <v>上受逆手投</v>
      </c>
      <c r="M152" t="s">
        <v>342</v>
      </c>
      <c r="N152" t="e">
        <f t="shared" si="11"/>
        <v>#N/A</v>
      </c>
    </row>
    <row r="153" spans="1:14" x14ac:dyDescent="0.45">
      <c r="A153" s="420" t="b">
        <v>0</v>
      </c>
      <c r="B153" s="3">
        <v>3</v>
      </c>
      <c r="C153" s="3" t="s">
        <v>295</v>
      </c>
      <c r="D153" s="2" t="s">
        <v>52</v>
      </c>
      <c r="E153" s="2" t="s">
        <v>60</v>
      </c>
      <c r="F153" s="418" t="s">
        <v>296</v>
      </c>
      <c r="G153" s="414">
        <v>269</v>
      </c>
      <c r="H153" s="3"/>
      <c r="I153" s="3"/>
      <c r="J153" t="str">
        <f t="shared" si="12"/>
        <v>上受背投</v>
      </c>
      <c r="M153" t="s">
        <v>328</v>
      </c>
      <c r="N153" t="str">
        <f t="shared" si="11"/>
        <v>送天秤捕(二種)</v>
      </c>
    </row>
    <row r="154" spans="1:14" x14ac:dyDescent="0.45">
      <c r="A154" s="420" t="b">
        <v>0</v>
      </c>
      <c r="B154" s="3">
        <v>4</v>
      </c>
      <c r="C154" s="414" t="s">
        <v>297</v>
      </c>
      <c r="D154" s="2" t="s">
        <v>200</v>
      </c>
      <c r="E154" s="2" t="s">
        <v>60</v>
      </c>
      <c r="F154" s="418" t="s">
        <v>298</v>
      </c>
      <c r="G154" s="414">
        <v>270</v>
      </c>
      <c r="H154" s="3"/>
      <c r="I154" s="3">
        <v>240</v>
      </c>
      <c r="J154" t="str">
        <f t="shared" si="12"/>
        <v>押受投</v>
      </c>
      <c r="M154" t="s">
        <v>339</v>
      </c>
      <c r="N154" t="str">
        <f t="shared" si="11"/>
        <v>立一字固（諸手逆小手）</v>
      </c>
    </row>
    <row r="155" spans="1:14" x14ac:dyDescent="0.45">
      <c r="A155" s="420" t="b">
        <v>0</v>
      </c>
      <c r="B155" s="3">
        <v>5</v>
      </c>
      <c r="C155" s="414" t="s">
        <v>299</v>
      </c>
      <c r="D155" s="2" t="s">
        <v>200</v>
      </c>
      <c r="E155" s="2" t="s">
        <v>60</v>
      </c>
      <c r="F155" s="418" t="s">
        <v>298</v>
      </c>
      <c r="G155" s="414">
        <v>270</v>
      </c>
      <c r="H155" s="3"/>
      <c r="I155" s="3"/>
      <c r="J155" t="str">
        <f t="shared" si="12"/>
        <v>押受巻投</v>
      </c>
      <c r="M155" t="s">
        <v>340</v>
      </c>
      <c r="N155" t="str">
        <f t="shared" si="11"/>
        <v>背越一字固（諸手逆小手）</v>
      </c>
    </row>
    <row r="156" spans="1:14" x14ac:dyDescent="0.45">
      <c r="A156" s="420" t="b">
        <v>0</v>
      </c>
      <c r="B156" s="3">
        <v>6</v>
      </c>
      <c r="C156" s="414" t="s">
        <v>300</v>
      </c>
      <c r="D156" s="2" t="s">
        <v>52</v>
      </c>
      <c r="E156" s="2" t="s">
        <v>192</v>
      </c>
      <c r="F156" s="418" t="s">
        <v>232</v>
      </c>
      <c r="G156" s="414">
        <v>271</v>
      </c>
      <c r="H156" s="3"/>
      <c r="I156" s="3">
        <v>228</v>
      </c>
      <c r="J156" t="str">
        <f t="shared" si="12"/>
        <v>片手投</v>
      </c>
      <c r="M156" t="s">
        <v>346</v>
      </c>
      <c r="N156" t="str">
        <f t="shared" si="11"/>
        <v>吊上捕</v>
      </c>
    </row>
    <row r="157" spans="1:14" x14ac:dyDescent="0.45">
      <c r="A157" s="420" t="b">
        <v>0</v>
      </c>
      <c r="B157" s="3">
        <v>7</v>
      </c>
      <c r="C157" s="414" t="s">
        <v>301</v>
      </c>
      <c r="D157" s="2" t="s">
        <v>52</v>
      </c>
      <c r="E157" s="2" t="s">
        <v>189</v>
      </c>
      <c r="F157" s="418" t="s">
        <v>190</v>
      </c>
      <c r="G157" s="414">
        <v>272</v>
      </c>
      <c r="H157" s="3"/>
      <c r="I157" s="3">
        <v>230</v>
      </c>
      <c r="J157" t="str">
        <f t="shared" si="12"/>
        <v>送片手投</v>
      </c>
      <c r="M157" t="s">
        <v>350</v>
      </c>
      <c r="N157" t="str">
        <f t="shared" si="11"/>
        <v>吊上裏固（縛法）</v>
      </c>
    </row>
    <row r="158" spans="1:14" x14ac:dyDescent="0.45">
      <c r="A158" s="420" t="b">
        <v>0</v>
      </c>
      <c r="B158" s="3">
        <v>8</v>
      </c>
      <c r="C158" s="414" t="s">
        <v>302</v>
      </c>
      <c r="D158" s="2" t="s">
        <v>52</v>
      </c>
      <c r="E158" s="2" t="s">
        <v>192</v>
      </c>
      <c r="F158" s="418" t="s">
        <v>207</v>
      </c>
      <c r="G158" s="414">
        <v>272</v>
      </c>
      <c r="H158" s="3"/>
      <c r="I158" s="3"/>
      <c r="J158" t="str">
        <f t="shared" si="12"/>
        <v>逆片手投</v>
      </c>
      <c r="M158" t="s">
        <v>351</v>
      </c>
      <c r="N158" t="str">
        <f t="shared" si="11"/>
        <v>蜘蛛絡（諸手逆小手）</v>
      </c>
    </row>
    <row r="159" spans="1:14" x14ac:dyDescent="0.45">
      <c r="A159" s="420" t="b">
        <v>0</v>
      </c>
      <c r="B159" s="3">
        <v>9</v>
      </c>
      <c r="C159" s="414" t="s">
        <v>303</v>
      </c>
      <c r="D159" s="2" t="s">
        <v>52</v>
      </c>
      <c r="E159" s="2" t="s">
        <v>192</v>
      </c>
      <c r="F159" s="418" t="s">
        <v>190</v>
      </c>
      <c r="G159" s="414">
        <v>273</v>
      </c>
      <c r="H159" s="3"/>
      <c r="I159" s="3"/>
      <c r="J159" t="str">
        <f t="shared" si="12"/>
        <v>両手片手投</v>
      </c>
      <c r="M159" t="s">
        <v>353</v>
      </c>
      <c r="N159" t="str">
        <f t="shared" si="11"/>
        <v>裏合掌固（腕十字～立合掌～）</v>
      </c>
    </row>
    <row r="160" spans="1:14" x14ac:dyDescent="0.45">
      <c r="A160" s="420" t="b">
        <v>0</v>
      </c>
      <c r="B160" s="3">
        <v>10</v>
      </c>
      <c r="C160" s="414" t="s">
        <v>304</v>
      </c>
      <c r="D160" s="2" t="s">
        <v>52</v>
      </c>
      <c r="E160" s="2" t="s">
        <v>189</v>
      </c>
      <c r="F160" s="418" t="s">
        <v>205</v>
      </c>
      <c r="G160" s="414">
        <v>273</v>
      </c>
      <c r="H160" s="3"/>
      <c r="I160" s="3">
        <v>232</v>
      </c>
      <c r="J160" t="str">
        <f t="shared" si="12"/>
        <v>諸手片手投</v>
      </c>
      <c r="M160" t="s">
        <v>354</v>
      </c>
      <c r="N160" t="str">
        <f t="shared" si="11"/>
        <v>裏膝固（縛法）</v>
      </c>
    </row>
    <row r="161" spans="1:14" x14ac:dyDescent="0.45">
      <c r="A161" s="420" t="b">
        <v>0</v>
      </c>
      <c r="B161" s="3">
        <v>11</v>
      </c>
      <c r="C161" s="414" t="s">
        <v>305</v>
      </c>
      <c r="D161" s="2" t="s">
        <v>200</v>
      </c>
      <c r="E161" s="2" t="s">
        <v>277</v>
      </c>
      <c r="F161" s="418" t="s">
        <v>213</v>
      </c>
      <c r="G161" s="414">
        <v>273</v>
      </c>
      <c r="H161" s="3"/>
      <c r="I161" s="3"/>
      <c r="J161" t="str">
        <f t="shared" si="12"/>
        <v>合掌片手投</v>
      </c>
      <c r="M161" t="s">
        <v>357</v>
      </c>
      <c r="N161" t="str">
        <f t="shared" si="11"/>
        <v>龍固（龍投）</v>
      </c>
    </row>
    <row r="162" spans="1:14" x14ac:dyDescent="0.45">
      <c r="A162" s="420" t="b">
        <v>0</v>
      </c>
      <c r="B162" s="3">
        <v>16</v>
      </c>
      <c r="C162" s="414" t="s">
        <v>311</v>
      </c>
      <c r="D162" s="2" t="s">
        <v>200</v>
      </c>
      <c r="E162" s="2" t="s">
        <v>312</v>
      </c>
      <c r="F162" s="418" t="s">
        <v>232</v>
      </c>
      <c r="G162" s="414">
        <v>274</v>
      </c>
      <c r="H162" s="3"/>
      <c r="I162" s="3"/>
      <c r="J162" t="str">
        <f t="shared" si="12"/>
        <v>閂外天秤</v>
      </c>
      <c r="M162" t="s">
        <v>841</v>
      </c>
      <c r="N162" t="e">
        <f t="shared" si="11"/>
        <v>#N/A</v>
      </c>
    </row>
    <row r="163" spans="1:14" x14ac:dyDescent="0.45">
      <c r="A163" s="420" t="b">
        <v>1</v>
      </c>
      <c r="B163" s="3">
        <v>23</v>
      </c>
      <c r="C163" s="414" t="s">
        <v>319</v>
      </c>
      <c r="D163" s="2" t="s">
        <v>291</v>
      </c>
      <c r="E163" s="2" t="s">
        <v>320</v>
      </c>
      <c r="F163" s="418" t="s">
        <v>232</v>
      </c>
      <c r="G163" s="414">
        <v>277</v>
      </c>
      <c r="H163" s="3"/>
      <c r="I163" s="3"/>
      <c r="J163" t="str">
        <f t="shared" si="12"/>
        <v>引天秤</v>
      </c>
      <c r="M163" t="s">
        <v>318</v>
      </c>
      <c r="N163" t="e">
        <f t="shared" si="11"/>
        <v>#N/A</v>
      </c>
    </row>
    <row r="164" spans="1:14" x14ac:dyDescent="0.45">
      <c r="A164" s="420" t="b">
        <v>0</v>
      </c>
      <c r="B164" s="3">
        <v>24</v>
      </c>
      <c r="C164" s="414" t="s">
        <v>321</v>
      </c>
      <c r="D164" s="2" t="s">
        <v>200</v>
      </c>
      <c r="E164" s="2" t="s">
        <v>753</v>
      </c>
      <c r="F164" s="418" t="s">
        <v>43</v>
      </c>
      <c r="G164" s="414">
        <v>278</v>
      </c>
      <c r="H164" s="3"/>
      <c r="I164" s="3">
        <v>234</v>
      </c>
      <c r="J164" t="str">
        <f t="shared" si="12"/>
        <v>天秤投</v>
      </c>
      <c r="M164" t="s">
        <v>820</v>
      </c>
      <c r="N164" t="e">
        <f t="shared" si="11"/>
        <v>#N/A</v>
      </c>
    </row>
    <row r="165" spans="1:14" x14ac:dyDescent="0.45">
      <c r="A165" s="420" t="b">
        <v>0</v>
      </c>
      <c r="B165" s="3">
        <v>25</v>
      </c>
      <c r="C165" s="414" t="s">
        <v>322</v>
      </c>
      <c r="D165" s="2" t="s">
        <v>291</v>
      </c>
      <c r="E165" s="2" t="s">
        <v>192</v>
      </c>
      <c r="F165" s="418" t="s">
        <v>207</v>
      </c>
      <c r="G165" s="414">
        <v>278</v>
      </c>
      <c r="H165" s="3"/>
      <c r="I165" s="3"/>
      <c r="J165" t="str">
        <f t="shared" si="12"/>
        <v>逆引天秤</v>
      </c>
      <c r="M165" t="s">
        <v>846</v>
      </c>
      <c r="N165" t="e">
        <f t="shared" si="11"/>
        <v>#N/A</v>
      </c>
    </row>
    <row r="166" spans="1:14" x14ac:dyDescent="0.45">
      <c r="A166" s="420" t="b">
        <v>0</v>
      </c>
      <c r="B166" s="3">
        <v>26</v>
      </c>
      <c r="C166" s="414" t="s">
        <v>323</v>
      </c>
      <c r="D166" s="2" t="s">
        <v>52</v>
      </c>
      <c r="E166" s="2" t="s">
        <v>277</v>
      </c>
      <c r="F166" s="418" t="s">
        <v>213</v>
      </c>
      <c r="G166" s="414">
        <v>278</v>
      </c>
      <c r="H166" s="3"/>
      <c r="I166" s="3"/>
      <c r="J166" t="str">
        <f t="shared" si="12"/>
        <v>合掌引天秤</v>
      </c>
      <c r="M166" t="s">
        <v>222</v>
      </c>
      <c r="N166" t="str">
        <f t="shared" si="11"/>
        <v>龍投</v>
      </c>
    </row>
    <row r="168" spans="1:14" x14ac:dyDescent="0.45">
      <c r="A168">
        <f>COUNTIF(A169:A186,TRUE)</f>
        <v>1</v>
      </c>
      <c r="B168" s="6"/>
      <c r="C168" s="6" t="s">
        <v>324</v>
      </c>
      <c r="D168" s="6"/>
      <c r="E168" s="5" t="s">
        <v>1</v>
      </c>
      <c r="F168" s="5" t="s">
        <v>2</v>
      </c>
      <c r="G168" s="6" t="s">
        <v>3</v>
      </c>
      <c r="H168" s="6" t="s">
        <v>4</v>
      </c>
      <c r="I168" s="6" t="s">
        <v>5</v>
      </c>
    </row>
    <row r="169" spans="1:14" x14ac:dyDescent="0.45">
      <c r="A169" s="420" t="b">
        <v>1</v>
      </c>
      <c r="B169" s="3">
        <v>1</v>
      </c>
      <c r="C169" s="414" t="s">
        <v>328</v>
      </c>
      <c r="D169" s="2" t="s">
        <v>41</v>
      </c>
      <c r="E169" s="2" t="s">
        <v>329</v>
      </c>
      <c r="F169" s="418" t="s">
        <v>232</v>
      </c>
      <c r="G169" s="414">
        <v>286</v>
      </c>
      <c r="H169" s="3"/>
      <c r="I169" s="3"/>
      <c r="J169" t="str">
        <f t="shared" ref="J169:J186" si="13">VLOOKUP(C169,M:M,1,FALSE)</f>
        <v>送天秤捕(二種)</v>
      </c>
    </row>
    <row r="170" spans="1:14" x14ac:dyDescent="0.45">
      <c r="A170" s="420" t="b">
        <v>0</v>
      </c>
      <c r="B170" s="3">
        <v>2</v>
      </c>
      <c r="C170" s="414" t="s">
        <v>330</v>
      </c>
      <c r="D170" s="2" t="s">
        <v>41</v>
      </c>
      <c r="E170" s="2" t="s">
        <v>189</v>
      </c>
      <c r="F170" s="418" t="s">
        <v>190</v>
      </c>
      <c r="G170" s="414">
        <v>286</v>
      </c>
      <c r="H170" s="3"/>
      <c r="I170" s="3"/>
      <c r="J170" t="e">
        <f t="shared" si="13"/>
        <v>#N/A</v>
      </c>
    </row>
    <row r="171" spans="1:14" x14ac:dyDescent="0.45">
      <c r="A171" s="420" t="b">
        <v>0</v>
      </c>
      <c r="B171" s="3">
        <v>3</v>
      </c>
      <c r="C171" s="414" t="s">
        <v>331</v>
      </c>
      <c r="D171" s="2" t="s">
        <v>200</v>
      </c>
      <c r="E171" s="2" t="s">
        <v>312</v>
      </c>
      <c r="F171" s="418" t="s">
        <v>232</v>
      </c>
      <c r="G171" s="414">
        <v>286</v>
      </c>
      <c r="H171" s="3"/>
      <c r="I171" s="3"/>
      <c r="J171" t="str">
        <f t="shared" si="13"/>
        <v>閂送(捕)</v>
      </c>
    </row>
    <row r="172" spans="1:14" x14ac:dyDescent="0.45">
      <c r="A172" s="420" t="b">
        <v>0</v>
      </c>
      <c r="B172" s="3">
        <v>4</v>
      </c>
      <c r="C172" s="414" t="s">
        <v>333</v>
      </c>
      <c r="D172" s="2" t="s">
        <v>52</v>
      </c>
      <c r="E172" s="2" t="s">
        <v>334</v>
      </c>
      <c r="F172" s="2" t="s">
        <v>335</v>
      </c>
      <c r="G172" s="414">
        <v>287</v>
      </c>
      <c r="H172" s="3"/>
      <c r="I172" s="3"/>
      <c r="J172" t="e">
        <f t="shared" si="13"/>
        <v>#N/A</v>
      </c>
    </row>
    <row r="173" spans="1:14" x14ac:dyDescent="0.45">
      <c r="A173" s="420" t="b">
        <v>0</v>
      </c>
      <c r="B173" s="3">
        <v>5</v>
      </c>
      <c r="C173" s="414" t="s">
        <v>337</v>
      </c>
      <c r="D173" s="2" t="s">
        <v>200</v>
      </c>
      <c r="E173" s="2"/>
      <c r="F173" s="418"/>
      <c r="G173" s="414">
        <v>287</v>
      </c>
      <c r="H173" s="3"/>
      <c r="I173" s="3"/>
      <c r="J173" t="e">
        <f t="shared" si="13"/>
        <v>#N/A</v>
      </c>
    </row>
    <row r="174" spans="1:14" x14ac:dyDescent="0.45">
      <c r="A174" s="420" t="b">
        <v>0</v>
      </c>
      <c r="B174" s="3">
        <v>6</v>
      </c>
      <c r="C174" s="414" t="s">
        <v>339</v>
      </c>
      <c r="D174" s="2" t="s">
        <v>41</v>
      </c>
      <c r="E174" s="2" t="s">
        <v>189</v>
      </c>
      <c r="F174" s="418" t="s">
        <v>205</v>
      </c>
      <c r="G174" s="414">
        <v>288</v>
      </c>
      <c r="H174" s="3"/>
      <c r="I174" s="3"/>
      <c r="J174" t="str">
        <f t="shared" si="13"/>
        <v>立一字固（諸手逆小手）</v>
      </c>
    </row>
    <row r="175" spans="1:14" x14ac:dyDescent="0.45">
      <c r="A175" s="420" t="b">
        <v>0</v>
      </c>
      <c r="B175" s="3">
        <v>7</v>
      </c>
      <c r="C175" s="416" t="s">
        <v>340</v>
      </c>
      <c r="D175" s="2" t="s">
        <v>41</v>
      </c>
      <c r="E175" s="2" t="s">
        <v>189</v>
      </c>
      <c r="F175" s="418" t="s">
        <v>205</v>
      </c>
      <c r="G175" s="414">
        <v>288</v>
      </c>
      <c r="H175" s="3"/>
      <c r="I175" s="3"/>
      <c r="J175" t="str">
        <f t="shared" si="13"/>
        <v>背越一字固（諸手逆小手）</v>
      </c>
    </row>
    <row r="176" spans="1:14" x14ac:dyDescent="0.45">
      <c r="A176" s="420" t="b">
        <v>0</v>
      </c>
      <c r="B176" s="3">
        <v>8</v>
      </c>
      <c r="C176" s="3" t="s">
        <v>341</v>
      </c>
      <c r="D176" s="2" t="s">
        <v>200</v>
      </c>
      <c r="E176" s="2"/>
      <c r="F176" s="418"/>
      <c r="G176" s="414">
        <v>289</v>
      </c>
      <c r="H176" s="3"/>
      <c r="I176" s="3"/>
      <c r="J176" t="e">
        <f t="shared" si="13"/>
        <v>#N/A</v>
      </c>
    </row>
    <row r="177" spans="1:10" x14ac:dyDescent="0.45">
      <c r="A177" s="420" t="b">
        <v>0</v>
      </c>
      <c r="B177" s="3">
        <v>9</v>
      </c>
      <c r="C177" s="414" t="s">
        <v>343</v>
      </c>
      <c r="D177" s="2" t="s">
        <v>52</v>
      </c>
      <c r="E177" s="2" t="s">
        <v>344</v>
      </c>
      <c r="F177" s="2" t="s">
        <v>335</v>
      </c>
      <c r="G177" s="414">
        <v>289</v>
      </c>
      <c r="H177" s="3"/>
      <c r="I177" s="3"/>
      <c r="J177" t="e">
        <f t="shared" si="13"/>
        <v>#N/A</v>
      </c>
    </row>
    <row r="178" spans="1:10" x14ac:dyDescent="0.45">
      <c r="A178" s="420" t="b">
        <v>0</v>
      </c>
      <c r="B178" s="3">
        <v>10</v>
      </c>
      <c r="C178" s="414" t="s">
        <v>345</v>
      </c>
      <c r="D178" s="2" t="s">
        <v>200</v>
      </c>
      <c r="E178" s="2"/>
      <c r="F178" s="418"/>
      <c r="G178" s="414">
        <v>289</v>
      </c>
      <c r="H178" s="3"/>
      <c r="I178" s="3"/>
      <c r="J178" t="e">
        <f t="shared" si="13"/>
        <v>#N/A</v>
      </c>
    </row>
    <row r="179" spans="1:10" x14ac:dyDescent="0.45">
      <c r="A179" s="420" t="b">
        <v>0</v>
      </c>
      <c r="B179" s="3">
        <v>11</v>
      </c>
      <c r="C179" s="414" t="s">
        <v>346</v>
      </c>
      <c r="D179" s="2" t="s">
        <v>41</v>
      </c>
      <c r="E179" s="2" t="s">
        <v>329</v>
      </c>
      <c r="F179" s="418" t="s">
        <v>232</v>
      </c>
      <c r="G179" s="414">
        <v>290</v>
      </c>
      <c r="H179" s="3"/>
      <c r="I179" s="3"/>
      <c r="J179" t="str">
        <f t="shared" si="13"/>
        <v>吊上捕</v>
      </c>
    </row>
    <row r="180" spans="1:10" x14ac:dyDescent="0.45">
      <c r="A180" s="420" t="b">
        <v>0</v>
      </c>
      <c r="B180" s="3">
        <v>12</v>
      </c>
      <c r="C180" s="414" t="s">
        <v>350</v>
      </c>
      <c r="D180" s="2" t="s">
        <v>41</v>
      </c>
      <c r="E180" s="2" t="s">
        <v>335</v>
      </c>
      <c r="F180" s="2" t="s">
        <v>335</v>
      </c>
      <c r="G180" s="414">
        <v>290</v>
      </c>
      <c r="H180" s="3"/>
      <c r="I180" s="3"/>
      <c r="J180" t="str">
        <f t="shared" si="13"/>
        <v>吊上裏固（縛法）</v>
      </c>
    </row>
    <row r="181" spans="1:10" x14ac:dyDescent="0.45">
      <c r="A181" s="420" t="b">
        <v>0</v>
      </c>
      <c r="B181" s="3">
        <v>13</v>
      </c>
      <c r="C181" s="414" t="s">
        <v>351</v>
      </c>
      <c r="D181" s="2" t="s">
        <v>41</v>
      </c>
      <c r="E181" s="2" t="s">
        <v>189</v>
      </c>
      <c r="F181" s="418" t="s">
        <v>205</v>
      </c>
      <c r="G181" s="414">
        <v>290</v>
      </c>
      <c r="H181" s="3"/>
      <c r="I181" s="3"/>
      <c r="J181" t="str">
        <f t="shared" si="13"/>
        <v>蜘蛛絡（諸手逆小手）</v>
      </c>
    </row>
    <row r="182" spans="1:10" x14ac:dyDescent="0.45">
      <c r="A182" s="420" t="b">
        <v>0</v>
      </c>
      <c r="B182" s="3">
        <v>14</v>
      </c>
      <c r="C182" s="416" t="s">
        <v>353</v>
      </c>
      <c r="D182" s="2" t="s">
        <v>41</v>
      </c>
      <c r="E182" s="2" t="s">
        <v>335</v>
      </c>
      <c r="F182" s="2" t="s">
        <v>335</v>
      </c>
      <c r="G182" s="414">
        <v>291</v>
      </c>
      <c r="H182" s="3"/>
      <c r="I182" s="3"/>
      <c r="J182" t="str">
        <f t="shared" si="13"/>
        <v>裏合掌固（腕十字～立合掌～）</v>
      </c>
    </row>
    <row r="183" spans="1:10" x14ac:dyDescent="0.45">
      <c r="A183" s="420" t="b">
        <v>0</v>
      </c>
      <c r="B183" s="3">
        <v>15</v>
      </c>
      <c r="C183" s="414" t="s">
        <v>354</v>
      </c>
      <c r="D183" s="2" t="s">
        <v>41</v>
      </c>
      <c r="E183" s="2" t="s">
        <v>335</v>
      </c>
      <c r="F183" s="2" t="s">
        <v>335</v>
      </c>
      <c r="G183" s="414">
        <v>292</v>
      </c>
      <c r="H183" s="3"/>
      <c r="I183" s="3"/>
      <c r="J183" t="str">
        <f t="shared" si="13"/>
        <v>裏膝固（縛法）</v>
      </c>
    </row>
    <row r="184" spans="1:10" x14ac:dyDescent="0.45">
      <c r="A184" s="420" t="b">
        <v>0</v>
      </c>
      <c r="B184" s="3">
        <v>16</v>
      </c>
      <c r="C184" s="414" t="s">
        <v>355</v>
      </c>
      <c r="D184" s="2" t="s">
        <v>52</v>
      </c>
      <c r="E184" s="2" t="s">
        <v>356</v>
      </c>
      <c r="F184" s="2" t="s">
        <v>335</v>
      </c>
      <c r="G184" s="414">
        <v>292</v>
      </c>
      <c r="H184" s="3"/>
      <c r="I184" s="3"/>
      <c r="J184" t="str">
        <f t="shared" si="13"/>
        <v>合掌送捕</v>
      </c>
    </row>
    <row r="185" spans="1:10" x14ac:dyDescent="0.45">
      <c r="A185" s="420" t="b">
        <v>0</v>
      </c>
      <c r="B185" s="3">
        <v>17</v>
      </c>
      <c r="C185" s="414" t="s">
        <v>357</v>
      </c>
      <c r="D185" s="2" t="s">
        <v>41</v>
      </c>
      <c r="E185" s="2" t="s">
        <v>335</v>
      </c>
      <c r="F185" s="2" t="s">
        <v>335</v>
      </c>
      <c r="G185" s="414">
        <v>292</v>
      </c>
      <c r="H185" s="3"/>
      <c r="I185" s="3"/>
      <c r="J185" t="str">
        <f t="shared" si="13"/>
        <v>龍固（龍投）</v>
      </c>
    </row>
    <row r="186" spans="1:10" x14ac:dyDescent="0.45">
      <c r="A186" s="420" t="b">
        <v>0</v>
      </c>
      <c r="B186" s="3">
        <v>18</v>
      </c>
      <c r="C186" s="414" t="s">
        <v>359</v>
      </c>
      <c r="D186" s="2" t="s">
        <v>52</v>
      </c>
      <c r="E186" s="2" t="s">
        <v>334</v>
      </c>
      <c r="F186" s="2" t="s">
        <v>335</v>
      </c>
      <c r="G186" s="3"/>
      <c r="H186" s="3"/>
      <c r="I186" s="3"/>
      <c r="J186" t="e">
        <f t="shared" si="13"/>
        <v>#N/A</v>
      </c>
    </row>
    <row r="188" spans="1:10" x14ac:dyDescent="0.45">
      <c r="A188">
        <f>COUNTIF(A189:A213,TRUE)</f>
        <v>6</v>
      </c>
      <c r="B188" s="6"/>
      <c r="C188" s="6" t="s">
        <v>360</v>
      </c>
      <c r="D188" s="6"/>
      <c r="E188" s="5" t="s">
        <v>1</v>
      </c>
      <c r="F188" s="5" t="s">
        <v>2</v>
      </c>
      <c r="G188" s="6" t="s">
        <v>3</v>
      </c>
      <c r="H188" s="6" t="s">
        <v>4</v>
      </c>
      <c r="I188" s="6" t="s">
        <v>5</v>
      </c>
    </row>
    <row r="189" spans="1:10" x14ac:dyDescent="0.45">
      <c r="A189" s="420" t="b">
        <v>1</v>
      </c>
      <c r="B189" s="3">
        <v>1</v>
      </c>
      <c r="C189" s="414" t="s">
        <v>366</v>
      </c>
      <c r="D189" s="2" t="s">
        <v>52</v>
      </c>
      <c r="E189" s="2" t="s">
        <v>367</v>
      </c>
      <c r="F189" s="418" t="s">
        <v>368</v>
      </c>
      <c r="G189" s="414">
        <v>298</v>
      </c>
      <c r="H189" s="3"/>
      <c r="I189" s="3"/>
      <c r="J189" t="str">
        <f t="shared" ref="J189:J213" si="14">VLOOKUP(C189,M:M,1,FALSE)</f>
        <v>袖口捕</v>
      </c>
    </row>
    <row r="190" spans="1:10" x14ac:dyDescent="0.45">
      <c r="A190" s="420" t="b">
        <v>1</v>
      </c>
      <c r="B190" s="3">
        <v>2</v>
      </c>
      <c r="C190" s="414" t="s">
        <v>369</v>
      </c>
      <c r="D190" s="2" t="s">
        <v>52</v>
      </c>
      <c r="E190" s="2" t="s">
        <v>367</v>
      </c>
      <c r="F190" s="418" t="s">
        <v>370</v>
      </c>
      <c r="G190" s="414">
        <v>298</v>
      </c>
      <c r="H190" s="3"/>
      <c r="I190" s="3"/>
      <c r="J190" t="str">
        <f t="shared" si="14"/>
        <v>袖口巻</v>
      </c>
    </row>
    <row r="191" spans="1:10" x14ac:dyDescent="0.45">
      <c r="A191" s="420" t="b">
        <v>1</v>
      </c>
      <c r="B191" s="3">
        <v>3</v>
      </c>
      <c r="C191" s="414" t="s">
        <v>372</v>
      </c>
      <c r="D191" s="2" t="s">
        <v>200</v>
      </c>
      <c r="E191" s="2"/>
      <c r="F191" s="418"/>
      <c r="G191" s="414">
        <v>298</v>
      </c>
      <c r="H191" s="3"/>
      <c r="I191" s="3"/>
      <c r="J191" t="str">
        <f t="shared" si="14"/>
        <v>逆袖捕</v>
      </c>
    </row>
    <row r="192" spans="1:10" x14ac:dyDescent="0.45">
      <c r="A192" s="420" t="b">
        <v>0</v>
      </c>
      <c r="B192" s="3">
        <v>4</v>
      </c>
      <c r="C192" s="414" t="s">
        <v>373</v>
      </c>
      <c r="D192" s="2" t="s">
        <v>52</v>
      </c>
      <c r="E192" s="2" t="s">
        <v>367</v>
      </c>
      <c r="F192" s="418" t="s">
        <v>374</v>
      </c>
      <c r="G192" s="414">
        <v>298</v>
      </c>
      <c r="H192" s="3"/>
      <c r="I192" s="3">
        <v>248</v>
      </c>
      <c r="J192" t="str">
        <f t="shared" si="14"/>
        <v>袖巻返</v>
      </c>
    </row>
    <row r="193" spans="1:10" x14ac:dyDescent="0.45">
      <c r="A193" s="420" t="b">
        <v>0</v>
      </c>
      <c r="B193" s="3">
        <v>5</v>
      </c>
      <c r="C193" s="414" t="s">
        <v>376</v>
      </c>
      <c r="D193" s="2" t="s">
        <v>200</v>
      </c>
      <c r="E193" s="2"/>
      <c r="F193" s="418"/>
      <c r="G193" s="414">
        <v>300</v>
      </c>
      <c r="H193" s="3"/>
      <c r="I193" s="3"/>
      <c r="J193" t="str">
        <f t="shared" si="14"/>
        <v>後袖巻(捕)</v>
      </c>
    </row>
    <row r="194" spans="1:10" x14ac:dyDescent="0.45">
      <c r="A194" s="420" t="b">
        <v>0</v>
      </c>
      <c r="B194" s="3">
        <v>6</v>
      </c>
      <c r="C194" s="414" t="s">
        <v>382</v>
      </c>
      <c r="D194" s="2" t="s">
        <v>41</v>
      </c>
      <c r="E194" s="2" t="s">
        <v>367</v>
      </c>
      <c r="F194" s="418" t="s">
        <v>383</v>
      </c>
      <c r="G194" s="414">
        <v>302</v>
      </c>
      <c r="H194" s="3"/>
      <c r="I194" s="3"/>
      <c r="J194" t="str">
        <f t="shared" si="14"/>
        <v>引胸落</v>
      </c>
    </row>
    <row r="195" spans="1:10" x14ac:dyDescent="0.45">
      <c r="A195" s="420" t="b">
        <v>0</v>
      </c>
      <c r="B195" s="3">
        <v>7</v>
      </c>
      <c r="C195" s="414" t="s">
        <v>384</v>
      </c>
      <c r="D195" s="2" t="s">
        <v>41</v>
      </c>
      <c r="E195" s="2" t="s">
        <v>385</v>
      </c>
      <c r="F195" s="418" t="s">
        <v>386</v>
      </c>
      <c r="G195" s="414">
        <v>302</v>
      </c>
      <c r="H195" s="3"/>
      <c r="I195" s="3"/>
      <c r="J195" t="str">
        <f t="shared" si="14"/>
        <v>両胸落</v>
      </c>
    </row>
    <row r="196" spans="1:10" x14ac:dyDescent="0.45">
      <c r="A196" s="420" t="b">
        <v>0</v>
      </c>
      <c r="B196" s="3">
        <v>8</v>
      </c>
      <c r="C196" s="414" t="s">
        <v>388</v>
      </c>
      <c r="D196" s="2" t="s">
        <v>41</v>
      </c>
      <c r="E196" s="2" t="s">
        <v>367</v>
      </c>
      <c r="F196" s="418" t="s">
        <v>383</v>
      </c>
      <c r="G196" s="414">
        <v>302</v>
      </c>
      <c r="H196" s="3"/>
      <c r="I196" s="3">
        <v>246</v>
      </c>
      <c r="J196" t="str">
        <f t="shared" si="14"/>
        <v>巻落</v>
      </c>
    </row>
    <row r="197" spans="1:10" x14ac:dyDescent="0.45">
      <c r="A197" s="420" t="b">
        <v>0</v>
      </c>
      <c r="B197" s="3">
        <v>9</v>
      </c>
      <c r="C197" s="414" t="s">
        <v>389</v>
      </c>
      <c r="D197" s="2" t="s">
        <v>41</v>
      </c>
      <c r="E197" s="2" t="s">
        <v>385</v>
      </c>
      <c r="F197" s="418" t="s">
        <v>390</v>
      </c>
      <c r="G197" s="414">
        <v>302</v>
      </c>
      <c r="H197" s="3"/>
      <c r="I197" s="3"/>
      <c r="J197" t="str">
        <f t="shared" si="14"/>
        <v>外巻落</v>
      </c>
    </row>
    <row r="198" spans="1:10" x14ac:dyDescent="0.45">
      <c r="A198" s="420" t="b">
        <v>0</v>
      </c>
      <c r="B198" s="3">
        <v>10</v>
      </c>
      <c r="C198" s="414" t="s">
        <v>392</v>
      </c>
      <c r="D198" s="2" t="s">
        <v>200</v>
      </c>
      <c r="E198" s="2"/>
      <c r="F198" s="418"/>
      <c r="G198" s="414">
        <v>303</v>
      </c>
      <c r="H198" s="3"/>
      <c r="I198" s="3"/>
      <c r="J198" t="str">
        <f t="shared" si="14"/>
        <v>送襟捕</v>
      </c>
    </row>
    <row r="199" spans="1:10" x14ac:dyDescent="0.45">
      <c r="A199" s="420" t="b">
        <v>0</v>
      </c>
      <c r="B199" s="3">
        <v>11</v>
      </c>
      <c r="C199" s="414" t="s">
        <v>395</v>
      </c>
      <c r="D199" s="2" t="s">
        <v>200</v>
      </c>
      <c r="E199" s="2" t="s">
        <v>396</v>
      </c>
      <c r="F199" s="418" t="s">
        <v>397</v>
      </c>
      <c r="G199" s="414">
        <v>303</v>
      </c>
      <c r="H199" s="3"/>
      <c r="I199" s="3"/>
      <c r="J199" t="str">
        <f t="shared" si="14"/>
        <v>後襟捕(表)</v>
      </c>
    </row>
    <row r="200" spans="1:10" x14ac:dyDescent="0.45">
      <c r="A200" s="420" t="b">
        <v>0</v>
      </c>
      <c r="B200" s="3">
        <v>12</v>
      </c>
      <c r="C200" s="414" t="s">
        <v>398</v>
      </c>
      <c r="D200" s="2" t="s">
        <v>200</v>
      </c>
      <c r="E200" s="2" t="s">
        <v>396</v>
      </c>
      <c r="F200" s="418" t="s">
        <v>397</v>
      </c>
      <c r="G200" s="414">
        <v>303</v>
      </c>
      <c r="H200" s="3"/>
      <c r="I200" s="3"/>
      <c r="J200" t="str">
        <f t="shared" si="14"/>
        <v>後襟捕(裏)</v>
      </c>
    </row>
    <row r="201" spans="1:10" x14ac:dyDescent="0.45">
      <c r="A201" s="420" t="b">
        <v>0</v>
      </c>
      <c r="B201" s="3">
        <v>13</v>
      </c>
      <c r="C201" s="414" t="s">
        <v>402</v>
      </c>
      <c r="D201" s="2" t="s">
        <v>200</v>
      </c>
      <c r="E201" s="2"/>
      <c r="F201" s="418"/>
      <c r="G201" s="414">
        <v>305</v>
      </c>
      <c r="H201" s="3"/>
      <c r="I201" s="3">
        <v>250</v>
      </c>
      <c r="J201" t="str">
        <f t="shared" si="14"/>
        <v>半月首投</v>
      </c>
    </row>
    <row r="202" spans="1:10" x14ac:dyDescent="0.45">
      <c r="A202" s="420" t="b">
        <v>0</v>
      </c>
      <c r="B202" s="3">
        <v>14</v>
      </c>
      <c r="C202" s="417" t="s">
        <v>403</v>
      </c>
      <c r="D202" s="2" t="s">
        <v>200</v>
      </c>
      <c r="E202" s="2"/>
      <c r="F202" s="418"/>
      <c r="G202" s="414">
        <v>305</v>
      </c>
      <c r="H202" s="3"/>
      <c r="I202" s="3"/>
      <c r="J202" t="str">
        <f t="shared" si="14"/>
        <v>巻打首投</v>
      </c>
    </row>
    <row r="203" spans="1:10" x14ac:dyDescent="0.45">
      <c r="A203" s="420" t="b">
        <v>0</v>
      </c>
      <c r="B203" s="3">
        <v>15</v>
      </c>
      <c r="C203" s="414" t="s">
        <v>404</v>
      </c>
      <c r="D203" s="2" t="s">
        <v>52</v>
      </c>
      <c r="E203" s="2" t="s">
        <v>405</v>
      </c>
      <c r="F203" s="2" t="s">
        <v>335</v>
      </c>
      <c r="G203" s="414">
        <v>305</v>
      </c>
      <c r="H203" s="3"/>
      <c r="I203" s="3"/>
      <c r="J203" t="str">
        <f t="shared" si="14"/>
        <v>掬首投</v>
      </c>
    </row>
    <row r="204" spans="1:10" x14ac:dyDescent="0.45">
      <c r="A204" s="420" t="b">
        <v>0</v>
      </c>
      <c r="B204" s="3">
        <v>16</v>
      </c>
      <c r="C204" s="414" t="s">
        <v>406</v>
      </c>
      <c r="D204" s="2" t="s">
        <v>200</v>
      </c>
      <c r="E204" s="2" t="s">
        <v>396</v>
      </c>
      <c r="F204" s="418" t="s">
        <v>407</v>
      </c>
      <c r="G204" s="414">
        <v>306</v>
      </c>
      <c r="H204" s="3"/>
      <c r="I204" s="3">
        <v>256</v>
      </c>
      <c r="J204" t="str">
        <f t="shared" si="14"/>
        <v>矢筈投</v>
      </c>
    </row>
    <row r="205" spans="1:10" x14ac:dyDescent="0.45">
      <c r="A205" s="420" t="b">
        <v>0</v>
      </c>
      <c r="B205" s="3">
        <v>17</v>
      </c>
      <c r="C205" s="414" t="s">
        <v>408</v>
      </c>
      <c r="D205" s="2" t="s">
        <v>200</v>
      </c>
      <c r="E205" s="2" t="s">
        <v>409</v>
      </c>
      <c r="F205" s="418" t="s">
        <v>410</v>
      </c>
      <c r="G205" s="414">
        <v>306</v>
      </c>
      <c r="H205" s="3"/>
      <c r="I205" s="3"/>
      <c r="J205" t="str">
        <f t="shared" si="14"/>
        <v>首締投</v>
      </c>
    </row>
    <row r="206" spans="1:10" x14ac:dyDescent="0.45">
      <c r="A206" s="420" t="b">
        <v>0</v>
      </c>
      <c r="B206" s="3">
        <v>18</v>
      </c>
      <c r="C206" s="414" t="s">
        <v>411</v>
      </c>
      <c r="D206" s="2" t="s">
        <v>200</v>
      </c>
      <c r="E206" s="2" t="s">
        <v>409</v>
      </c>
      <c r="F206" s="418" t="s">
        <v>410</v>
      </c>
      <c r="G206" s="414">
        <v>307</v>
      </c>
      <c r="H206" s="3"/>
      <c r="I206" s="3"/>
      <c r="J206" t="str">
        <f t="shared" si="14"/>
        <v>首締守法十字投</v>
      </c>
    </row>
    <row r="207" spans="1:10" x14ac:dyDescent="0.45">
      <c r="A207" s="420" t="b">
        <v>0</v>
      </c>
      <c r="B207" s="3">
        <v>19</v>
      </c>
      <c r="C207" s="414" t="s">
        <v>412</v>
      </c>
      <c r="D207" s="2" t="s">
        <v>200</v>
      </c>
      <c r="E207" s="2"/>
      <c r="F207" s="418"/>
      <c r="G207" s="414">
        <v>307</v>
      </c>
      <c r="H207" s="3"/>
      <c r="I207" s="3"/>
      <c r="J207" t="str">
        <f t="shared" si="14"/>
        <v>拳締捕</v>
      </c>
    </row>
    <row r="208" spans="1:10" x14ac:dyDescent="0.45">
      <c r="A208" s="420" t="b">
        <v>0</v>
      </c>
      <c r="B208" s="3">
        <v>20</v>
      </c>
      <c r="C208" s="414" t="s">
        <v>413</v>
      </c>
      <c r="D208" s="2" t="s">
        <v>200</v>
      </c>
      <c r="E208" s="2" t="s">
        <v>367</v>
      </c>
      <c r="F208" s="418" t="s">
        <v>414</v>
      </c>
      <c r="G208" s="414">
        <v>307</v>
      </c>
      <c r="H208" s="3"/>
      <c r="I208" s="3">
        <v>252</v>
      </c>
      <c r="J208" t="str">
        <f t="shared" si="14"/>
        <v>表投</v>
      </c>
    </row>
    <row r="209" spans="1:10" x14ac:dyDescent="0.45">
      <c r="A209" s="420" t="b">
        <v>0</v>
      </c>
      <c r="B209" s="3">
        <v>21</v>
      </c>
      <c r="C209" s="414" t="s">
        <v>415</v>
      </c>
      <c r="D209" s="2" t="s">
        <v>200</v>
      </c>
      <c r="E209" s="2" t="s">
        <v>367</v>
      </c>
      <c r="F209" s="418" t="s">
        <v>414</v>
      </c>
      <c r="G209" s="414">
        <v>308</v>
      </c>
      <c r="H209" s="3"/>
      <c r="I209" s="3">
        <v>254</v>
      </c>
      <c r="J209" t="str">
        <f t="shared" si="14"/>
        <v>裏投</v>
      </c>
    </row>
    <row r="210" spans="1:10" x14ac:dyDescent="0.45">
      <c r="A210" s="420" t="b">
        <v>0</v>
      </c>
      <c r="B210" s="3">
        <v>22</v>
      </c>
      <c r="C210" s="3" t="s">
        <v>416</v>
      </c>
      <c r="D210" s="2" t="s">
        <v>200</v>
      </c>
      <c r="E210" s="2"/>
      <c r="F210" s="418"/>
      <c r="G210" s="414">
        <v>308</v>
      </c>
      <c r="H210" s="3"/>
      <c r="I210" s="3"/>
      <c r="J210" t="e">
        <f t="shared" si="14"/>
        <v>#N/A</v>
      </c>
    </row>
    <row r="211" spans="1:10" x14ac:dyDescent="0.45">
      <c r="A211" s="420" t="b">
        <v>1</v>
      </c>
      <c r="B211" s="3">
        <v>23</v>
      </c>
      <c r="C211" s="414" t="s">
        <v>417</v>
      </c>
      <c r="D211" s="2" t="s">
        <v>200</v>
      </c>
      <c r="E211" s="2"/>
      <c r="F211" s="418"/>
      <c r="G211" s="414">
        <v>308</v>
      </c>
      <c r="H211" s="3"/>
      <c r="I211" s="3"/>
      <c r="J211" t="str">
        <f t="shared" si="14"/>
        <v>逆袖巻</v>
      </c>
    </row>
    <row r="212" spans="1:10" x14ac:dyDescent="0.45">
      <c r="A212" s="420" t="b">
        <v>1</v>
      </c>
      <c r="B212" s="3">
        <v>24</v>
      </c>
      <c r="C212" s="414" t="s">
        <v>422</v>
      </c>
      <c r="D212" s="2" t="s">
        <v>200</v>
      </c>
      <c r="E212" s="2" t="s">
        <v>396</v>
      </c>
      <c r="F212" s="418" t="s">
        <v>397</v>
      </c>
      <c r="G212" s="414">
        <v>310</v>
      </c>
      <c r="H212" s="3"/>
      <c r="I212" s="3"/>
      <c r="J212" t="str">
        <f t="shared" si="14"/>
        <v>後首投</v>
      </c>
    </row>
    <row r="213" spans="1:10" x14ac:dyDescent="0.45">
      <c r="A213" s="420" t="b">
        <v>1</v>
      </c>
      <c r="B213" s="3">
        <v>25</v>
      </c>
      <c r="C213" s="414" t="s">
        <v>424</v>
      </c>
      <c r="D213" s="2" t="s">
        <v>52</v>
      </c>
      <c r="E213" s="2" t="s">
        <v>425</v>
      </c>
      <c r="F213" s="418" t="s">
        <v>426</v>
      </c>
      <c r="G213" s="414">
        <v>311</v>
      </c>
      <c r="H213" s="3"/>
      <c r="I213" s="3"/>
      <c r="J213" t="str">
        <f t="shared" si="14"/>
        <v>肩打投</v>
      </c>
    </row>
  </sheetData>
  <phoneticPr fontId="2"/>
  <hyperlinks>
    <hyperlink ref="C16" r:id="rId1" xr:uid="{AA880CD6-0A4F-4BE5-9631-AACC7215B06E}"/>
    <hyperlink ref="C15" r:id="rId2" xr:uid="{C6E9F78C-5DF1-43DF-A60B-F6CD9B31C2BF}"/>
    <hyperlink ref="C27" r:id="rId3" xr:uid="{5FA715B0-B6F5-40F6-9BE8-7F6BC16FCEC9}"/>
    <hyperlink ref="C33" r:id="rId4" xr:uid="{11404D49-3911-43DC-A8F3-602EA9A1AEBF}"/>
    <hyperlink ref="C26" r:id="rId5" xr:uid="{886CDF86-C841-42C7-B777-8FF2791B2FFE}"/>
    <hyperlink ref="C39" r:id="rId6" xr:uid="{2E26B058-67D3-43CF-99F9-50E22A65A7AA}"/>
    <hyperlink ref="C38" r:id="rId7" display="半月返" xr:uid="{5285A917-2A0A-4D52-BCCE-D40443F29AFD}"/>
    <hyperlink ref="C40" r:id="rId8" xr:uid="{0A501CA1-1C7B-4424-9994-0223B121F55F}"/>
    <hyperlink ref="C41" r:id="rId9" display="三日月返" xr:uid="{7CC78FAC-1213-40D6-98A5-6F1BC9C2870B}"/>
    <hyperlink ref="C44" r:id="rId10" xr:uid="{C54523A0-DA21-4B8A-80FD-17D9F6C2CD1D}"/>
    <hyperlink ref="C45" r:id="rId11" xr:uid="{B9CAA94F-6722-4792-A84B-F3F68BB0AE1D}"/>
    <hyperlink ref="C47" r:id="rId12" xr:uid="{F0AD1D0C-1BA1-4F0E-8738-2801D7C23B8B}"/>
    <hyperlink ref="C48" r:id="rId13" xr:uid="{61D49B82-FA3E-424B-9247-79847CD460D0}"/>
    <hyperlink ref="C49" r:id="rId14" xr:uid="{C2A31F51-29A6-4E62-A7CD-5B618F0BEB79}"/>
    <hyperlink ref="C2" r:id="rId15" xr:uid="{F894DAE6-36F2-4067-9DFE-498DF6C1BE36}"/>
    <hyperlink ref="C3" r:id="rId16" xr:uid="{96B0F411-D380-4B9C-B5B2-FAC70EE9040D}"/>
    <hyperlink ref="C6" r:id="rId17" xr:uid="{53E9BDA4-A7B1-4D1B-99BB-A7A3AA52ADB7}"/>
    <hyperlink ref="C7" r:id="rId18" xr:uid="{AEEB0D26-E58F-435C-AD7A-7B6CED97AD65}"/>
    <hyperlink ref="C8" r:id="rId19" xr:uid="{C1179666-977C-46BB-A0BB-EDB5E4C969E3}"/>
    <hyperlink ref="C10" r:id="rId20" xr:uid="{6D811BE2-5029-4729-86DC-20BACDEA5789}"/>
    <hyperlink ref="C11" r:id="rId21" xr:uid="{A07A56A9-0773-4F2B-929C-F1A3A4AF64AB}"/>
    <hyperlink ref="C9" r:id="rId22" xr:uid="{EBA5B762-A832-469A-B236-B40E691C82A0}"/>
    <hyperlink ref="C4" r:id="rId23" xr:uid="{1ED6561D-C9B5-4C43-B279-65FFE3BA4762}"/>
    <hyperlink ref="C54" r:id="rId24" xr:uid="{BE3FEB11-B251-426C-B927-F0210E86CF1A}"/>
    <hyperlink ref="C55" r:id="rId25" xr:uid="{1D06B112-1842-4D80-9BEF-33B3A0385FD9}"/>
    <hyperlink ref="C56" r:id="rId26" xr:uid="{7490FA8D-D555-49A2-B4B2-549E076D59B6}"/>
    <hyperlink ref="C52" r:id="rId27" xr:uid="{B98FAF9D-3D68-4A68-A419-0CD2599BD5F8}"/>
    <hyperlink ref="C53" r:id="rId28" xr:uid="{BFB0CC5E-1DE7-4DB1-A34E-AF63116CF3B3}"/>
    <hyperlink ref="C87" r:id="rId29" xr:uid="{E4405423-2420-4EA6-B559-92BBB3C83C77}"/>
    <hyperlink ref="C88" r:id="rId30" xr:uid="{926619A5-2C89-4405-B5FB-7473DA0A163C}"/>
    <hyperlink ref="C69" r:id="rId31" xr:uid="{9C486226-E6A5-441A-A23A-D4FC3A4F6130}"/>
    <hyperlink ref="C68" r:id="rId32" xr:uid="{482D2C0B-AE3A-458B-B30A-43A41D5D65A9}"/>
    <hyperlink ref="C71" r:id="rId33" xr:uid="{AE8721CE-2CD0-48F1-9BA2-74C70F9BB7F8}"/>
    <hyperlink ref="C81" r:id="rId34" xr:uid="{D77C6132-0249-4D9D-9451-6F90E1DA91E0}"/>
    <hyperlink ref="C100" r:id="rId35" xr:uid="{51AAAFDC-8EB6-46DD-BECB-BE9EC53A8AD3}"/>
    <hyperlink ref="C103" r:id="rId36" xr:uid="{362C2103-4D48-4490-B40D-8B06DB088CC8}"/>
    <hyperlink ref="C106" r:id="rId37" xr:uid="{55536DBA-FCB7-435F-A820-C0A213B2A9D1}"/>
    <hyperlink ref="C107" r:id="rId38" xr:uid="{07C93EA2-9F91-4FF1-A0CF-8E2698DECE91}"/>
    <hyperlink ref="C111" r:id="rId39" xr:uid="{E291665A-8EB1-46BE-9F17-E9B8D2791FD1}"/>
    <hyperlink ref="C117" r:id="rId40" xr:uid="{27F7CA61-0748-4AC3-A37C-7CCB8D90F844}"/>
    <hyperlink ref="C119" r:id="rId41" xr:uid="{8B797DB9-A321-45AA-9F2A-28D57779AC8B}"/>
    <hyperlink ref="C99" r:id="rId42" xr:uid="{86C65C98-134D-4953-8ED5-38548528967E}"/>
    <hyperlink ref="C110" r:id="rId43" xr:uid="{A30C8E97-1498-4D01-BE84-C72EBC5B8258}"/>
    <hyperlink ref="C113" r:id="rId44" xr:uid="{6DA4F561-FA96-488C-B6F5-3A985CC5A83B}"/>
    <hyperlink ref="C120" r:id="rId45" xr:uid="{AB3696B6-DFE6-428C-B79A-116D3418CEDD}"/>
    <hyperlink ref="C122" r:id="rId46" xr:uid="{46A5CF35-19C9-44B4-A641-BEF5E4CB7AC1}"/>
    <hyperlink ref="C123" r:id="rId47" xr:uid="{DEE796B2-2E23-4FCC-9E47-D1683926183B}"/>
    <hyperlink ref="C98" r:id="rId48" xr:uid="{C4E8E6A4-2DAB-4864-AAE7-E874A361F8DF}"/>
    <hyperlink ref="C114" r:id="rId49" xr:uid="{C55D60D5-EBEB-4AAA-9B7C-03A022E728B0}"/>
    <hyperlink ref="C115" r:id="rId50" xr:uid="{4B578E76-8EAB-41AA-B505-6A53D64C02B9}"/>
    <hyperlink ref="C116" r:id="rId51" xr:uid="{71C66D34-2486-4441-8FCA-E05C6D17C2FD}"/>
    <hyperlink ref="C105" r:id="rId52" xr:uid="{5DE2439B-B101-4D5C-93DC-6E1D9963E0DC}"/>
    <hyperlink ref="C101" r:id="rId53" xr:uid="{68A741A0-BD85-47EB-AE21-49309C3E35CC}"/>
    <hyperlink ref="C102" r:id="rId54" xr:uid="{04F4BE44-0988-4F98-B781-4FE8F5F04ED7}"/>
    <hyperlink ref="C129" r:id="rId55" xr:uid="{8EFF9F32-A1B5-4977-9B5F-DEA8BAF66F5F}"/>
    <hyperlink ref="C138" r:id="rId56" xr:uid="{D113DD70-80F2-4DB2-94D5-26E69C117F65}"/>
    <hyperlink ref="C139" r:id="rId57" xr:uid="{3E0A8DA1-8A14-4CA5-8454-56B963F462EC}"/>
    <hyperlink ref="C124" r:id="rId58" xr:uid="{EE7B917B-ED52-46DA-821B-A0C5151BABCD}"/>
    <hyperlink ref="C125" r:id="rId59" xr:uid="{9CC2AF3B-8DC8-4062-8B6C-9A800594D265}"/>
    <hyperlink ref="C137" r:id="rId60" xr:uid="{438C3C70-5A03-46F4-A72E-4E7D913BFE40}"/>
    <hyperlink ref="C140" r:id="rId61" xr:uid="{7D49A2E1-E22D-4720-B4A2-4807EBF78EBE}"/>
    <hyperlink ref="C142" r:id="rId62" xr:uid="{85A3DD67-F683-4B60-9941-D1D8631BA52B}"/>
    <hyperlink ref="C143" r:id="rId63" xr:uid="{94849198-EED3-4EBB-A01F-A082B1CA2E88}"/>
    <hyperlink ref="C141" r:id="rId64" xr:uid="{D3431E6D-A0F0-4E38-B57A-337CF64CD9A3}"/>
    <hyperlink ref="C126" r:id="rId65" xr:uid="{5065A785-9CCA-4D6D-B332-DF59763B1ADD}"/>
    <hyperlink ref="C127" r:id="rId66" xr:uid="{E9305422-62AF-45BC-B6A9-812F9E280C69}"/>
    <hyperlink ref="C128" r:id="rId67" xr:uid="{FFBB981C-FC24-426C-8CB0-4500D07B6577}"/>
    <hyperlink ref="C133" r:id="rId68" xr:uid="{96D2F76E-2F3C-4D16-8695-B71FEF43A8A2}"/>
    <hyperlink ref="C144" r:id="rId69" xr:uid="{F56A10E4-89CC-4CD6-8404-38F2FFAD57C2}"/>
    <hyperlink ref="C145" r:id="rId70" xr:uid="{91E01B0C-0811-4C41-A834-2B773E3FAACF}"/>
    <hyperlink ref="C146" r:id="rId71" xr:uid="{CB0D0F24-9B6E-4073-9E99-6BF557659BA6}"/>
    <hyperlink ref="C147" r:id="rId72" xr:uid="{8F9024D8-5506-4CA1-B6E1-D50DAC5C4D47}"/>
    <hyperlink ref="C148" r:id="rId73" xr:uid="{8B067A0E-A14E-4F5E-9280-A4494C4D9702}"/>
    <hyperlink ref="C151" r:id="rId74" xr:uid="{64EB670B-2663-4195-8B29-C3EDF68BEBFF}"/>
    <hyperlink ref="C152" r:id="rId75" xr:uid="{07CE0F9E-E7BA-4F95-BB14-61B68726AE6B}"/>
    <hyperlink ref="C156" r:id="rId76" xr:uid="{76965A67-9BDD-494F-9F44-D30F2055017E}"/>
    <hyperlink ref="C157" r:id="rId77" xr:uid="{65B43210-A35F-47A2-9037-BF15104282E8}"/>
    <hyperlink ref="C158" r:id="rId78" xr:uid="{AE025020-3A66-4395-BE64-1420CE1AF180}"/>
    <hyperlink ref="C159" r:id="rId79" xr:uid="{82DFEF88-294F-417F-9B38-2D4A1EF10F00}"/>
    <hyperlink ref="C160" r:id="rId80" xr:uid="{1AE6918A-C885-4DE8-8C75-5D62A99FAE5E}"/>
    <hyperlink ref="C154" r:id="rId81" xr:uid="{B91D5AA5-2402-4239-8F77-35113C0708E4}"/>
    <hyperlink ref="C155" r:id="rId82" xr:uid="{B1B17D8D-A9A1-4D9B-ACB7-F622851FF589}"/>
    <hyperlink ref="C161" r:id="rId83" xr:uid="{385684DA-2698-4A39-960A-90897AEA14B3}"/>
    <hyperlink ref="C162" r:id="rId84" xr:uid="{145CE14B-CB5B-4189-BC6E-575BE9416CDE}"/>
    <hyperlink ref="C163" r:id="rId85" xr:uid="{C5BAFB4F-603C-4DD1-A2A5-632525EC3A68}"/>
    <hyperlink ref="C165" r:id="rId86" xr:uid="{7334E96B-67DA-4D7A-AD41-33641AFA6CFF}"/>
    <hyperlink ref="C166" r:id="rId87" xr:uid="{4490A383-D4C2-4D21-9723-EC108AAC264A}"/>
    <hyperlink ref="C164" r:id="rId88" xr:uid="{E041C12C-3E71-4D10-A0F8-E7C5B62F6977}"/>
    <hyperlink ref="C169" r:id="rId89" xr:uid="{405E0DAE-61BC-4A39-A0B5-3CB32EE0A9F0}"/>
    <hyperlink ref="C170" r:id="rId90" xr:uid="{9B0A4381-0B3F-4EE1-BD21-2E792B6C8CD2}"/>
    <hyperlink ref="C171" r:id="rId91" xr:uid="{7EAFE68A-D333-4AAC-9D4E-5B10005A9930}"/>
    <hyperlink ref="C172" r:id="rId92" xr:uid="{21989973-4C66-4DFC-A2F8-43EA67A51042}"/>
    <hyperlink ref="C173" r:id="rId93" display="前腕固" xr:uid="{E1BA6829-D3BF-48C2-99E1-6343657E131A}"/>
    <hyperlink ref="C174" r:id="rId94" xr:uid="{BE9F5B53-B270-4CEC-AFE9-1B0B68118E97}"/>
    <hyperlink ref="C175" r:id="rId95" xr:uid="{8D247F80-9B06-45C9-AF3B-E2553EC273BF}"/>
    <hyperlink ref="C179" r:id="rId96" xr:uid="{227AF4C1-F997-4065-BD70-8F20B1A42ABE}"/>
    <hyperlink ref="C177" r:id="rId97" xr:uid="{E8BF0DA3-2F7E-4C72-BA9E-193C546A721F}"/>
    <hyperlink ref="C178" r:id="rId98" xr:uid="{9440E518-3A11-498C-8FD8-5B84ADC99DA0}"/>
    <hyperlink ref="C180" r:id="rId99" xr:uid="{A1406F59-D31E-4DDE-BC79-F5E9E3E9FC60}"/>
    <hyperlink ref="C181" r:id="rId100" xr:uid="{330653E2-9D15-4178-8354-8A3FCF36B92F}"/>
    <hyperlink ref="C182" r:id="rId101" xr:uid="{784449C3-F22B-4C3F-B532-CC9E7116CA4B}"/>
    <hyperlink ref="C183" r:id="rId102" xr:uid="{79F8AF9D-6EC9-4039-BCC3-B4A6FDD0ADD8}"/>
    <hyperlink ref="C185" r:id="rId103" xr:uid="{CEA46F53-7D47-441B-A88A-850CD7178E93}"/>
    <hyperlink ref="C184" r:id="rId104" xr:uid="{4405E664-DE38-4BB6-9B84-B473FF5B1280}"/>
    <hyperlink ref="C186" r:id="rId105" xr:uid="{B8152174-15C7-4CCC-8565-62E5ADA445C4}"/>
    <hyperlink ref="C189" r:id="rId106" xr:uid="{03CD2DD5-080A-4434-B15D-4E09A514C397}"/>
    <hyperlink ref="C190" r:id="rId107" xr:uid="{EEAB0BEA-7027-4343-9F33-B6BDE6277F9C}"/>
    <hyperlink ref="C192" r:id="rId108" xr:uid="{50E67D48-AC43-49A7-9086-F62E8F1600A5}"/>
    <hyperlink ref="C191" r:id="rId109" xr:uid="{4746A4A5-EA3A-4AF9-AAA0-16C9EE2A9C3F}"/>
    <hyperlink ref="C193" r:id="rId110" xr:uid="{B731853C-0F5B-4ACE-9E57-0FB3B9403590}"/>
    <hyperlink ref="C194" r:id="rId111" xr:uid="{2AD9781E-2F72-4AA4-A380-52995C0B630C}"/>
    <hyperlink ref="C195" r:id="rId112" xr:uid="{9FA342F6-FF0B-493C-A7B8-3050EC344E9A}"/>
    <hyperlink ref="C196" r:id="rId113" xr:uid="{430905A0-F640-4B19-8553-A9D0041E99D5}"/>
    <hyperlink ref="C197" r:id="rId114" xr:uid="{EBCDAF4F-8FAA-4AD6-A1AD-24853FBABE16}"/>
    <hyperlink ref="C198" r:id="rId115" xr:uid="{7A5C54FC-0B0F-4B72-8616-8E8FB8782897}"/>
    <hyperlink ref="C199" r:id="rId116" xr:uid="{BF9ECC54-1C5E-4B96-9B71-AC80CD3C5994}"/>
    <hyperlink ref="C200" r:id="rId117" xr:uid="{B72EED83-D640-4903-9CBB-8C2EA7E0C7FE}"/>
    <hyperlink ref="C203" r:id="rId118" xr:uid="{FCAB279B-7129-4811-A7E5-B2FDFA5E2CE1}"/>
    <hyperlink ref="C204" r:id="rId119" xr:uid="{8E85EC56-728F-49E1-9CEA-DF38D6CDCB45}"/>
    <hyperlink ref="C205" r:id="rId120" xr:uid="{F7FA677F-3863-4CDD-959F-3E9E0F03B5C3}"/>
    <hyperlink ref="C206" r:id="rId121" xr:uid="{F4B64503-CFF7-4BDD-BCB8-4D220507C2F5}"/>
    <hyperlink ref="C208" r:id="rId122" xr:uid="{C6442D2E-E22F-4D52-BE89-25FF69062E58}"/>
    <hyperlink ref="C209" r:id="rId123" xr:uid="{F774B1E4-C9AC-4AAE-90A4-C94AB2A74B3F}"/>
    <hyperlink ref="C211" r:id="rId124" xr:uid="{833C4E91-0886-4EE1-9A9C-9C2530EA95A4}"/>
    <hyperlink ref="C201" r:id="rId125" xr:uid="{CF1BC410-3C96-4F03-8672-707B247EC708}"/>
    <hyperlink ref="C202" r:id="rId126" xr:uid="{7F1E0B96-9DD7-4628-83A5-08E39CB76667}"/>
    <hyperlink ref="C207" r:id="rId127" xr:uid="{44F4D5A3-1221-4971-B5C3-3DC12E0F1B95}"/>
    <hyperlink ref="C212" r:id="rId128" xr:uid="{54E6DB28-AA15-48C3-9E3D-CFDC71B0C487}"/>
    <hyperlink ref="C213" r:id="rId129" xr:uid="{6D8EC3DF-F3A0-4BCE-A158-1E4D164620BB}"/>
    <hyperlink ref="G2" r:id="rId130" display="https://1drv.ms/b/c/a8f0902f6b5ae388/IQB5VMhCWHpGTp2ZrRoF4RjkAe_5rGO2J4lHkPz7UJuR-Ro?e=gxe7Kw" xr:uid="{8BF3A29C-B246-432A-BD50-5816D8AAF1B8}"/>
    <hyperlink ref="G3" r:id="rId131" display="https://1drv.ms/b/c/a8f0902f6b5ae388/IQB5VMhCWHpGTp2ZrRoF4RjkAe_5rGO2J4lHkPz7UJuR-Ro?e=gxe7Kw" xr:uid="{E48A027C-7478-4694-B5B7-443744644AD1}"/>
    <hyperlink ref="G4" r:id="rId132" display="https://1drv.ms/b/c/a8f0902f6b5ae388/IQB5VMhCWHpGTp2ZrRoF4RjkAe_5rGO2J4lHkPz7UJuR-Ro?e=c7PksG" xr:uid="{A495B1BD-6F22-45FC-A12A-CC031B5777C0}"/>
    <hyperlink ref="G5:G7" r:id="rId133" display="https://1drv.ms/b/c/a8f0902f6b5ae388/IQB5VMhCWHpGTp2ZrRoF4RjkAe_5rGO2J4lHkPz7UJuR-Ro?e=c7PksG" xr:uid="{44859DCE-F1C6-45F7-8B45-FDC7D18AE4C9}"/>
    <hyperlink ref="G8" r:id="rId134" display="https://1drv.ms/b/c/a8f0902f6b5ae388/IQB-O4_Db34GTJZJ_TZ9UE1JAbTW8NgI6loTy4t5cciug6g?e=yhUqbZ" xr:uid="{EB4029F1-707E-49CC-8F2D-C8B930C4BF73}"/>
    <hyperlink ref="G9" r:id="rId135" display="https://1drv.ms/b/c/a8f0902f6b5ae388/IQB-O4_Db34GTJZJ_TZ9UE1JAbTW8NgI6loTy4t5cciug6g?e=yhUqbZ" xr:uid="{4018DE78-AED6-46D7-B2A1-42909CAE3D0B}"/>
    <hyperlink ref="G10" r:id="rId136" display="https://1drv.ms/b/c/a8f0902f6b5ae388/IQB-O4_Db34GTJZJ_TZ9UE1JAbTW8NgI6loTy4t5cciug6g?e=yhUqbZ" xr:uid="{A2BF4DCD-1A27-4AEA-9D6A-39FA6D59754C}"/>
    <hyperlink ref="G14" r:id="rId137" display="https://1drv.ms/b/c/a8f0902f6b5ae388/IQASq74qUrQDQJCOEBQqsgg_AabmYrP6fkoVyrcHT_fpp18?e=yuaw41" xr:uid="{1E80506F-5F51-4C9C-9315-C84FCBB9BC4C}"/>
    <hyperlink ref="G15" r:id="rId138" display="https://1drv.ms/b/c/a8f0902f6b5ae388/IQASq74qUrQDQJCOEBQqsgg_AabmYrP6fkoVyrcHT_fpp18?e=yuaw41" xr:uid="{5B933BFD-2C64-451E-8D37-307A54BDD7E1}"/>
    <hyperlink ref="G16" r:id="rId139" display="https://1drv.ms/b/c/a8f0902f6b5ae388/IQASq74qUrQDQJCOEBQqsgg_AabmYrP6fkoVyrcHT_fpp18?e=yuaw41" xr:uid="{E30E45E4-2EEB-4842-BD39-D010A9652806}"/>
    <hyperlink ref="G17" r:id="rId140" display="https://1drv.ms/b/c/a8f0902f6b5ae388/IQDrF7mqLrahQoA27YjFwudrAaveozxiLuDYvYypS1shgqw?e=dXsGZE" xr:uid="{D5F0C418-1B21-424B-A960-8C32B9446520}"/>
    <hyperlink ref="G18" r:id="rId141" display="https://1drv.ms/b/c/a8f0902f6b5ae388/IQDrF7mqLrahQoA27YjFwudrAaveozxiLuDYvYypS1shgqw?e=dXsGZE" xr:uid="{5DB6FFA9-988F-47AF-BE54-F5CAAE47C27A}"/>
    <hyperlink ref="G19" r:id="rId142" display="https://1drv.ms/b/c/a8f0902f6b5ae388/IQDrF7mqLrahQoA27YjFwudrAaveozxiLuDYvYypS1shgqw?e=dXsGZE" xr:uid="{A953BBED-85E2-47D1-8F67-79DA83334F50}"/>
    <hyperlink ref="G20" r:id="rId143" display="https://1drv.ms/b/c/a8f0902f6b5ae388/IQDrF7mqLrahQoA27YjFwudrAaveozxiLuDYvYypS1shgqw?e=dXsGZE" xr:uid="{2288744E-98DD-413E-A909-15CC568511D2}"/>
    <hyperlink ref="G21" r:id="rId144" display="https://1drv.ms/b/c/a8f0902f6b5ae388/IQDrF7mqLrahQoA27YjFwudrAaveozxiLuDYvYypS1shgqw?e=dXsGZE" xr:uid="{96547124-E08C-4E1E-A49B-E69973AA957B}"/>
    <hyperlink ref="G22" r:id="rId145" display="https://1drv.ms/b/c/a8f0902f6b5ae388/IQDrF7mqLrahQoA27YjFwudrAaveozxiLuDYvYypS1shgqw?e=dXsGZE" xr:uid="{A5AA18B5-4827-4487-B310-D56F14359AFF}"/>
    <hyperlink ref="G25" r:id="rId146" display="https://1drv.ms/f/c/a8f0902f6b5ae388/IgBC3lTTas4gTalrzuVG9ZG7Ab7hbjvnYrR6D6WqSdIQ5HM?e=BtOh7G" xr:uid="{4AAED4FF-C8B9-48DF-AB66-9A083348BFCC}"/>
    <hyperlink ref="G26" r:id="rId147" display="https://1drv.ms/b/c/a8f0902f6b5ae388/IQBmGjEjSFKdQp0hZMrteBPmAeXT7JqGwFU6s7XtSLAhWjk?e=pikCTV" xr:uid="{A98A0EF6-88CC-4647-B7A3-8D059A72222C}"/>
    <hyperlink ref="G27" r:id="rId148" display="https://1drv.ms/b/c/a8f0902f6b5ae388/IQBmGjEjSFKdQp0hZMrteBPmAeXT7JqGwFU6s7XtSLAhWjk?e=D9oEaP" xr:uid="{CB952BE9-0E58-4C68-8DC0-648D06A72D4C}"/>
    <hyperlink ref="G28" r:id="rId149" display="https://1drv.ms/b/c/a8f0902f6b5ae388/IQBxZQtB0wjNRozSCWBvZgsXAXea6oJtQ1zP2Y2VS4JuP8c?e=KhwTRN" xr:uid="{5A80721A-B8B9-497F-B67D-890E62261B4E}"/>
    <hyperlink ref="G29" r:id="rId150" display="https://1drv.ms/b/c/a8f0902f6b5ae388/IQBxZQtB0wjNRozSCWBvZgsXAXea6oJtQ1zP2Y2VS4JuP8c?e=KhwTRN" xr:uid="{ACE44B3D-CD77-447E-B308-6B03261A69A8}"/>
    <hyperlink ref="G30" r:id="rId151" display="https://1drv.ms/b/c/a8f0902f6b5ae388/IQBxZQtB0wjNRozSCWBvZgsXAXea6oJtQ1zP2Y2VS4JuP8c?e=KhwTRN" xr:uid="{BE428183-637D-4E68-B314-D361C823D4A3}"/>
    <hyperlink ref="G31" r:id="rId152" display="https://1drv.ms/b/c/a8f0902f6b5ae388/IQBxZQtB0wjNRozSCWBvZgsXAXea6oJtQ1zP2Y2VS4JuP8c?e=KhwTRN" xr:uid="{500D8D23-6F0F-498B-9BEB-4467EF4211AC}"/>
    <hyperlink ref="G32" r:id="rId153" display="https://1drv.ms/b/c/a8f0902f6b5ae388/IQAv9spTGTE-QpiLiY5Ik42tAXnkJIV2TET5z0wR4t9VnSQ?e=Fo9x7x" xr:uid="{CC030614-9B2A-4637-8B57-78336CF814A4}"/>
    <hyperlink ref="G33" r:id="rId154" display="https://1drv.ms/b/c/a8f0902f6b5ae388/IQAv9spTGTE-QpiLiY5Ik42tAXnkJIV2TET5z0wR4t9VnSQ?e=Fo9x7x" xr:uid="{D3EF1D1B-4666-443B-B558-23D60D171C2E}"/>
    <hyperlink ref="G36" r:id="rId155" display="https://1drv.ms/b/c/a8f0902f6b5ae388/IQD3Fx_jdbT6TaYgSu1H2jpnAd6nPowys4WiYV99yWcb65g?e=bVt9MS" xr:uid="{9B20626A-F0FB-4ED4-8CC6-058D944A463F}"/>
    <hyperlink ref="G37" r:id="rId156" display="https://1drv.ms/b/c/a8f0902f6b5ae388/IQD3Fx_jdbT6TaYgSu1H2jpnAd6nPowys4WiYV99yWcb65g?e=bVt9MS" xr:uid="{1B4E45C4-CB13-45DD-9D16-8D03D3826BE5}"/>
    <hyperlink ref="G38" r:id="rId157" display="https://1drv.ms/b/c/a8f0902f6b5ae388/IQCPPFW4Wm6cQ7Re38nF-N2JAaoges7gjp6gKheraPX3AMw?e=HHkT0p" xr:uid="{B46C4BFF-492A-476C-BF8D-ECF422E77CBB}"/>
    <hyperlink ref="G44" r:id="rId158" display="https://1drv.ms/b/c/a8f0902f6b5ae388/IQCPPFW4Wm6cQ7Re38nF-N2JAaoges7gjp6gKheraPX3AMw?e=G0AM8A" xr:uid="{95F6A353-B56E-4A68-BAA3-A1544B530D83}"/>
    <hyperlink ref="G39:G41" r:id="rId159" display="https://1drv.ms/b/c/a8f0902f6b5ae388/IQCPPFW4Wm6cQ7Re38nF-N2JAaoges7gjp6gKheraPX3AMw?e=HHkT0p" xr:uid="{0584D1E8-F8C5-4AA9-81E1-C1938EC329A9}"/>
    <hyperlink ref="G45" r:id="rId160" display="https://1drv.ms/b/c/a8f0902f6b5ae388/IQAlQPGHVs6HQrUNVe7cLeL6ARQHXHFGLBRMwOv-HTR8mqU?e=xy44V2" xr:uid="{6DB120C5-ACF0-41F7-8BBD-00DCAB31FA6C}"/>
    <hyperlink ref="G46" r:id="rId161" display="https://1drv.ms/b/c/a8f0902f6b5ae388/IQAlQPGHVs6HQrUNVe7cLeL6ARQHXHFGLBRMwOv-HTR8mqU?e=xy44V2" xr:uid="{B3D4B79F-68DF-468D-AC22-E5643F533E43}"/>
    <hyperlink ref="G47" r:id="rId162" display="https://1drv.ms/b/c/a8f0902f6b5ae388/IQAlQPGHVs6HQrUNVe7cLeL6ARQHXHFGLBRMwOv-HTR8mqU?e=xy44V2" xr:uid="{C5F70D6A-99E7-423B-A803-40FDA8AF8241}"/>
    <hyperlink ref="G48" r:id="rId163" display="https://1drv.ms/b/c/a8f0902f6b5ae388/IQDmUdXfzjnBRZtXzvWtPFMSAYZDmhu8A51Vk3CLUfDMqDk?e=xlGl0L" xr:uid="{6B9B4967-0BA6-49A6-A62E-5B5A734EEE12}"/>
    <hyperlink ref="G49" r:id="rId164" display="https://1drv.ms/b/c/a8f0902f6b5ae388/IQDmUdXfzjnBRZtXzvWtPFMSAYZDmhu8A51Vk3CLUfDMqDk?e=xlGl0L" xr:uid="{1DBCE44B-079F-4DDD-8C09-1F77F26B0DCF}"/>
    <hyperlink ref="G52" r:id="rId165" display="https://1drv.ms/b/c/a8f0902f6b5ae388/IQBmeLAqha30RIjTQbrEAsEtAatm8qvQk-lPz-a_rCiod0k?e=qQTdJk" xr:uid="{D1BEAD7E-0A01-4A3B-9B8F-49C99671D2BD}"/>
    <hyperlink ref="G53" r:id="rId166" display="https://1drv.ms/b/c/a8f0902f6b5ae388/IQBmeLAqha30RIjTQbrEAsEtAatm8qvQk-lPz-a_rCiod0k?e=qQTdJk" xr:uid="{90803B4B-D678-49FA-88E7-AC164361EFEB}"/>
    <hyperlink ref="G54" r:id="rId167" display="https://1drv.ms/b/c/a8f0902f6b5ae388/IQBmeLAqha30RIjTQbrEAsEtAatm8qvQk-lPz-a_rCiod0k?e=qQTdJk" xr:uid="{4775CABC-EDD7-4818-B029-C2C53E7062C2}"/>
    <hyperlink ref="G55" r:id="rId168" display="https://1drv.ms/b/c/a8f0902f6b5ae388/IQBmeLAqha30RIjTQbrEAsEtAatm8qvQk-lPz-a_rCiod0k?e=qQTdJk" xr:uid="{14FD144C-E0CA-4845-8557-1EF7FE260711}"/>
    <hyperlink ref="G56" r:id="rId169" display="https://1drv.ms/b/c/a8f0902f6b5ae388/IQBmeLAqha30RIjTQbrEAsEtAatm8qvQk-lPz-a_rCiod0k?e=qQTdJk" xr:uid="{F53FA001-8DA1-4A71-AAFC-66B626E3BDB3}"/>
    <hyperlink ref="G59" r:id="rId170" display="https://1drv.ms/b/c/a8f0902f6b5ae388/IQDyCF3M6ZB5QLqMtTnu4cBxAUa2pW60kEn3c-NgIR9hEpc?e=C4ucfe" xr:uid="{A4B49D14-7CE5-44DE-8947-310BEA8C75DB}"/>
    <hyperlink ref="G61" r:id="rId171" display="https://1drv.ms/b/c/a8f0902f6b5ae388/IQDQzsgVBUlDRLjlWbMDya-8AVFCZCSZNKpsDexrlbA357A?e=RDhLpU" xr:uid="{FDB40085-C5B3-43EA-A7F9-4CC4B3C510D9}"/>
    <hyperlink ref="G62" r:id="rId172" display="https://1drv.ms/b/c/a8f0902f6b5ae388/IQBmpsInEaLTTY9-uoH8oBZfAfehxLzCtpf6DDIUoqvR1xE?e=MG9xcK" xr:uid="{C5D08707-99CB-4BBA-B482-9528F2C6C535}"/>
    <hyperlink ref="G65" r:id="rId173" display="https://1drv.ms/b/c/a8f0902f6b5ae388/IQBmpsInEaLTTY9-uoH8oBZfAfehxLzCtpf6DDIUoqvR1xE?e=MG9xcK" xr:uid="{64F47A0A-C342-4897-AFF2-230867E75FFB}"/>
    <hyperlink ref="G66" r:id="rId174" display="https://1drv.ms/b/c/a8f0902f6b5ae388/IQBmpsInEaLTTY9-uoH8oBZfAfehxLzCtpf6DDIUoqvR1xE?e=MG9xcK" xr:uid="{A2250609-712A-4D83-962C-2729849845FD}"/>
    <hyperlink ref="G68" r:id="rId175" display="https://1drv.ms/b/c/a8f0902f6b5ae388/IQBeIcbAKv6VT7m_VgLxjQfAAe4Hpe9J27oIOgAz1VHYZVI?e=cYaN2n" xr:uid="{E9E395D4-25E9-431B-B03F-E8840086A0DD}"/>
    <hyperlink ref="G69" r:id="rId176" display="https://1drv.ms/b/c/a8f0902f6b5ae388/IQBeIcbAKv6VT7m_VgLxjQfAAe4Hpe9J27oIOgAz1VHYZVI?e=cYaN2n" xr:uid="{2885C1B5-77AB-44E8-9DC6-80EEA7FE099B}"/>
    <hyperlink ref="G70" r:id="rId177" display="https://1drv.ms/b/c/a8f0902f6b5ae388/IQBeIcbAKv6VT7m_VgLxjQfAAe4Hpe9J27oIOgAz1VHYZVI?e=cYaN2n" xr:uid="{B9A75B71-B5FE-4154-B89E-A5DCD1E4F374}"/>
    <hyperlink ref="G71" r:id="rId178" display="https://1drv.ms/b/c/a8f0902f6b5ae388/IQBeIcbAKv6VT7m_VgLxjQfAAe4Hpe9J27oIOgAz1VHYZVI?e=cYaN2n" xr:uid="{1252BBA4-3A8A-4326-8C81-EC69E884F66A}"/>
    <hyperlink ref="G72" r:id="rId179" display="https://1drv.ms/b/c/a8f0902f6b5ae388/IQBeIcbAKv6VT7m_VgLxjQfAAe4Hpe9J27oIOgAz1VHYZVI?e=cYaN2n" xr:uid="{2BAF601C-1455-4F34-84AC-95708E032A89}"/>
    <hyperlink ref="G74" r:id="rId180" display="https://1drv.ms/b/c/a8f0902f6b5ae388/IQDrJQpl75RvQrtn28A_tg1vAYS-O5jFU0xJbdjVPdgH-wY?e=7zTBHS" xr:uid="{E1B4E5A2-D370-45F9-9324-8DB478E50858}"/>
    <hyperlink ref="G76" r:id="rId181" display="https://1drv.ms/b/c/a8f0902f6b5ae388/IQDrJQpl75RvQrtn28A_tg1vAYS-O5jFU0xJbdjVPdgH-wY?e=7zTBHS" xr:uid="{9FFD840E-15A9-45F2-AA83-4A0FB4BF2D03}"/>
    <hyperlink ref="G77" r:id="rId182" display="https://1drv.ms/b/c/a8f0902f6b5ae388/IQDrJQpl75RvQrtn28A_tg1vAYS-O5jFU0xJbdjVPdgH-wY?e=7zTBHS" xr:uid="{58FABC52-1896-42A3-B809-5C725264974F}"/>
    <hyperlink ref="G78" r:id="rId183" display="https://1drv.ms/b/c/a8f0902f6b5ae388/IQDrJQpl75RvQrtn28A_tg1vAYS-O5jFU0xJbdjVPdgH-wY?e=7zTBHS" xr:uid="{FD634518-FD5C-4543-BB43-FA06F98C3C7D}"/>
    <hyperlink ref="G79" r:id="rId184" display="https://1drv.ms/b/c/a8f0902f6b5ae388/IQDrJQpl75RvQrtn28A_tg1vAYS-O5jFU0xJbdjVPdgH-wY?e=7zTBHS" xr:uid="{2B453A68-2150-4438-84C0-F28F853DDAFD}"/>
    <hyperlink ref="G80" r:id="rId185" display="https://1drv.ms/b/c/a8f0902f6b5ae388/IQCrG59sIiyRR5mViQZ9qz1KAYEOYoy1-eUDz6vve1IeoBM?e=3uQ1hd" xr:uid="{C361D184-AD50-489D-9752-EAF000A58F5E}"/>
    <hyperlink ref="G81" r:id="rId186" display="https://1drv.ms/b/c/a8f0902f6b5ae388/IQCrG59sIiyRR5mViQZ9qz1KAYEOYoy1-eUDz6vve1IeoBM?e=3uQ1hd" xr:uid="{9822AA36-D2BD-479F-8FA9-3B53962A528E}"/>
    <hyperlink ref="G82" r:id="rId187" display="https://1drv.ms/b/c/a8f0902f6b5ae388/IQCrG59sIiyRR5mViQZ9qz1KAYEOYoy1-eUDz6vve1IeoBM?e=3uQ1hd" xr:uid="{98CCD402-9ADD-4CA2-8FFA-45B227248865}"/>
    <hyperlink ref="G84" r:id="rId188" display="https://1drv.ms/b/c/a8f0902f6b5ae388/IQCrG59sIiyRR5mViQZ9qz1KAYEOYoy1-eUDz6vve1IeoBM?e=3uQ1hd" xr:uid="{DC334942-4D53-44E3-AAC9-F2A0E77330BD}"/>
    <hyperlink ref="G86" r:id="rId189" display="https://1drv.ms/b/c/a8f0902f6b5ae388/IQCrG59sIiyRR5mViQZ9qz1KAYEOYoy1-eUDz6vve1IeoBM?e=3uQ1hd" xr:uid="{F9CD7829-D37D-4A42-89CA-BFE2EE912080}"/>
    <hyperlink ref="G87" r:id="rId190" display="https://1drv.ms/b/c/a8f0902f6b5ae388/IQBlPkTqZuc8RJpVpa-IeRVPAXwsniFAOOTcH9y5svfpl-k?e=hykeQS" xr:uid="{5F36F3B7-169F-4693-9C86-4A7194B199F5}"/>
    <hyperlink ref="G88" r:id="rId191" display="https://1drv.ms/b/c/a8f0902f6b5ae388/IQBlPkTqZuc8RJpVpa-IeRVPAXwsniFAOOTcH9y5svfpl-k?e=hykeQS" xr:uid="{F12EABBE-264F-4CDE-AE6C-7FDB6704CCB5}"/>
    <hyperlink ref="G89" r:id="rId192" display="https://1drv.ms/b/c/a8f0902f6b5ae388/IQBlPkTqZuc8RJpVpa-IeRVPAXwsniFAOOTcH9y5svfpl-k?e=hykeQS" xr:uid="{3513E26E-DDD9-4FCF-A5AA-8EF8E3BEE185}"/>
    <hyperlink ref="G90" r:id="rId193" display="https://1drv.ms/b/c/a8f0902f6b5ae388/IQBlPkTqZuc8RJpVpa-IeRVPAXwsniFAOOTcH9y5svfpl-k?e=hykeQS" xr:uid="{F58E2E19-2A7D-495D-82FF-751358267DBB}"/>
    <hyperlink ref="G91" r:id="rId194" display="https://1drv.ms/b/c/a8f0902f6b5ae388/IQBlPkTqZuc8RJpVpa-IeRVPAXwsniFAOOTcH9y5svfpl-k?e=hykeQS" xr:uid="{041BE4C1-947D-4A16-AB6D-837EBCD61310}"/>
    <hyperlink ref="G92" r:id="rId195" display="https://1drv.ms/b/c/a8f0902f6b5ae388/IQBlPkTqZuc8RJpVpa-IeRVPAXwsniFAOOTcH9y5svfpl-k?e=hykeQS" xr:uid="{142D2A66-9EC5-47FF-89F5-05DDAAFC1EFF}"/>
    <hyperlink ref="G95" r:id="rId196" display="https://1drv.ms/b/c/a8f0902f6b5ae388/IQAUdLowiMrtTYFkRz1bda6-AS4Ou7s1HtEa9GoAgDPW20Y?e=vZRG9u" xr:uid="{D6090312-072D-469B-9DB5-CD8BAE5620E7}"/>
    <hyperlink ref="G96" r:id="rId197" display="https://1drv.ms/b/c/a8f0902f6b5ae388/IQD7mPaFOrdRT5THNIteXShWAW4Gr0lG1noMQ34e1Ufff6Q?e=y67xxY" xr:uid="{287DD439-42F8-4BC3-B951-73CA2BF9BCA1}"/>
    <hyperlink ref="G97" r:id="rId198" display="https://1drv.ms/b/c/a8f0902f6b5ae388/IQD7mPaFOrdRT5THNIteXShWAW4Gr0lG1noMQ34e1Ufff6Q?e=y67xxY" xr:uid="{8180306E-5929-44BE-9DFF-75C6AEE6B49B}"/>
    <hyperlink ref="G98" r:id="rId199" display="https://1drv.ms/b/c/a8f0902f6b5ae388/IQDJwiU8EXngSZLeVRwFI1nnAdGXlsL-Xccljt2eWfIY0dQ?e=EleLym" xr:uid="{A1A63323-33F7-4B31-8D3C-4C2D2D4F1448}"/>
    <hyperlink ref="G99" r:id="rId200" display="https://1drv.ms/b/c/a8f0902f6b5ae388/IQDJwiU8EXngSZLeVRwFI1nnAdGXlsL-Xccljt2eWfIY0dQ?e=EleLym" xr:uid="{CCB7FA06-5338-461C-8A56-487A0E143818}"/>
    <hyperlink ref="G100" r:id="rId201" display="https://1drv.ms/b/c/a8f0902f6b5ae388/IQDJwiU8EXngSZLeVRwFI1nnAdGXlsL-Xccljt2eWfIY0dQ?e=EleLym" xr:uid="{52AD4A75-8D5C-43CF-920E-68B8DFC6ACA8}"/>
    <hyperlink ref="G101" r:id="rId202" display="https://1drv.ms/b/c/a8f0902f6b5ae388/IQDJwiU8EXngSZLeVRwFI1nnAdGXlsL-Xccljt2eWfIY0dQ?e=EleLym" xr:uid="{66CC0843-B7DA-4D22-94F2-542D4F22D3B9}"/>
    <hyperlink ref="G103" r:id="rId203" display="https://1drv.ms/b/c/a8f0902f6b5ae388/IQDJwiU8EXngSZLeVRwFI1nnAdGXlsL-Xccljt2eWfIY0dQ?e=EleLym" xr:uid="{6B1AF0E6-8629-4F6C-9412-B759CD2D7B32}"/>
    <hyperlink ref="G104" r:id="rId204" display="https://1drv.ms/b/c/a8f0902f6b5ae388/IQDJwiU8EXngSZLeVRwFI1nnAdGXlsL-Xccljt2eWfIY0dQ?e=EleLym" xr:uid="{92D7CF3D-BE3A-4E41-A9EB-29F79F7FEB37}"/>
    <hyperlink ref="G105" r:id="rId205" display="https://1drv.ms/b/c/a8f0902f6b5ae388/IQDCimVxtuBBTrn2NqPqoQLlAeP49ZWG1dhh28R4iIxwpZk?e=UsU2oW" xr:uid="{361AB108-0B6D-4461-90D4-F3696A68EE89}"/>
    <hyperlink ref="G106" r:id="rId206" display="https://1drv.ms/b/c/a8f0902f6b5ae388/IQDCimVxtuBBTrn2NqPqoQLlAeP49ZWG1dhh28R4iIxwpZk?e=UsU2oW" xr:uid="{62716465-E2F2-48BF-A1F5-E461DABEB463}"/>
    <hyperlink ref="G107" r:id="rId207" display="https://1drv.ms/b/c/a8f0902f6b5ae388/IQDCimVxtuBBTrn2NqPqoQLlAeP49ZWG1dhh28R4iIxwpZk?e=UsU2oW" xr:uid="{BAA07746-D6AE-4844-A3CB-0CD4177D4CD4}"/>
    <hyperlink ref="G108" r:id="rId208" display="https://1drv.ms/b/c/a8f0902f6b5ae388/IQDCimVxtuBBTrn2NqPqoQLlAeP49ZWG1dhh28R4iIxwpZk?e=UsU2oW" xr:uid="{452FF2F5-08D1-4C9C-B265-AA6AF170C849}"/>
    <hyperlink ref="G109" r:id="rId209" display="https://1drv.ms/b/c/a8f0902f6b5ae388/IQA4goP1LZ9ARaSfQ5MVIaNqAQWfG8TyzlWnNVLQVOxf43g?e=UYcvMM" xr:uid="{F3EBC7A6-F1B7-4FBF-B9B5-89ECF4754B5B}"/>
    <hyperlink ref="G110" r:id="rId210" display="https://1drv.ms/b/c/a8f0902f6b5ae388/IQA4goP1LZ9ARaSfQ5MVIaNqAQWfG8TyzlWnNVLQVOxf43g?e=UYcvMM" xr:uid="{E6E74D89-4E1A-4CF8-911C-FD693FC615D0}"/>
    <hyperlink ref="G112" r:id="rId211" display="https://1drv.ms/b/c/a8f0902f6b5ae388/IQDk6i2jAKrzRIoVYomJJZ3NAYaGTyuRQB9JMJ5z-XI_0og?e=KPkgrq" xr:uid="{5E77FA0D-84F8-41C3-9A35-7D375D7BA5B8}"/>
    <hyperlink ref="G113" r:id="rId212" display="https://1drv.ms/b/c/a8f0902f6b5ae388/IQDk6i2jAKrzRIoVYomJJZ3NAYaGTyuRQB9JMJ5z-XI_0og?e=KPkgrq" xr:uid="{4744DC82-D7AD-441D-8383-C621F0420CB8}"/>
    <hyperlink ref="G114" r:id="rId213" display="https://1drv.ms/b/c/a8f0902f6b5ae388/IQDk6i2jAKrzRIoVYomJJZ3NAYaGTyuRQB9JMJ5z-XI_0og?e=KPkgrq" xr:uid="{2B87B288-2F62-4523-8CE1-DE76116F23A3}"/>
    <hyperlink ref="G115" r:id="rId214" display="https://1drv.ms/b/c/a8f0902f6b5ae388/IQDk6i2jAKrzRIoVYomJJZ3NAYaGTyuRQB9JMJ5z-XI_0og?e=KPkgrq" xr:uid="{4571B7AE-E4C1-437D-898F-D9E4B878C8A4}"/>
    <hyperlink ref="G117" r:id="rId215" display="https://1drv.ms/b/c/a8f0902f6b5ae388/IQDk6i2jAKrzRIoVYomJJZ3NAYaGTyuRQB9JMJ5z-XI_0og?e=KPkgrq" xr:uid="{A0693757-075D-49B1-985E-342DBAF40C33}"/>
    <hyperlink ref="G118" r:id="rId216" display="https://1drv.ms/b/c/a8f0902f6b5ae388/IQDk6i2jAKrzRIoVYomJJZ3NAYaGTyuRQB9JMJ5z-XI_0og?e=KPkgrq" xr:uid="{0A5C8896-F3ED-484E-9413-B5FC75E8AFAE}"/>
    <hyperlink ref="G119" r:id="rId217" display="https://1drv.ms/b/c/a8f0902f6b5ae388/IQDk6i2jAKrzRIoVYomJJZ3NAYaGTyuRQB9JMJ5z-XI_0og?e=KPkgrq" xr:uid="{14AA8053-9FC2-472B-AA66-FEFE218F9DB2}"/>
    <hyperlink ref="G120" r:id="rId218" display="https://1drv.ms/b/c/a8f0902f6b5ae388/IQDk6i2jAKrzRIoVYomJJZ3NAYaGTyuRQB9JMJ5z-XI_0og?e=KPkgrq" xr:uid="{7BE5F941-9295-409C-8EAA-4269FDBDF879}"/>
    <hyperlink ref="G121" r:id="rId219" display="https://1drv.ms/b/c/a8f0902f6b5ae388/IQC--d01tQ-KTJBYFh7QJ03hAbnX2t6obNG0HKKFq6JayHQ?e=mqCMmh" xr:uid="{0DCAD9D4-F5D9-44A8-B058-9A729EA363EF}"/>
    <hyperlink ref="G122" r:id="rId220" display="https://1drv.ms/b/c/a8f0902f6b5ae388/IQC--d01tQ-KTJBYFh7QJ03hAbnX2t6obNG0HKKFq6JayHQ?e=mqCMmh" xr:uid="{49C1BC17-AFE2-4A14-A766-4D7FD44637E3}"/>
    <hyperlink ref="G123" r:id="rId221" display="https://1drv.ms/b/c/a8f0902f6b5ae388/IQC--d01tQ-KTJBYFh7QJ03hAbnX2t6obNG0HKKFq6JayHQ?e=mqCMmh" xr:uid="{8398C29A-8FFF-4A62-85C7-C8B1ED7114E7}"/>
    <hyperlink ref="G124" r:id="rId222" display="https://1drv.ms/b/c/a8f0902f6b5ae388/IQBrYvsfhyODR7EpKcgzOjBuAdF5mnWq5OLOMj-UI6vVWZM?e=eALOCN" xr:uid="{717ACB69-630E-4E79-9F04-E3B2434059EA}"/>
    <hyperlink ref="G125" r:id="rId223" display="https://1drv.ms/b/c/a8f0902f6b5ae388/IQBrYvsfhyODR7EpKcgzOjBuAdF5mnWq5OLOMj-UI6vVWZM?e=eALOCN" xr:uid="{02F8CDFF-4360-4E37-B16D-67EDF17B8BA8}"/>
    <hyperlink ref="G126" r:id="rId224" display="https://1drv.ms/b/c/a8f0902f6b5ae388/IQBrYvsfhyODR7EpKcgzOjBuAdF5mnWq5OLOMj-UI6vVWZM?e=eALOCN" xr:uid="{9124B744-5200-470A-869D-3D7C04B7FB1A}"/>
    <hyperlink ref="G127" r:id="rId225" display="https://1drv.ms/b/c/a8f0902f6b5ae388/IQB78FZq8e42T60KxZhblWzQATNV_tauTrZTdJHGnsR_D0I?e=xAWbT1" xr:uid="{F25EFB95-733D-42CA-A400-113B55E6A9A9}"/>
    <hyperlink ref="G128" r:id="rId226" display="https://1drv.ms/b/c/a8f0902f6b5ae388/IQB78FZq8e42T60KxZhblWzQATNV_tauTrZTdJHGnsR_D0I?e=xAWbT1" xr:uid="{16059197-9B63-4552-98B0-E385E56FBA89}"/>
    <hyperlink ref="G129" r:id="rId227" display="https://1drv.ms/b/c/a8f0902f6b5ae388/IQB78FZq8e42T60KxZhblWzQATNV_tauTrZTdJHGnsR_D0I?e=xAWbT1" xr:uid="{DD97DF62-29DF-4256-A379-5F52DB4569A9}"/>
    <hyperlink ref="G130" r:id="rId228" display="https://1drv.ms/b/c/a8f0902f6b5ae388/IQDde1dB9Lm7TpwSW5nFXuirAfHVbfY2sc-hHWv-a3Z06KM?e=n1hCf3" xr:uid="{817D7B88-2FCF-46C2-BF24-098259A87641}"/>
    <hyperlink ref="G131" r:id="rId229" display="https://1drv.ms/b/c/a8f0902f6b5ae388/IQDde1dB9Lm7TpwSW5nFXuirAfHVbfY2sc-hHWv-a3Z06KM?e=n1hCf3" xr:uid="{B04A21D9-8A5B-43F0-94F9-580B0031E3A0}"/>
    <hyperlink ref="G132" r:id="rId230" display="https://1drv.ms/b/c/a8f0902f6b5ae388/IQDde1dB9Lm7TpwSW5nFXuirAfHVbfY2sc-hHWv-a3Z06KM?e=n1hCf3" xr:uid="{FF29BE79-20D6-499F-A103-3657FC5C68BA}"/>
    <hyperlink ref="G133" r:id="rId231" display="https://1drv.ms/b/c/a8f0902f6b5ae388/IQDLWIxtgMQiSomYtX1cavYuAUOL36gSmWjxNgkiftdRQBg?e=gGcT7B" xr:uid="{016BE9A6-9E5E-49E5-9395-8D6F68B989D5}"/>
    <hyperlink ref="G134" r:id="rId232" display="https://1drv.ms/b/c/a8f0902f6b5ae388/IQDLWIxtgMQiSomYtX1cavYuAUOL36gSmWjxNgkiftdRQBg?e=gGcT7B" xr:uid="{FD180112-8AB8-47BF-B3DB-8C0FBA0BE065}"/>
    <hyperlink ref="G135" r:id="rId233" display="https://1drv.ms/b/c/a8f0902f6b5ae388/IQDLWIxtgMQiSomYtX1cavYuAUOL36gSmWjxNgkiftdRQBg?e=gGcT7B" xr:uid="{FD7F1630-4528-4C6B-8A27-DAE4FBD1B1FE}"/>
    <hyperlink ref="G137" r:id="rId234" display="https://1drv.ms/b/c/a8f0902f6b5ae388/IQDLWIxtgMQiSomYtX1cavYuAUOL36gSmWjxNgkiftdRQBg?e=gGcT7B" xr:uid="{A325B472-50FB-4C61-8A14-A672C1BFEB81}"/>
    <hyperlink ref="G138" r:id="rId235" display="https://1drv.ms/b/c/a8f0902f6b5ae388/IQDLWIxtgMQiSomYtX1cavYuAUOL36gSmWjxNgkiftdRQBg?e=gGcT7B" xr:uid="{006E9ECE-8675-464A-A1DF-1E40BE37D0F0}"/>
    <hyperlink ref="G139" r:id="rId236" display="https://1drv.ms/b/c/a8f0902f6b5ae388/IQDLWIxtgMQiSomYtX1cavYuAUOL36gSmWjxNgkiftdRQBg?e=gGcT7B" xr:uid="{1EBD8308-BAC7-4E2F-860B-6142668034E7}"/>
    <hyperlink ref="G140" r:id="rId237" display="https://1drv.ms/b/c/a8f0902f6b5ae388/IQDm7AGABlj3Rq_YRNuPPNcoAaizC_gkqWoKi8ze-kmTcsU?e=jp0Wqh" xr:uid="{42E11E49-B38F-4162-8A48-371E7A6C086F}"/>
    <hyperlink ref="G141" r:id="rId238" display="https://1drv.ms/b/c/a8f0902f6b5ae388/IQDm7AGABlj3Rq_YRNuPPNcoAaizC_gkqWoKi8ze-kmTcsU?e=jp0Wqh" xr:uid="{286E7731-6EE6-42BB-B238-5CFC24BA76C5}"/>
    <hyperlink ref="G142" r:id="rId239" display="https://1drv.ms/b/c/a8f0902f6b5ae388/IQDm7AGABlj3Rq_YRNuPPNcoAaizC_gkqWoKi8ze-kmTcsU?e=jp0Wqh" xr:uid="{DC9F8AB4-11CD-4508-BF47-868529EC8013}"/>
    <hyperlink ref="G143" r:id="rId240" display="https://1drv.ms/b/c/a8f0902f6b5ae388/IQDm7AGABlj3Rq_YRNuPPNcoAaizC_gkqWoKi8ze-kmTcsU?e=jp0Wqh" xr:uid="{9329D6EE-3BF3-46A1-BAC6-261C2DBE91B4}"/>
    <hyperlink ref="G144" r:id="rId241" display="https://1drv.ms/b/c/a8f0902f6b5ae388/IQDeSDV4bSWEQ6n91g_449XhAfBXPCSlvB-guhhsBtVlH2g?e=rehFvN" xr:uid="{D26971A0-9492-4070-A90C-96A5A8DFCD16}"/>
    <hyperlink ref="G145" r:id="rId242" display="https://1drv.ms/b/c/a8f0902f6b5ae388/IQDeSDV4bSWEQ6n91g_449XhAfBXPCSlvB-guhhsBtVlH2g?e=rehFvN" xr:uid="{8B92EC39-EB87-41E3-A789-22175D526B80}"/>
    <hyperlink ref="G151" r:id="rId243" display="https://1drv.ms/b/c/a8f0902f6b5ae388/IQAOBCGfhXQfTrc3HuTI9qEvAVd6ApxMjvQi3qFBkPqjWZ0?e=hqjBgV" xr:uid="{B2319ADA-8F4E-4B1D-92A5-F1F3A3BD39DF}"/>
    <hyperlink ref="G152" r:id="rId244" display="https://1drv.ms/b/c/a8f0902f6b5ae388/IQAOBCGfhXQfTrc3HuTI9qEvAVd6ApxMjvQi3qFBkPqjWZ0?e=hqjBgV" xr:uid="{778E282F-66BE-47A7-A7C5-912B34DEC2BE}"/>
    <hyperlink ref="G153" r:id="rId245" display="https://1drv.ms/b/c/a8f0902f6b5ae388/IQAOBCGfhXQfTrc3HuTI9qEvAVd6ApxMjvQi3qFBkPqjWZ0?e=hqjBgV" xr:uid="{FAEC9768-5878-47F1-8BD0-C58B93608AAF}"/>
    <hyperlink ref="G154" r:id="rId246" display="https://1drv.ms/b/c/a8f0902f6b5ae388/IQBRAsSBV_-eS5gtp5xw_NxzASq9vDjXFWBLhTMWyA92hyA?e=X4MLBY" xr:uid="{AADC080A-9B0B-4250-A0B4-048FE2CDDE5D}"/>
    <hyperlink ref="G155" r:id="rId247" display="https://1drv.ms/b/c/a8f0902f6b5ae388/IQBRAsSBV_-eS5gtp5xw_NxzASq9vDjXFWBLhTMWyA92hyA?e=X4MLBY" xr:uid="{C3253829-6422-4E80-B36A-D5FC24A30592}"/>
    <hyperlink ref="G156" r:id="rId248" display="https://1drv.ms/b/c/a8f0902f6b5ae388/IQBRAsSBV_-eS5gtp5xw_NxzASq9vDjXFWBLhTMWyA92hyA?e=X4MLBY" xr:uid="{5ED67AB6-D1B9-4828-8266-36D0EC804B29}"/>
    <hyperlink ref="G157" r:id="rId249" display="https://1drv.ms/b/c/a8f0902f6b5ae388/IQCrIZSIIFcCRaYSwb3QROwPAep0X2z6vfH5s1lm8Nw0QMk?e=5gGvdW" xr:uid="{C621306A-3EE0-4AAD-B2A4-834A98A7D38D}"/>
    <hyperlink ref="G158" r:id="rId250" display="https://1drv.ms/b/c/a8f0902f6b5ae388/IQCrIZSIIFcCRaYSwb3QROwPAep0X2z6vfH5s1lm8Nw0QMk?e=5gGvdW" xr:uid="{572BE625-659B-4357-B566-A2CF61906AE2}"/>
    <hyperlink ref="G159" r:id="rId251" display="https://1drv.ms/b/c/a8f0902f6b5ae388/IQCrIZSIIFcCRaYSwb3QROwPAep0X2z6vfH5s1lm8Nw0QMk?e=5gGvdW" xr:uid="{8BCB32CF-F431-4A53-B678-4A8FB36427B2}"/>
    <hyperlink ref="G160" r:id="rId252" display="https://1drv.ms/b/c/a8f0902f6b5ae388/IQCrIZSIIFcCRaYSwb3QROwPAep0X2z6vfH5s1lm8Nw0QMk?e=5gGvdW" xr:uid="{C871E63D-D37A-4C7E-840F-E4602652157F}"/>
    <hyperlink ref="G161" r:id="rId253" display="https://1drv.ms/b/c/a8f0902f6b5ae388/IQCrIZSIIFcCRaYSwb3QROwPAep0X2z6vfH5s1lm8Nw0QMk?e=5gGvdW" xr:uid="{259386A7-ABE7-45C3-AF0E-407AA3F70257}"/>
    <hyperlink ref="G162" r:id="rId254" display="https://1drv.ms/b/c/a8f0902f6b5ae388/IQAGwcs_G-Y5T7rm1vNk5Cs5AePCaisHScIaAEXlEKT4Exk?e=xyuLJG" xr:uid="{AA27FAEC-FB3A-4178-B9F2-B45F94493669}"/>
    <hyperlink ref="G163" r:id="rId255" display="https://1drv.ms/b/c/a8f0902f6b5ae388/IQDgbMqRb3l-QZ1ly2T7Xz6CAWLh8Cjt6Vw7nogaHz_hE4E?e=Mpzvjn" xr:uid="{CEFD9F69-16CC-4B8D-8719-55B170C9F2D7}"/>
    <hyperlink ref="G164" r:id="rId256" display="https://1drv.ms/b/c/a8f0902f6b5ae388/IQCZ4YUDCFyUSb9aJpfei0RJAZXVRljCgxeboY9-4rWQxQY?e=l38w2s" xr:uid="{B6F67195-4A4B-464D-B950-4C3308EB7DC1}"/>
    <hyperlink ref="G165" r:id="rId257" display="https://1drv.ms/b/c/a8f0902f6b5ae388/IQCZ4YUDCFyUSb9aJpfei0RJAZXVRljCgxeboY9-4rWQxQY?e=l38w2s" xr:uid="{4A34730E-5850-4003-8A2E-77AB741F29E1}"/>
    <hyperlink ref="G166" r:id="rId258" display="https://1drv.ms/b/c/a8f0902f6b5ae388/IQCZ4YUDCFyUSb9aJpfei0RJAZXVRljCgxeboY9-4rWQxQY?e=l38w2s" xr:uid="{66023CFD-76F4-41DD-8737-544EF31C01B3}"/>
    <hyperlink ref="G169" r:id="rId259" display="https://1drv.ms/b/c/a8f0902f6b5ae388/IQDUja24671oQpmVEcrqQMhUAQ4fFrO8xp1Q3kby59f_H0A?e=7cvqrY" xr:uid="{5FE01336-EA25-47B2-8391-2DCCE6248E64}"/>
    <hyperlink ref="G170" r:id="rId260" display="https://1drv.ms/b/c/a8f0902f6b5ae388/IQDUja24671oQpmVEcrqQMhUAQ4fFrO8xp1Q3kby59f_H0A?e=7cvqrY" xr:uid="{AAEFC2B3-B433-49D6-8410-1C0D2BE1C558}"/>
    <hyperlink ref="G171" r:id="rId261" display="https://1drv.ms/b/c/a8f0902f6b5ae388/IQDUja24671oQpmVEcrqQMhUAQ4fFrO8xp1Q3kby59f_H0A?e=7cvqrY" xr:uid="{3C03609A-57CA-4EF1-9E65-A6B61B7A3A44}"/>
    <hyperlink ref="G172" r:id="rId262" display="https://1drv.ms/b/c/a8f0902f6b5ae388/IQDUja24671oQpmVEcrqQMhUAQ4fFrO8xp1Q3kby59f_H0A?e=7cvqrY" xr:uid="{AEBEF87B-1AC3-4314-9729-358D62157256}"/>
    <hyperlink ref="G173" r:id="rId263" display="https://1drv.ms/b/c/a8f0902f6b5ae388/IQDUja24671oQpmVEcrqQMhUAQ4fFrO8xp1Q3kby59f_H0A?e=7cvqrY" xr:uid="{1D4D0277-4AF5-419E-9B3C-3941B59C30E2}"/>
    <hyperlink ref="G174" r:id="rId264" display="https://1drv.ms/b/c/a8f0902f6b5ae388/IQAvYEsKZrs-S5ihvtoMDzptARaWrh0sX9O1KZInraiVfLQ?e=CP3rR7" xr:uid="{067A7791-180A-4656-BC41-A47B93859F4A}"/>
    <hyperlink ref="G175" r:id="rId265" display="https://1drv.ms/b/c/a8f0902f6b5ae388/IQAvYEsKZrs-S5ihvtoMDzptARaWrh0sX9O1KZInraiVfLQ?e=CP3rR7" xr:uid="{A3EDD036-FEC1-476C-928B-6E575505DF77}"/>
    <hyperlink ref="G176" r:id="rId266" display="https://1drv.ms/b/c/a8f0902f6b5ae388/IQAvYEsKZrs-S5ihvtoMDzptARaWrh0sX9O1KZInraiVfLQ?e=CP3rR7" xr:uid="{37FACC2F-B67B-44FF-80F9-8BE2B29CC679}"/>
    <hyperlink ref="G177" r:id="rId267" display="https://1drv.ms/b/c/a8f0902f6b5ae388/IQAvYEsKZrs-S5ihvtoMDzptARaWrh0sX9O1KZInraiVfLQ?e=CP3rR7" xr:uid="{C5FE477C-57EE-4BBE-A49F-EB3C80C3D4AC}"/>
    <hyperlink ref="G178" r:id="rId268" display="https://1drv.ms/b/c/a8f0902f6b5ae388/IQAvYEsKZrs-S5ihvtoMDzptARaWrh0sX9O1KZInraiVfLQ?e=CP3rR7" xr:uid="{4288072F-46EF-45E6-82FC-A1E4F73718CC}"/>
    <hyperlink ref="G179" r:id="rId269" display="https://1drv.ms/b/c/a8f0902f6b5ae388/IQBSn8gFN_NbSZt9oChYFk_EARpPDMPaI49YFpn3j8w4f0Q?e=J5A6BC" xr:uid="{93E9AD21-4F78-4C1F-87DF-E03597C50D72}"/>
    <hyperlink ref="G180" r:id="rId270" display="https://1drv.ms/b/c/a8f0902f6b5ae388/IQBSn8gFN_NbSZt9oChYFk_EARpPDMPaI49YFpn3j8w4f0Q?e=J5A6BC" xr:uid="{CFEF83F8-FA0A-4A85-BD58-368459E26F1D}"/>
    <hyperlink ref="G181" r:id="rId271" display="https://1drv.ms/b/c/a8f0902f6b5ae388/IQBSn8gFN_NbSZt9oChYFk_EARpPDMPaI49YFpn3j8w4f0Q?e=J5A6BC" xr:uid="{69C1A711-018B-4320-9265-8F3340DAEFC7}"/>
    <hyperlink ref="G182" r:id="rId272" display="https://1drv.ms/b/c/a8f0902f6b5ae388/IQBSn8gFN_NbSZt9oChYFk_EARpPDMPaI49YFpn3j8w4f0Q?e=J5A6BC" xr:uid="{F41471EE-9651-4D5C-9245-DCA8F9A1AD67}"/>
    <hyperlink ref="G183" r:id="rId273" display="https://1drv.ms/b/c/a8f0902f6b5ae388/IQCdfXjxbZm0SZta_h4yK3f1AUp33zuArX6a5l2OfhoZfVw?e=Qu0JmR" xr:uid="{AF46FD7E-5A6F-4463-8A37-C04399FFACA7}"/>
    <hyperlink ref="G184" r:id="rId274" display="https://1drv.ms/b/c/a8f0902f6b5ae388/IQCdfXjxbZm0SZta_h4yK3f1AUp33zuArX6a5l2OfhoZfVw?e=Qu0JmR" xr:uid="{23561A9C-5338-4641-83B2-64BBB898C5FA}"/>
    <hyperlink ref="G185" r:id="rId275" display="https://1drv.ms/b/c/a8f0902f6b5ae388/IQCdfXjxbZm0SZta_h4yK3f1AUp33zuArX6a5l2OfhoZfVw?e=Qu0JmR" xr:uid="{8878D318-2280-42D2-9ACB-F2AD7AD1BDBC}"/>
    <hyperlink ref="G189" r:id="rId276" display="https://1drv.ms/b/c/a8f0902f6b5ae388/IQAx_h7THmPRRqUVhOLwr11uAedttrpoXIC0ZcRZUyX8QOs?e=F4Kdhx" xr:uid="{692B64E7-E9D4-4191-8E57-9F00EDA4ACD2}"/>
    <hyperlink ref="G190" r:id="rId277" display="https://1drv.ms/b/c/a8f0902f6b5ae388/IQAx_h7THmPRRqUVhOLwr11uAedttrpoXIC0ZcRZUyX8QOs?e=F4Kdhx" xr:uid="{2BC55291-823E-4D4A-AF25-A4AA83680D0A}"/>
    <hyperlink ref="G191" r:id="rId278" display="https://1drv.ms/b/c/a8f0902f6b5ae388/IQAx_h7THmPRRqUVhOLwr11uAedttrpoXIC0ZcRZUyX8QOs?e=F4Kdhx" xr:uid="{B4922D8B-ADEF-4F70-A25D-3943EF6B13C9}"/>
    <hyperlink ref="G192" r:id="rId279" display="https://1drv.ms/b/c/a8f0902f6b5ae388/IQAx_h7THmPRRqUVhOLwr11uAedttrpoXIC0ZcRZUyX8QOs?e=F4Kdhx" xr:uid="{8F37A505-8B5A-4F84-869B-FA24DF8A964F}"/>
    <hyperlink ref="G193" r:id="rId280" display="https://1drv.ms/b/c/a8f0902f6b5ae388/IQAvDF4_YH49S6Xc7C1aydneAdI8_4oWS6N0e7-YF3gcDj8?e=WQA0O1" xr:uid="{3A76DA01-9D36-4411-8F01-D59247494AB8}"/>
    <hyperlink ref="G194" r:id="rId281" display="https://1drv.ms/b/c/a8f0902f6b5ae388/IQDderDuMfABTK8mPGcdGwO0ATOXl4MXxBmOQM_iMwOnBtk?e=3BoBSl" xr:uid="{19FC019C-6C1F-4042-AE44-049535CF7F8E}"/>
    <hyperlink ref="G195" r:id="rId282" display="https://1drv.ms/b/c/a8f0902f6b5ae388/IQDderDuMfABTK8mPGcdGwO0ATOXl4MXxBmOQM_iMwOnBtk?e=3BoBSl" xr:uid="{116C1F54-D73C-4FBD-B275-BB3B799DA7D2}"/>
    <hyperlink ref="G196" r:id="rId283" display="https://1drv.ms/b/c/a8f0902f6b5ae388/IQDderDuMfABTK8mPGcdGwO0ATOXl4MXxBmOQM_iMwOnBtk?e=3BoBSl" xr:uid="{6E8A453B-68BE-4310-8963-A8A657764129}"/>
    <hyperlink ref="G197" r:id="rId284" display="https://1drv.ms/b/c/a8f0902f6b5ae388/IQDderDuMfABTK8mPGcdGwO0ATOXl4MXxBmOQM_iMwOnBtk?e=3BoBSl" xr:uid="{F2A453A5-A947-411B-9517-78E7681FE084}"/>
    <hyperlink ref="G198" r:id="rId285" display="https://1drv.ms/b/c/a8f0902f6b5ae388/IQDderDuMfABTK8mPGcdGwO0ATOXl4MXxBmOQM_iMwOnBtk?e=3BoBSl" xr:uid="{0BB55ECA-344A-4553-891A-ECA6E1287556}"/>
    <hyperlink ref="G199" r:id="rId286" display="https://1drv.ms/b/c/a8f0902f6b5ae388/IQDderDuMfABTK8mPGcdGwO0ATOXl4MXxBmOQM_iMwOnBtk?e=3BoBSl" xr:uid="{6CCC41F7-2444-4BDE-8E75-BE12F5177C99}"/>
    <hyperlink ref="G200" r:id="rId287" display="https://1drv.ms/b/c/a8f0902f6b5ae388/IQDderDuMfABTK8mPGcdGwO0ATOXl4MXxBmOQM_iMwOnBtk?e=3BoBSl" xr:uid="{F879BF12-012D-474E-9205-5B9441E75A63}"/>
    <hyperlink ref="G201" r:id="rId288" display="https://1drv.ms/b/c/a8f0902f6b5ae388/IQCW6fdWtajpR50M2pcV8BMJAVW7OhsABfwWNHxlHmU4-JE?e=hlQG2k" xr:uid="{62BBED24-056A-4A7A-88F5-2E64E6E2BE54}"/>
    <hyperlink ref="G202" r:id="rId289" display="https://1drv.ms/b/c/a8f0902f6b5ae388/IQCW6fdWtajpR50M2pcV8BMJAVW7OhsABfwWNHxlHmU4-JE?e=hlQG2k" xr:uid="{D832E3AF-B718-447B-BB5D-4D9719056A51}"/>
    <hyperlink ref="G203" r:id="rId290" display="https://1drv.ms/b/c/a8f0902f6b5ae388/IQCW6fdWtajpR50M2pcV8BMJAVW7OhsABfwWNHxlHmU4-JE?e=hlQG2k" xr:uid="{67B22B57-F834-47E5-AFB5-C52AFB1CFC80}"/>
    <hyperlink ref="G204" r:id="rId291" display="https://1drv.ms/b/c/a8f0902f6b5ae388/IQAuPDz1NfwbR64EadSPl5jCAUKpqFsXaReX1Pi1Ag3Ckss?e=4Jr212" xr:uid="{72709F00-7B57-43E4-A6EE-36F8041E4EED}"/>
    <hyperlink ref="G205" r:id="rId292" display="https://1drv.ms/b/c/a8f0902f6b5ae388/IQAuPDz1NfwbR64EadSPl5jCAUKpqFsXaReX1Pi1Ag3Ckss?e=4Jr212" xr:uid="{257E604D-0A72-4C54-8219-FF70C276F73B}"/>
    <hyperlink ref="G206" r:id="rId293" display="https://1drv.ms/b/c/a8f0902f6b5ae388/IQAuPDz1NfwbR64EadSPl5jCAUKpqFsXaReX1Pi1Ag3Ckss?e=4Jr212" xr:uid="{B40E0AF1-305B-4DBB-997E-880F515D774A}"/>
    <hyperlink ref="G207" r:id="rId294" display="https://1drv.ms/b/c/a8f0902f6b5ae388/IQAuPDz1NfwbR64EadSPl5jCAUKpqFsXaReX1Pi1Ag3Ckss?e=4Jr212" xr:uid="{914DDE2E-2987-4D0B-925E-1D74E99A055F}"/>
    <hyperlink ref="G208" r:id="rId295" display="https://1drv.ms/b/c/a8f0902f6b5ae388/IQAuPDz1NfwbR64EadSPl5jCAUKpqFsXaReX1Pi1Ag3Ckss?e=4Jr212" xr:uid="{77795B96-F3C0-4D88-A34F-8BE373BBE56D}"/>
    <hyperlink ref="G209" r:id="rId296" display="https://1drv.ms/b/c/a8f0902f6b5ae388/IQC985puHVBCQ5a8kI8vfjlfAd3WluDDQ-C5eR0g6Fpda9U?e=iWrLr9" xr:uid="{75504FA8-07DA-49E8-B79C-6D74ABF23156}"/>
    <hyperlink ref="G210" r:id="rId297" display="https://1drv.ms/b/c/a8f0902f6b5ae388/IQC985puHVBCQ5a8kI8vfjlfAd3WluDDQ-C5eR0g6Fpda9U?e=iWrLr9" xr:uid="{CF7645FA-4218-4211-85F7-144DA26EBE6E}"/>
    <hyperlink ref="G211" r:id="rId298" display="https://1drv.ms/b/c/a8f0902f6b5ae388/IQC985puHVBCQ5a8kI8vfjlfAd3WluDDQ-C5eR0g6Fpda9U?e=iWrLr9" xr:uid="{69567210-563A-4F27-A32B-EC73E0BCFC5E}"/>
    <hyperlink ref="G212" r:id="rId299" display="https://1drv.ms/b/c/a8f0902f6b5ae388/IQDINnmT1a6nQIE7rh6IQ-pHAQSCoSy5Iv19GGvNuGX4Bbg?e=0an2mC" xr:uid="{8C728EF0-D20A-477E-BA89-D1FD05B1A8F5}"/>
    <hyperlink ref="G213" r:id="rId300" display="https://1drv.ms/b/c/a8f0902f6b5ae388/IQDINnmT1a6nQIE7rh6IQ-pHAQSCoSy5Iv19GGvNuGX4Bbg?e=0an2mC" xr:uid="{AD01AF30-0CAE-4D20-A9F2-E159CB6FE587}"/>
    <hyperlink ref="C97" r:id="rId301" xr:uid="{79EDD0BE-CBA0-4828-A161-72004929FEE2}"/>
    <hyperlink ref="C96" r:id="rId302" xr:uid="{EB85709F-4C39-480C-B893-F874DC79ED4E}"/>
    <hyperlink ref="C92" r:id="rId303" xr:uid="{A2E779F3-DB40-43F3-8D98-46D42B09BD47}"/>
  </hyperlinks>
  <pageMargins left="0.7" right="0.7" top="0.75" bottom="0.75" header="0.3" footer="0.3"/>
  <pageSetup paperSize="9" scale="83" orientation="portrait" r:id="rId304"/>
  <rowBreaks count="2" manualBreakCount="2">
    <brk id="42" max="8" man="1"/>
    <brk id="89"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7270D-F729-4E7A-B80E-AAE6D0147A6D}">
  <sheetPr codeName="Sheet6">
    <pageSetUpPr fitToPage="1"/>
  </sheetPr>
  <dimension ref="A1:H74"/>
  <sheetViews>
    <sheetView view="pageBreakPreview" zoomScaleNormal="100" zoomScaleSheetLayoutView="100" workbookViewId="0">
      <pane ySplit="1" topLeftCell="A65" activePane="bottomLeft" state="frozen"/>
      <selection pane="bottomLeft" activeCell="A69" sqref="A69:G74"/>
    </sheetView>
  </sheetViews>
  <sheetFormatPr defaultColWidth="9" defaultRowHeight="19.8" x14ac:dyDescent="0.45"/>
  <cols>
    <col min="1" max="1" width="18.19921875" style="483" bestFit="1" customWidth="1"/>
    <col min="2" max="2" width="6.59765625" style="481" customWidth="1"/>
    <col min="3" max="3" width="7.09765625" style="481" bestFit="1" customWidth="1"/>
    <col min="4" max="4" width="11.8984375" style="483" customWidth="1"/>
    <col min="5" max="5" width="29.59765625" style="488" bestFit="1" customWidth="1"/>
    <col min="6" max="6" width="11.8984375" style="483" customWidth="1"/>
    <col min="7" max="7" width="70.69921875" style="488" bestFit="1" customWidth="1"/>
    <col min="8" max="8" width="71.19921875" style="488" bestFit="1" customWidth="1"/>
    <col min="9" max="16384" width="9" style="483"/>
  </cols>
  <sheetData>
    <row r="1" spans="1:8" s="481" customFormat="1" x14ac:dyDescent="0.45">
      <c r="A1" s="479" t="s">
        <v>962</v>
      </c>
      <c r="B1" s="479"/>
      <c r="C1" s="479" t="s">
        <v>961</v>
      </c>
      <c r="D1" s="499" t="s">
        <v>960</v>
      </c>
      <c r="E1" s="499"/>
      <c r="F1" s="499" t="s">
        <v>959</v>
      </c>
      <c r="G1" s="499"/>
      <c r="H1" s="480" t="s">
        <v>958</v>
      </c>
    </row>
    <row r="2" spans="1:8" x14ac:dyDescent="0.45">
      <c r="A2" s="482" t="s">
        <v>734</v>
      </c>
      <c r="B2" s="482"/>
      <c r="C2" s="498" t="s">
        <v>957</v>
      </c>
      <c r="D2" s="498"/>
      <c r="E2" s="498"/>
      <c r="F2" s="498"/>
      <c r="G2" s="498"/>
      <c r="H2" s="498"/>
    </row>
    <row r="3" spans="1:8" x14ac:dyDescent="0.45">
      <c r="A3" s="484" t="s">
        <v>452</v>
      </c>
      <c r="B3" s="479" t="s">
        <v>9</v>
      </c>
      <c r="C3" s="479" t="s">
        <v>1088</v>
      </c>
      <c r="D3" s="484" t="s">
        <v>878</v>
      </c>
      <c r="E3" s="485" t="s">
        <v>952</v>
      </c>
      <c r="F3" s="486" t="s">
        <v>870</v>
      </c>
      <c r="G3" s="485" t="s">
        <v>954</v>
      </c>
      <c r="H3" s="485" t="s">
        <v>953</v>
      </c>
    </row>
    <row r="4" spans="1:8" x14ac:dyDescent="0.45">
      <c r="A4" s="484" t="s">
        <v>456</v>
      </c>
      <c r="B4" s="479" t="s">
        <v>7</v>
      </c>
      <c r="C4" s="479" t="s">
        <v>1087</v>
      </c>
      <c r="D4" s="484" t="s">
        <v>878</v>
      </c>
      <c r="E4" s="485" t="s">
        <v>952</v>
      </c>
      <c r="F4" s="484" t="s">
        <v>872</v>
      </c>
      <c r="G4" s="485" t="s">
        <v>956</v>
      </c>
      <c r="H4" s="485" t="s">
        <v>955</v>
      </c>
    </row>
    <row r="5" spans="1:8" x14ac:dyDescent="0.45">
      <c r="A5" s="484" t="s">
        <v>455</v>
      </c>
      <c r="B5" s="479" t="s">
        <v>9</v>
      </c>
      <c r="C5" s="479" t="s">
        <v>1087</v>
      </c>
      <c r="D5" s="484" t="s">
        <v>878</v>
      </c>
      <c r="E5" s="485" t="s">
        <v>901</v>
      </c>
      <c r="F5" s="484" t="s">
        <v>872</v>
      </c>
      <c r="G5" s="485" t="s">
        <v>937</v>
      </c>
      <c r="H5" s="485" t="s">
        <v>936</v>
      </c>
    </row>
    <row r="6" spans="1:8" x14ac:dyDescent="0.45">
      <c r="A6" s="484" t="s">
        <v>1032</v>
      </c>
      <c r="B6" s="479" t="s">
        <v>9</v>
      </c>
      <c r="C6" s="479" t="s">
        <v>1087</v>
      </c>
      <c r="D6" s="484" t="s">
        <v>878</v>
      </c>
      <c r="E6" s="485" t="s">
        <v>952</v>
      </c>
      <c r="F6" s="484" t="s">
        <v>872</v>
      </c>
      <c r="G6" s="485" t="s">
        <v>951</v>
      </c>
      <c r="H6" s="485" t="s">
        <v>950</v>
      </c>
    </row>
    <row r="7" spans="1:8" x14ac:dyDescent="0.45">
      <c r="A7" s="484" t="s">
        <v>465</v>
      </c>
      <c r="B7" s="479" t="s">
        <v>26</v>
      </c>
      <c r="C7" s="479" t="s">
        <v>1088</v>
      </c>
      <c r="D7" s="484" t="s">
        <v>878</v>
      </c>
      <c r="E7" s="485" t="s">
        <v>952</v>
      </c>
      <c r="F7" s="486" t="s">
        <v>870</v>
      </c>
      <c r="G7" s="485" t="s">
        <v>1037</v>
      </c>
      <c r="H7" s="485" t="s">
        <v>1038</v>
      </c>
    </row>
    <row r="8" spans="1:8" x14ac:dyDescent="0.45">
      <c r="A8" s="484" t="s">
        <v>935</v>
      </c>
      <c r="B8" s="479" t="s">
        <v>29</v>
      </c>
      <c r="C8" s="479" t="s">
        <v>1088</v>
      </c>
      <c r="D8" s="484" t="s">
        <v>878</v>
      </c>
      <c r="E8" s="485" t="s">
        <v>901</v>
      </c>
      <c r="F8" s="486" t="s">
        <v>870</v>
      </c>
      <c r="G8" s="485" t="s">
        <v>933</v>
      </c>
      <c r="H8" s="485" t="s">
        <v>932</v>
      </c>
    </row>
    <row r="9" spans="1:8" x14ac:dyDescent="0.45">
      <c r="A9" s="484" t="s">
        <v>934</v>
      </c>
      <c r="B9" s="479" t="s">
        <v>29</v>
      </c>
      <c r="C9" s="479" t="s">
        <v>1087</v>
      </c>
      <c r="D9" s="484" t="s">
        <v>878</v>
      </c>
      <c r="E9" s="485" t="s">
        <v>901</v>
      </c>
      <c r="F9" s="484" t="s">
        <v>872</v>
      </c>
      <c r="G9" s="485" t="s">
        <v>933</v>
      </c>
      <c r="H9" s="485" t="s">
        <v>932</v>
      </c>
    </row>
    <row r="10" spans="1:8" x14ac:dyDescent="0.45">
      <c r="A10" s="484" t="s">
        <v>944</v>
      </c>
      <c r="B10" s="479" t="s">
        <v>9</v>
      </c>
      <c r="C10" s="479" t="s">
        <v>1087</v>
      </c>
      <c r="D10" s="484" t="s">
        <v>878</v>
      </c>
      <c r="E10" s="485" t="s">
        <v>940</v>
      </c>
      <c r="F10" s="484" t="s">
        <v>872</v>
      </c>
      <c r="G10" s="485" t="s">
        <v>943</v>
      </c>
      <c r="H10" s="485" t="s">
        <v>942</v>
      </c>
    </row>
    <row r="11" spans="1:8" x14ac:dyDescent="0.45">
      <c r="A11" s="484" t="s">
        <v>941</v>
      </c>
      <c r="B11" s="479" t="s">
        <v>9</v>
      </c>
      <c r="C11" s="479" t="s">
        <v>1087</v>
      </c>
      <c r="D11" s="484" t="s">
        <v>878</v>
      </c>
      <c r="E11" s="485" t="s">
        <v>940</v>
      </c>
      <c r="F11" s="484" t="s">
        <v>872</v>
      </c>
      <c r="G11" s="485" t="s">
        <v>939</v>
      </c>
      <c r="H11" s="485" t="s">
        <v>938</v>
      </c>
    </row>
    <row r="12" spans="1:8" x14ac:dyDescent="0.45">
      <c r="A12" s="484" t="s">
        <v>949</v>
      </c>
      <c r="B12" s="479" t="s">
        <v>7</v>
      </c>
      <c r="C12" s="479" t="s">
        <v>1087</v>
      </c>
      <c r="D12" s="484" t="s">
        <v>878</v>
      </c>
      <c r="E12" s="485" t="s">
        <v>940</v>
      </c>
      <c r="F12" s="484" t="s">
        <v>872</v>
      </c>
      <c r="G12" s="485" t="s">
        <v>948</v>
      </c>
      <c r="H12" s="485" t="s">
        <v>945</v>
      </c>
    </row>
    <row r="13" spans="1:8" x14ac:dyDescent="0.45">
      <c r="A13" s="484" t="s">
        <v>947</v>
      </c>
      <c r="B13" s="479" t="s">
        <v>7</v>
      </c>
      <c r="C13" s="479" t="s">
        <v>1087</v>
      </c>
      <c r="D13" s="484" t="s">
        <v>878</v>
      </c>
      <c r="E13" s="485" t="s">
        <v>940</v>
      </c>
      <c r="F13" s="484" t="s">
        <v>872</v>
      </c>
      <c r="G13" s="485" t="s">
        <v>946</v>
      </c>
      <c r="H13" s="485" t="s">
        <v>945</v>
      </c>
    </row>
    <row r="14" spans="1:8" x14ac:dyDescent="0.45">
      <c r="A14" s="484" t="s">
        <v>926</v>
      </c>
      <c r="B14" s="479" t="s">
        <v>19</v>
      </c>
      <c r="C14" s="479" t="s">
        <v>1087</v>
      </c>
      <c r="D14" s="484" t="s">
        <v>878</v>
      </c>
      <c r="E14" s="485" t="s">
        <v>901</v>
      </c>
      <c r="F14" s="484" t="s">
        <v>872</v>
      </c>
      <c r="G14" s="485" t="s">
        <v>925</v>
      </c>
      <c r="H14" s="485" t="s">
        <v>924</v>
      </c>
    </row>
    <row r="15" spans="1:8" x14ac:dyDescent="0.45">
      <c r="A15" s="484" t="s">
        <v>931</v>
      </c>
      <c r="B15" s="479" t="s">
        <v>19</v>
      </c>
      <c r="C15" s="479" t="s">
        <v>1088</v>
      </c>
      <c r="D15" s="484" t="s">
        <v>878</v>
      </c>
      <c r="E15" s="485" t="s">
        <v>901</v>
      </c>
      <c r="F15" s="486" t="s">
        <v>870</v>
      </c>
      <c r="G15" s="485" t="s">
        <v>930</v>
      </c>
      <c r="H15" s="485" t="s">
        <v>927</v>
      </c>
    </row>
    <row r="16" spans="1:8" x14ac:dyDescent="0.45">
      <c r="A16" s="484" t="s">
        <v>929</v>
      </c>
      <c r="B16" s="479" t="s">
        <v>19</v>
      </c>
      <c r="C16" s="479" t="s">
        <v>1087</v>
      </c>
      <c r="D16" s="484" t="s">
        <v>878</v>
      </c>
      <c r="E16" s="485" t="s">
        <v>901</v>
      </c>
      <c r="F16" s="484" t="s">
        <v>872</v>
      </c>
      <c r="G16" s="485" t="s">
        <v>928</v>
      </c>
      <c r="H16" s="485" t="s">
        <v>927</v>
      </c>
    </row>
    <row r="17" spans="1:8" x14ac:dyDescent="0.45">
      <c r="A17" s="484" t="s">
        <v>1033</v>
      </c>
      <c r="B17" s="479" t="s">
        <v>52</v>
      </c>
      <c r="C17" s="479" t="s">
        <v>1087</v>
      </c>
      <c r="D17" s="484" t="s">
        <v>878</v>
      </c>
      <c r="E17" s="485" t="s">
        <v>901</v>
      </c>
      <c r="F17" s="484" t="s">
        <v>872</v>
      </c>
      <c r="G17" s="485" t="s">
        <v>1042</v>
      </c>
      <c r="H17" s="485" t="s">
        <v>1043</v>
      </c>
    </row>
    <row r="18" spans="1:8" x14ac:dyDescent="0.45">
      <c r="A18" s="484" t="s">
        <v>923</v>
      </c>
      <c r="B18" s="479" t="s">
        <v>29</v>
      </c>
      <c r="C18" s="479" t="s">
        <v>1087</v>
      </c>
      <c r="D18" s="484" t="s">
        <v>878</v>
      </c>
      <c r="E18" s="485" t="s">
        <v>908</v>
      </c>
      <c r="F18" s="484" t="s">
        <v>872</v>
      </c>
      <c r="G18" s="485" t="s">
        <v>922</v>
      </c>
      <c r="H18" s="485" t="s">
        <v>921</v>
      </c>
    </row>
    <row r="19" spans="1:8" x14ac:dyDescent="0.45">
      <c r="A19" s="484" t="s">
        <v>909</v>
      </c>
      <c r="B19" s="479" t="s">
        <v>26</v>
      </c>
      <c r="C19" s="479" t="s">
        <v>1087</v>
      </c>
      <c r="D19" s="484" t="s">
        <v>878</v>
      </c>
      <c r="E19" s="485" t="s">
        <v>908</v>
      </c>
      <c r="F19" s="484" t="s">
        <v>872</v>
      </c>
      <c r="G19" s="485" t="s">
        <v>907</v>
      </c>
      <c r="H19" s="485" t="s">
        <v>906</v>
      </c>
    </row>
    <row r="20" spans="1:8" x14ac:dyDescent="0.45">
      <c r="A20" s="484" t="s">
        <v>1031</v>
      </c>
      <c r="B20" s="479" t="s">
        <v>29</v>
      </c>
      <c r="C20" s="479" t="s">
        <v>1088</v>
      </c>
      <c r="D20" s="484" t="s">
        <v>878</v>
      </c>
      <c r="E20" s="485" t="s">
        <v>908</v>
      </c>
      <c r="F20" s="486" t="s">
        <v>870</v>
      </c>
      <c r="G20" s="485" t="s">
        <v>1039</v>
      </c>
      <c r="H20" s="485" t="s">
        <v>921</v>
      </c>
    </row>
    <row r="21" spans="1:8" x14ac:dyDescent="0.45">
      <c r="A21" s="484" t="s">
        <v>912</v>
      </c>
      <c r="B21" s="479" t="s">
        <v>26</v>
      </c>
      <c r="C21" s="479" t="s">
        <v>1088</v>
      </c>
      <c r="D21" s="484" t="s">
        <v>878</v>
      </c>
      <c r="E21" s="485" t="s">
        <v>908</v>
      </c>
      <c r="F21" s="486" t="s">
        <v>870</v>
      </c>
      <c r="G21" s="485" t="s">
        <v>911</v>
      </c>
      <c r="H21" s="485" t="s">
        <v>910</v>
      </c>
    </row>
    <row r="22" spans="1:8" x14ac:dyDescent="0.45">
      <c r="A22" s="484" t="s">
        <v>915</v>
      </c>
      <c r="B22" s="479" t="s">
        <v>19</v>
      </c>
      <c r="C22" s="479" t="s">
        <v>1088</v>
      </c>
      <c r="D22" s="484" t="s">
        <v>878</v>
      </c>
      <c r="E22" s="485" t="s">
        <v>901</v>
      </c>
      <c r="F22" s="486" t="s">
        <v>870</v>
      </c>
      <c r="G22" s="485" t="s">
        <v>914</v>
      </c>
      <c r="H22" s="485" t="s">
        <v>913</v>
      </c>
    </row>
    <row r="23" spans="1:8" x14ac:dyDescent="0.45">
      <c r="A23" s="484" t="s">
        <v>917</v>
      </c>
      <c r="B23" s="479" t="s">
        <v>19</v>
      </c>
      <c r="C23" s="479" t="s">
        <v>1087</v>
      </c>
      <c r="D23" s="484" t="s">
        <v>878</v>
      </c>
      <c r="E23" s="485" t="s">
        <v>901</v>
      </c>
      <c r="F23" s="484" t="s">
        <v>872</v>
      </c>
      <c r="G23" s="485" t="s">
        <v>916</v>
      </c>
      <c r="H23" s="485" t="s">
        <v>913</v>
      </c>
    </row>
    <row r="24" spans="1:8" x14ac:dyDescent="0.45">
      <c r="A24" s="484" t="s">
        <v>61</v>
      </c>
      <c r="B24" s="479" t="s">
        <v>52</v>
      </c>
      <c r="C24" s="479" t="s">
        <v>1087</v>
      </c>
      <c r="D24" s="484" t="s">
        <v>878</v>
      </c>
      <c r="E24" s="485" t="s">
        <v>901</v>
      </c>
      <c r="F24" s="484" t="s">
        <v>872</v>
      </c>
      <c r="G24" s="485" t="s">
        <v>1044</v>
      </c>
      <c r="H24" s="485" t="s">
        <v>1045</v>
      </c>
    </row>
    <row r="25" spans="1:8" x14ac:dyDescent="0.45">
      <c r="A25" s="484" t="s">
        <v>1129</v>
      </c>
      <c r="B25" s="479" t="s">
        <v>26</v>
      </c>
      <c r="C25" s="479" t="s">
        <v>1087</v>
      </c>
      <c r="D25" s="484" t="s">
        <v>878</v>
      </c>
      <c r="E25" s="485" t="s">
        <v>908</v>
      </c>
      <c r="F25" s="484" t="s">
        <v>872</v>
      </c>
      <c r="G25" s="485" t="s">
        <v>920</v>
      </c>
      <c r="H25" s="485" t="s">
        <v>918</v>
      </c>
    </row>
    <row r="26" spans="1:8" x14ac:dyDescent="0.45">
      <c r="A26" s="484" t="s">
        <v>1130</v>
      </c>
      <c r="B26" s="479" t="s">
        <v>26</v>
      </c>
      <c r="C26" s="479" t="s">
        <v>1087</v>
      </c>
      <c r="D26" s="484" t="s">
        <v>878</v>
      </c>
      <c r="E26" s="485" t="s">
        <v>908</v>
      </c>
      <c r="F26" s="484" t="s">
        <v>872</v>
      </c>
      <c r="G26" s="485" t="s">
        <v>919</v>
      </c>
      <c r="H26" s="485" t="s">
        <v>918</v>
      </c>
    </row>
    <row r="27" spans="1:8" ht="39.6" x14ac:dyDescent="0.45">
      <c r="A27" s="484" t="s">
        <v>1131</v>
      </c>
      <c r="B27" s="479" t="s">
        <v>26</v>
      </c>
      <c r="C27" s="479" t="s">
        <v>1087</v>
      </c>
      <c r="D27" s="484" t="s">
        <v>878</v>
      </c>
      <c r="E27" s="485" t="s">
        <v>908</v>
      </c>
      <c r="F27" s="484" t="s">
        <v>872</v>
      </c>
      <c r="G27" s="485" t="s">
        <v>1085</v>
      </c>
      <c r="H27" s="485" t="s">
        <v>1086</v>
      </c>
    </row>
    <row r="28" spans="1:8" x14ac:dyDescent="0.45">
      <c r="A28" s="484" t="s">
        <v>905</v>
      </c>
      <c r="B28" s="479" t="s">
        <v>41</v>
      </c>
      <c r="C28" s="479" t="s">
        <v>1088</v>
      </c>
      <c r="D28" s="484" t="s">
        <v>878</v>
      </c>
      <c r="E28" s="485" t="s">
        <v>901</v>
      </c>
      <c r="F28" s="486" t="s">
        <v>904</v>
      </c>
      <c r="G28" s="485" t="s">
        <v>903</v>
      </c>
      <c r="H28" s="485" t="s">
        <v>898</v>
      </c>
    </row>
    <row r="29" spans="1:8" x14ac:dyDescent="0.45">
      <c r="A29" s="484" t="s">
        <v>902</v>
      </c>
      <c r="B29" s="479" t="s">
        <v>41</v>
      </c>
      <c r="C29" s="479" t="s">
        <v>1087</v>
      </c>
      <c r="D29" s="484" t="s">
        <v>878</v>
      </c>
      <c r="E29" s="485" t="s">
        <v>901</v>
      </c>
      <c r="F29" s="487" t="s">
        <v>900</v>
      </c>
      <c r="G29" s="485" t="s">
        <v>899</v>
      </c>
      <c r="H29" s="485" t="s">
        <v>898</v>
      </c>
    </row>
    <row r="30" spans="1:8" x14ac:dyDescent="0.45">
      <c r="A30" s="484" t="s">
        <v>467</v>
      </c>
      <c r="B30" s="479" t="s">
        <v>41</v>
      </c>
      <c r="C30" s="479" t="s">
        <v>1087</v>
      </c>
      <c r="D30" s="484" t="s">
        <v>878</v>
      </c>
      <c r="E30" s="485" t="s">
        <v>901</v>
      </c>
      <c r="F30" s="487" t="s">
        <v>900</v>
      </c>
      <c r="G30" s="485" t="s">
        <v>1040</v>
      </c>
      <c r="H30" s="485" t="s">
        <v>1041</v>
      </c>
    </row>
    <row r="31" spans="1:8" x14ac:dyDescent="0.45">
      <c r="A31" s="484" t="s">
        <v>468</v>
      </c>
      <c r="B31" s="479" t="s">
        <v>52</v>
      </c>
      <c r="C31" s="479" t="s">
        <v>1087</v>
      </c>
      <c r="D31" s="484" t="s">
        <v>872</v>
      </c>
      <c r="E31" s="485" t="s">
        <v>1046</v>
      </c>
      <c r="F31" s="487" t="s">
        <v>883</v>
      </c>
      <c r="G31" s="485" t="s">
        <v>1047</v>
      </c>
      <c r="H31" s="485"/>
    </row>
    <row r="32" spans="1:8" x14ac:dyDescent="0.45">
      <c r="A32" s="484" t="s">
        <v>469</v>
      </c>
      <c r="B32" s="479" t="s">
        <v>52</v>
      </c>
      <c r="C32" s="479" t="s">
        <v>1087</v>
      </c>
      <c r="D32" s="484" t="s">
        <v>872</v>
      </c>
      <c r="E32" s="485" t="s">
        <v>1046</v>
      </c>
      <c r="F32" s="487" t="s">
        <v>883</v>
      </c>
      <c r="G32" s="485" t="s">
        <v>1048</v>
      </c>
      <c r="H32" s="485" t="s">
        <v>1049</v>
      </c>
    </row>
    <row r="33" spans="1:8" x14ac:dyDescent="0.45">
      <c r="A33" s="484" t="s">
        <v>897</v>
      </c>
      <c r="B33" s="479" t="s">
        <v>52</v>
      </c>
      <c r="C33" s="479" t="s">
        <v>1087</v>
      </c>
      <c r="D33" s="484" t="s">
        <v>872</v>
      </c>
      <c r="E33" s="485" t="s">
        <v>896</v>
      </c>
      <c r="F33" s="487" t="s">
        <v>883</v>
      </c>
      <c r="G33" s="485" t="s">
        <v>895</v>
      </c>
      <c r="H33" s="485" t="s">
        <v>891</v>
      </c>
    </row>
    <row r="34" spans="1:8" x14ac:dyDescent="0.45">
      <c r="A34" s="484" t="s">
        <v>894</v>
      </c>
      <c r="B34" s="479" t="s">
        <v>52</v>
      </c>
      <c r="C34" s="479" t="s">
        <v>1088</v>
      </c>
      <c r="D34" s="484" t="s">
        <v>878</v>
      </c>
      <c r="E34" s="485" t="s">
        <v>893</v>
      </c>
      <c r="F34" s="486" t="s">
        <v>870</v>
      </c>
      <c r="G34" s="485" t="s">
        <v>892</v>
      </c>
      <c r="H34" s="485" t="s">
        <v>891</v>
      </c>
    </row>
    <row r="35" spans="1:8" x14ac:dyDescent="0.45">
      <c r="A35" s="482" t="s">
        <v>748</v>
      </c>
      <c r="B35" s="482"/>
      <c r="C35" s="498" t="s">
        <v>890</v>
      </c>
      <c r="D35" s="498"/>
      <c r="E35" s="498"/>
      <c r="F35" s="498"/>
      <c r="G35" s="498"/>
      <c r="H35" s="498"/>
    </row>
    <row r="36" spans="1:8" x14ac:dyDescent="0.45">
      <c r="A36" s="7" t="s">
        <v>889</v>
      </c>
      <c r="B36" s="479" t="s">
        <v>7</v>
      </c>
      <c r="C36" s="479" t="s">
        <v>1087</v>
      </c>
      <c r="D36" s="484" t="s">
        <v>872</v>
      </c>
      <c r="E36" s="485" t="s">
        <v>888</v>
      </c>
      <c r="F36" s="487" t="s">
        <v>883</v>
      </c>
      <c r="G36" s="485" t="s">
        <v>887</v>
      </c>
      <c r="H36" s="485" t="s">
        <v>886</v>
      </c>
    </row>
    <row r="37" spans="1:8" x14ac:dyDescent="0.45">
      <c r="A37" s="7" t="s">
        <v>885</v>
      </c>
      <c r="B37" s="479" t="s">
        <v>7</v>
      </c>
      <c r="C37" s="479" t="s">
        <v>1087</v>
      </c>
      <c r="D37" s="484" t="s">
        <v>872</v>
      </c>
      <c r="E37" s="485" t="s">
        <v>884</v>
      </c>
      <c r="F37" s="487" t="s">
        <v>883</v>
      </c>
      <c r="G37" s="485" t="s">
        <v>882</v>
      </c>
      <c r="H37" s="485" t="s">
        <v>881</v>
      </c>
    </row>
    <row r="38" spans="1:8" x14ac:dyDescent="0.45">
      <c r="A38" s="7" t="s">
        <v>877</v>
      </c>
      <c r="B38" s="479" t="s">
        <v>29</v>
      </c>
      <c r="C38" s="479" t="s">
        <v>1087</v>
      </c>
      <c r="D38" s="486" t="s">
        <v>870</v>
      </c>
      <c r="E38" s="485" t="s">
        <v>876</v>
      </c>
      <c r="F38" s="486" t="s">
        <v>870</v>
      </c>
      <c r="G38" s="485" t="s">
        <v>967</v>
      </c>
      <c r="H38" s="485" t="s">
        <v>968</v>
      </c>
    </row>
    <row r="39" spans="1:8" x14ac:dyDescent="0.45">
      <c r="A39" s="7" t="s">
        <v>84</v>
      </c>
      <c r="B39" s="479" t="s">
        <v>26</v>
      </c>
      <c r="C39" s="479" t="s">
        <v>1087</v>
      </c>
      <c r="D39" s="484" t="s">
        <v>872</v>
      </c>
      <c r="E39" s="485" t="s">
        <v>880</v>
      </c>
      <c r="F39" s="484" t="s">
        <v>878</v>
      </c>
      <c r="G39" s="485" t="s">
        <v>963</v>
      </c>
      <c r="H39" s="485" t="s">
        <v>964</v>
      </c>
    </row>
    <row r="40" spans="1:8" x14ac:dyDescent="0.45">
      <c r="A40" s="7" t="s">
        <v>82</v>
      </c>
      <c r="B40" s="479" t="s">
        <v>26</v>
      </c>
      <c r="C40" s="479" t="s">
        <v>1088</v>
      </c>
      <c r="D40" s="486" t="s">
        <v>870</v>
      </c>
      <c r="E40" s="485" t="s">
        <v>879</v>
      </c>
      <c r="F40" s="484" t="s">
        <v>878</v>
      </c>
      <c r="G40" s="485" t="s">
        <v>965</v>
      </c>
      <c r="H40" s="485" t="s">
        <v>966</v>
      </c>
    </row>
    <row r="41" spans="1:8" x14ac:dyDescent="0.45">
      <c r="A41" s="7" t="s">
        <v>80</v>
      </c>
      <c r="B41" s="479" t="s">
        <v>768</v>
      </c>
      <c r="C41" s="479" t="s">
        <v>1088</v>
      </c>
      <c r="D41" s="484" t="s">
        <v>872</v>
      </c>
      <c r="E41" s="485" t="s">
        <v>875</v>
      </c>
      <c r="F41" s="486" t="s">
        <v>874</v>
      </c>
      <c r="G41" s="485" t="s">
        <v>969</v>
      </c>
      <c r="H41" s="485"/>
    </row>
    <row r="42" spans="1:8" x14ac:dyDescent="0.45">
      <c r="A42" s="7" t="s">
        <v>873</v>
      </c>
      <c r="B42" s="479" t="s">
        <v>68</v>
      </c>
      <c r="C42" s="479" t="s">
        <v>1088</v>
      </c>
      <c r="D42" s="484" t="s">
        <v>872</v>
      </c>
      <c r="E42" s="485" t="s">
        <v>871</v>
      </c>
      <c r="F42" s="486" t="s">
        <v>870</v>
      </c>
      <c r="G42" s="485" t="s">
        <v>971</v>
      </c>
      <c r="H42" s="485" t="s">
        <v>970</v>
      </c>
    </row>
    <row r="43" spans="1:8" x14ac:dyDescent="0.45">
      <c r="A43" s="7" t="s">
        <v>71</v>
      </c>
      <c r="B43" s="479" t="s">
        <v>768</v>
      </c>
      <c r="C43" s="479" t="s">
        <v>1088</v>
      </c>
      <c r="D43" s="484" t="s">
        <v>872</v>
      </c>
      <c r="E43" s="485" t="s">
        <v>871</v>
      </c>
      <c r="F43" s="486" t="s">
        <v>870</v>
      </c>
      <c r="G43" s="485" t="s">
        <v>1084</v>
      </c>
      <c r="H43" s="485" t="s">
        <v>972</v>
      </c>
    </row>
    <row r="44" spans="1:8" x14ac:dyDescent="0.45">
      <c r="A44" s="7" t="s">
        <v>73</v>
      </c>
      <c r="B44" s="479" t="s">
        <v>768</v>
      </c>
      <c r="C44" s="479" t="s">
        <v>1088</v>
      </c>
      <c r="D44" s="484" t="s">
        <v>872</v>
      </c>
      <c r="E44" s="485" t="s">
        <v>871</v>
      </c>
      <c r="F44" s="484" t="s">
        <v>1007</v>
      </c>
      <c r="G44" s="485" t="s">
        <v>1050</v>
      </c>
      <c r="H44" s="485" t="s">
        <v>1051</v>
      </c>
    </row>
    <row r="45" spans="1:8" x14ac:dyDescent="0.45">
      <c r="A45" s="482" t="s">
        <v>88</v>
      </c>
      <c r="B45" s="482"/>
      <c r="C45" s="498" t="s">
        <v>973</v>
      </c>
      <c r="D45" s="498"/>
      <c r="E45" s="498"/>
      <c r="F45" s="498"/>
      <c r="G45" s="498"/>
      <c r="H45" s="498"/>
    </row>
    <row r="46" spans="1:8" x14ac:dyDescent="0.45">
      <c r="A46" s="484" t="s">
        <v>974</v>
      </c>
      <c r="B46" s="479" t="s">
        <v>29</v>
      </c>
      <c r="C46" s="479" t="s">
        <v>1088</v>
      </c>
      <c r="D46" s="484" t="s">
        <v>878</v>
      </c>
      <c r="E46" s="485" t="s">
        <v>977</v>
      </c>
      <c r="F46" s="486" t="s">
        <v>870</v>
      </c>
      <c r="G46" s="485" t="s">
        <v>985</v>
      </c>
      <c r="H46" s="485" t="s">
        <v>986</v>
      </c>
    </row>
    <row r="47" spans="1:8" x14ac:dyDescent="0.45">
      <c r="A47" s="484" t="s">
        <v>975</v>
      </c>
      <c r="B47" s="479" t="s">
        <v>68</v>
      </c>
      <c r="C47" s="479" t="s">
        <v>1088</v>
      </c>
      <c r="D47" s="484" t="s">
        <v>878</v>
      </c>
      <c r="E47" s="485" t="s">
        <v>978</v>
      </c>
      <c r="F47" s="486" t="s">
        <v>870</v>
      </c>
      <c r="G47" s="485" t="s">
        <v>987</v>
      </c>
      <c r="H47" s="485" t="s">
        <v>988</v>
      </c>
    </row>
    <row r="48" spans="1:8" x14ac:dyDescent="0.45">
      <c r="A48" s="484" t="s">
        <v>100</v>
      </c>
      <c r="B48" s="479" t="s">
        <v>68</v>
      </c>
      <c r="C48" s="479" t="s">
        <v>1088</v>
      </c>
      <c r="D48" s="484" t="s">
        <v>878</v>
      </c>
      <c r="E48" s="485" t="s">
        <v>979</v>
      </c>
      <c r="F48" s="486" t="s">
        <v>870</v>
      </c>
      <c r="G48" s="485" t="s">
        <v>989</v>
      </c>
      <c r="H48" s="485"/>
    </row>
    <row r="49" spans="1:8" x14ac:dyDescent="0.45">
      <c r="A49" s="484" t="s">
        <v>976</v>
      </c>
      <c r="B49" s="479" t="s">
        <v>26</v>
      </c>
      <c r="C49" s="479" t="s">
        <v>1088</v>
      </c>
      <c r="D49" s="484" t="s">
        <v>872</v>
      </c>
      <c r="E49" s="485" t="s">
        <v>983</v>
      </c>
      <c r="F49" s="486" t="s">
        <v>870</v>
      </c>
      <c r="G49" s="485" t="s">
        <v>998</v>
      </c>
      <c r="H49" s="485"/>
    </row>
    <row r="50" spans="1:8" x14ac:dyDescent="0.45">
      <c r="A50" s="484" t="s">
        <v>482</v>
      </c>
      <c r="B50" s="479" t="s">
        <v>68</v>
      </c>
      <c r="C50" s="479" t="s">
        <v>1088</v>
      </c>
      <c r="D50" s="484" t="s">
        <v>872</v>
      </c>
      <c r="E50" s="485" t="s">
        <v>980</v>
      </c>
      <c r="F50" s="486" t="s">
        <v>870</v>
      </c>
      <c r="G50" s="485" t="s">
        <v>992</v>
      </c>
      <c r="H50" s="485" t="s">
        <v>993</v>
      </c>
    </row>
    <row r="51" spans="1:8" x14ac:dyDescent="0.45">
      <c r="A51" s="484" t="s">
        <v>91</v>
      </c>
      <c r="B51" s="479" t="s">
        <v>52</v>
      </c>
      <c r="C51" s="479" t="s">
        <v>1087</v>
      </c>
      <c r="D51" s="484" t="s">
        <v>878</v>
      </c>
      <c r="E51" s="485" t="s">
        <v>981</v>
      </c>
      <c r="F51" s="484" t="s">
        <v>872</v>
      </c>
      <c r="G51" s="485" t="s">
        <v>994</v>
      </c>
      <c r="H51" s="485" t="s">
        <v>995</v>
      </c>
    </row>
    <row r="52" spans="1:8" x14ac:dyDescent="0.45">
      <c r="A52" s="484" t="s">
        <v>98</v>
      </c>
      <c r="B52" s="479" t="s">
        <v>68</v>
      </c>
      <c r="C52" s="479" t="s">
        <v>1088</v>
      </c>
      <c r="D52" s="484" t="s">
        <v>878</v>
      </c>
      <c r="E52" s="485" t="s">
        <v>982</v>
      </c>
      <c r="F52" s="486" t="s">
        <v>870</v>
      </c>
      <c r="G52" s="485" t="s">
        <v>996</v>
      </c>
      <c r="H52" s="485" t="s">
        <v>997</v>
      </c>
    </row>
    <row r="53" spans="1:8" x14ac:dyDescent="0.45">
      <c r="A53" s="484" t="s">
        <v>104</v>
      </c>
      <c r="B53" s="479" t="s">
        <v>41</v>
      </c>
      <c r="C53" s="479" t="s">
        <v>1087</v>
      </c>
      <c r="D53" s="484" t="s">
        <v>878</v>
      </c>
      <c r="E53" s="485" t="s">
        <v>977</v>
      </c>
      <c r="F53" s="484" t="s">
        <v>872</v>
      </c>
      <c r="G53" s="485" t="s">
        <v>990</v>
      </c>
      <c r="H53" s="485" t="s">
        <v>991</v>
      </c>
    </row>
    <row r="54" spans="1:8" x14ac:dyDescent="0.45">
      <c r="A54" s="484" t="s">
        <v>92</v>
      </c>
      <c r="B54" s="479" t="s">
        <v>41</v>
      </c>
      <c r="C54" s="479" t="s">
        <v>1088</v>
      </c>
      <c r="D54" s="484" t="s">
        <v>878</v>
      </c>
      <c r="E54" s="485" t="s">
        <v>984</v>
      </c>
      <c r="F54" s="486" t="s">
        <v>870</v>
      </c>
      <c r="G54" s="485" t="s">
        <v>999</v>
      </c>
      <c r="H54" s="485" t="s">
        <v>1000</v>
      </c>
    </row>
    <row r="55" spans="1:8" x14ac:dyDescent="0.45">
      <c r="A55" s="482" t="s">
        <v>106</v>
      </c>
      <c r="B55" s="482"/>
      <c r="C55" s="498" t="s">
        <v>1001</v>
      </c>
      <c r="D55" s="498"/>
      <c r="E55" s="498"/>
      <c r="F55" s="498"/>
      <c r="G55" s="498"/>
      <c r="H55" s="498"/>
    </row>
    <row r="56" spans="1:8" ht="39.6" x14ac:dyDescent="0.45">
      <c r="A56" s="484" t="s">
        <v>1002</v>
      </c>
      <c r="B56" s="479" t="s">
        <v>68</v>
      </c>
      <c r="C56" s="479" t="s">
        <v>1088</v>
      </c>
      <c r="D56" s="484" t="s">
        <v>878</v>
      </c>
      <c r="E56" s="485" t="s">
        <v>1004</v>
      </c>
      <c r="F56" s="486" t="s">
        <v>1006</v>
      </c>
      <c r="G56" s="485" t="s">
        <v>1008</v>
      </c>
      <c r="H56" s="485" t="s">
        <v>1009</v>
      </c>
    </row>
    <row r="57" spans="1:8" x14ac:dyDescent="0.45">
      <c r="A57" s="484" t="s">
        <v>1003</v>
      </c>
      <c r="B57" s="479" t="s">
        <v>68</v>
      </c>
      <c r="C57" s="479" t="s">
        <v>1087</v>
      </c>
      <c r="D57" s="484" t="s">
        <v>872</v>
      </c>
      <c r="E57" s="485" t="s">
        <v>1005</v>
      </c>
      <c r="F57" s="487" t="s">
        <v>1007</v>
      </c>
      <c r="G57" s="485" t="s">
        <v>1010</v>
      </c>
      <c r="H57" s="485" t="s">
        <v>1011</v>
      </c>
    </row>
    <row r="58" spans="1:8" ht="39.6" x14ac:dyDescent="0.45">
      <c r="A58" s="484" t="s">
        <v>1034</v>
      </c>
      <c r="B58" s="479" t="s">
        <v>41</v>
      </c>
      <c r="C58" s="479" t="s">
        <v>1088</v>
      </c>
      <c r="D58" s="484" t="s">
        <v>872</v>
      </c>
      <c r="E58" s="485" t="s">
        <v>871</v>
      </c>
      <c r="F58" s="486" t="s">
        <v>870</v>
      </c>
      <c r="G58" s="485" t="s">
        <v>1052</v>
      </c>
      <c r="H58" s="485" t="s">
        <v>1049</v>
      </c>
    </row>
    <row r="59" spans="1:8" ht="39.6" x14ac:dyDescent="0.45">
      <c r="A59" s="484" t="s">
        <v>485</v>
      </c>
      <c r="B59" s="479" t="s">
        <v>52</v>
      </c>
      <c r="C59" s="479" t="s">
        <v>1087</v>
      </c>
      <c r="D59" s="486" t="s">
        <v>1053</v>
      </c>
      <c r="E59" s="485" t="s">
        <v>1054</v>
      </c>
      <c r="F59" s="487" t="s">
        <v>900</v>
      </c>
      <c r="G59" s="485" t="s">
        <v>1055</v>
      </c>
      <c r="H59" s="485" t="s">
        <v>1056</v>
      </c>
    </row>
    <row r="60" spans="1:8" ht="39.6" x14ac:dyDescent="0.45">
      <c r="A60" s="484" t="s">
        <v>1061</v>
      </c>
      <c r="B60" s="479" t="s">
        <v>52</v>
      </c>
      <c r="C60" s="479" t="s">
        <v>1087</v>
      </c>
      <c r="D60" s="484" t="s">
        <v>878</v>
      </c>
      <c r="E60" s="485" t="s">
        <v>1057</v>
      </c>
      <c r="F60" s="487" t="s">
        <v>1007</v>
      </c>
      <c r="G60" s="485" t="s">
        <v>1058</v>
      </c>
      <c r="H60" s="485" t="s">
        <v>1059</v>
      </c>
    </row>
    <row r="61" spans="1:8" ht="39.6" x14ac:dyDescent="0.45">
      <c r="A61" s="484" t="s">
        <v>1060</v>
      </c>
      <c r="B61" s="479" t="s">
        <v>52</v>
      </c>
      <c r="C61" s="479" t="s">
        <v>1087</v>
      </c>
      <c r="D61" s="484" t="s">
        <v>878</v>
      </c>
      <c r="E61" s="485" t="s">
        <v>1057</v>
      </c>
      <c r="F61" s="487" t="s">
        <v>1007</v>
      </c>
      <c r="G61" s="485" t="s">
        <v>1062</v>
      </c>
      <c r="H61" s="485" t="s">
        <v>1063</v>
      </c>
    </row>
    <row r="62" spans="1:8" x14ac:dyDescent="0.45">
      <c r="A62" s="482" t="s">
        <v>738</v>
      </c>
      <c r="B62" s="482"/>
      <c r="C62" s="498" t="s">
        <v>1012</v>
      </c>
      <c r="D62" s="498"/>
      <c r="E62" s="498"/>
      <c r="F62" s="498"/>
      <c r="G62" s="498"/>
      <c r="H62" s="498"/>
    </row>
    <row r="63" spans="1:8" x14ac:dyDescent="0.45">
      <c r="A63" s="484" t="s">
        <v>1013</v>
      </c>
      <c r="B63" s="479" t="s">
        <v>768</v>
      </c>
      <c r="C63" s="479" t="s">
        <v>1087</v>
      </c>
      <c r="D63" s="486" t="s">
        <v>870</v>
      </c>
      <c r="E63" s="485" t="s">
        <v>1016</v>
      </c>
      <c r="F63" s="486" t="s">
        <v>870</v>
      </c>
      <c r="G63" s="485" t="s">
        <v>1019</v>
      </c>
      <c r="H63" s="485" t="s">
        <v>1022</v>
      </c>
    </row>
    <row r="64" spans="1:8" x14ac:dyDescent="0.45">
      <c r="A64" s="484" t="s">
        <v>1014</v>
      </c>
      <c r="B64" s="479" t="s">
        <v>768</v>
      </c>
      <c r="C64" s="479" t="s">
        <v>1088</v>
      </c>
      <c r="D64" s="484" t="s">
        <v>872</v>
      </c>
      <c r="E64" s="485" t="s">
        <v>1017</v>
      </c>
      <c r="F64" s="486" t="s">
        <v>870</v>
      </c>
      <c r="G64" s="485" t="s">
        <v>1020</v>
      </c>
      <c r="H64" s="485" t="s">
        <v>1023</v>
      </c>
    </row>
    <row r="65" spans="1:8" x14ac:dyDescent="0.45">
      <c r="A65" s="484" t="s">
        <v>1015</v>
      </c>
      <c r="B65" s="479" t="s">
        <v>41</v>
      </c>
      <c r="C65" s="479" t="s">
        <v>1087</v>
      </c>
      <c r="D65" s="486" t="s">
        <v>870</v>
      </c>
      <c r="E65" s="485" t="s">
        <v>1018</v>
      </c>
      <c r="F65" s="486" t="s">
        <v>870</v>
      </c>
      <c r="G65" s="485" t="s">
        <v>1021</v>
      </c>
      <c r="H65" s="485" t="s">
        <v>1069</v>
      </c>
    </row>
    <row r="66" spans="1:8" ht="39.6" x14ac:dyDescent="0.45">
      <c r="A66" s="484" t="s">
        <v>492</v>
      </c>
      <c r="B66" s="479" t="s">
        <v>41</v>
      </c>
      <c r="C66" s="479" t="s">
        <v>1087</v>
      </c>
      <c r="D66" s="486" t="s">
        <v>870</v>
      </c>
      <c r="E66" s="485" t="s">
        <v>1064</v>
      </c>
      <c r="F66" s="486" t="s">
        <v>870</v>
      </c>
      <c r="G66" s="485" t="s">
        <v>1066</v>
      </c>
      <c r="H66" s="485" t="s">
        <v>1065</v>
      </c>
    </row>
    <row r="67" spans="1:8" x14ac:dyDescent="0.45">
      <c r="A67" s="484" t="s">
        <v>494</v>
      </c>
      <c r="B67" s="479" t="s">
        <v>41</v>
      </c>
      <c r="C67" s="479" t="s">
        <v>1087</v>
      </c>
      <c r="D67" s="486" t="s">
        <v>870</v>
      </c>
      <c r="E67" s="485" t="s">
        <v>1067</v>
      </c>
      <c r="F67" s="486" t="s">
        <v>870</v>
      </c>
      <c r="G67" s="485" t="s">
        <v>1068</v>
      </c>
      <c r="H67" s="485" t="s">
        <v>1070</v>
      </c>
    </row>
    <row r="68" spans="1:8" x14ac:dyDescent="0.45">
      <c r="A68" s="482" t="s">
        <v>121</v>
      </c>
      <c r="B68" s="482"/>
      <c r="C68" s="498" t="s">
        <v>1024</v>
      </c>
      <c r="D68" s="498"/>
      <c r="E68" s="498"/>
      <c r="F68" s="498"/>
      <c r="G68" s="498"/>
      <c r="H68" s="498"/>
    </row>
    <row r="69" spans="1:8" ht="39.6" x14ac:dyDescent="0.45">
      <c r="A69" s="484" t="s">
        <v>1025</v>
      </c>
      <c r="B69" s="479" t="s">
        <v>41</v>
      </c>
      <c r="C69" s="479" t="s">
        <v>1087</v>
      </c>
      <c r="D69" s="486" t="s">
        <v>870</v>
      </c>
      <c r="E69" s="485" t="s">
        <v>1027</v>
      </c>
      <c r="F69" s="486" t="s">
        <v>870</v>
      </c>
      <c r="G69" s="485" t="s">
        <v>1029</v>
      </c>
      <c r="H69" s="485" t="s">
        <v>1030</v>
      </c>
    </row>
    <row r="70" spans="1:8" ht="39.6" x14ac:dyDescent="0.45">
      <c r="A70" s="484" t="s">
        <v>1026</v>
      </c>
      <c r="B70" s="479" t="s">
        <v>41</v>
      </c>
      <c r="C70" s="479" t="s">
        <v>1088</v>
      </c>
      <c r="D70" s="484" t="s">
        <v>872</v>
      </c>
      <c r="E70" s="485" t="s">
        <v>1028</v>
      </c>
      <c r="F70" s="486" t="s">
        <v>870</v>
      </c>
      <c r="G70" s="485" t="s">
        <v>1029</v>
      </c>
      <c r="H70" s="485" t="s">
        <v>1030</v>
      </c>
    </row>
    <row r="71" spans="1:8" ht="39.6" x14ac:dyDescent="0.45">
      <c r="A71" s="484" t="s">
        <v>1035</v>
      </c>
      <c r="B71" s="479" t="s">
        <v>41</v>
      </c>
      <c r="C71" s="479" t="s">
        <v>1088</v>
      </c>
      <c r="D71" s="484" t="s">
        <v>872</v>
      </c>
      <c r="E71" s="485" t="s">
        <v>1071</v>
      </c>
      <c r="F71" s="486" t="s">
        <v>870</v>
      </c>
      <c r="G71" s="485" t="s">
        <v>1072</v>
      </c>
      <c r="H71" s="485"/>
    </row>
    <row r="72" spans="1:8" ht="39.6" x14ac:dyDescent="0.45">
      <c r="A72" s="484" t="s">
        <v>489</v>
      </c>
      <c r="B72" s="479" t="s">
        <v>41</v>
      </c>
      <c r="C72" s="479" t="s">
        <v>1088</v>
      </c>
      <c r="D72" s="484" t="s">
        <v>872</v>
      </c>
      <c r="E72" s="485" t="s">
        <v>1073</v>
      </c>
      <c r="F72" s="486" t="s">
        <v>870</v>
      </c>
      <c r="G72" s="485" t="s">
        <v>1074</v>
      </c>
      <c r="H72" s="485"/>
    </row>
    <row r="73" spans="1:8" ht="59.4" x14ac:dyDescent="0.45">
      <c r="A73" s="484" t="s">
        <v>1036</v>
      </c>
      <c r="B73" s="479" t="s">
        <v>41</v>
      </c>
      <c r="C73" s="479" t="s">
        <v>1075</v>
      </c>
      <c r="D73" s="484" t="s">
        <v>878</v>
      </c>
      <c r="E73" s="485" t="s">
        <v>1076</v>
      </c>
      <c r="F73" s="480" t="s">
        <v>1077</v>
      </c>
      <c r="G73" s="485" t="s">
        <v>1078</v>
      </c>
      <c r="H73" s="485" t="s">
        <v>1079</v>
      </c>
    </row>
    <row r="74" spans="1:8" ht="59.4" x14ac:dyDescent="0.45">
      <c r="A74" s="484" t="s">
        <v>126</v>
      </c>
      <c r="B74" s="479" t="s">
        <v>52</v>
      </c>
      <c r="C74" s="479"/>
      <c r="D74" s="484" t="s">
        <v>872</v>
      </c>
      <c r="E74" s="485" t="s">
        <v>1081</v>
      </c>
      <c r="F74" s="479" t="s">
        <v>1080</v>
      </c>
      <c r="G74" s="485" t="s">
        <v>1082</v>
      </c>
      <c r="H74" s="485" t="s">
        <v>1083</v>
      </c>
    </row>
  </sheetData>
  <autoFilter ref="A1:H74" xr:uid="{DC07270D-F729-4E7A-B80E-AAE6D0147A6D}">
    <filterColumn colId="3" showButton="0"/>
    <filterColumn colId="5" showButton="0"/>
  </autoFilter>
  <mergeCells count="8">
    <mergeCell ref="C55:H55"/>
    <mergeCell ref="C62:H62"/>
    <mergeCell ref="C68:H68"/>
    <mergeCell ref="D1:E1"/>
    <mergeCell ref="F1:G1"/>
    <mergeCell ref="C2:H2"/>
    <mergeCell ref="C35:H35"/>
    <mergeCell ref="C45:H45"/>
  </mergeCells>
  <phoneticPr fontId="2"/>
  <hyperlinks>
    <hyperlink ref="A36" r:id="rId1" xr:uid="{0276D0EC-A7BC-4EC3-B1F0-D6E0D51B2E80}"/>
    <hyperlink ref="A37" r:id="rId2" xr:uid="{A29AEED1-7FF4-4A26-9B6F-272EF0B13829}"/>
    <hyperlink ref="A38" r:id="rId3" xr:uid="{3B30B142-F04B-4FEC-8F64-9B9F4FA66D6E}"/>
    <hyperlink ref="A39" r:id="rId4" xr:uid="{512483AB-0769-40C6-86F4-3A7B76B4495E}"/>
    <hyperlink ref="A40" r:id="rId5" xr:uid="{EF4D5AAE-EED1-4C80-A4BA-D7DB55357591}"/>
    <hyperlink ref="A41" r:id="rId6" xr:uid="{F2274AA8-1C09-4D04-91C8-465D105D5CC6}"/>
    <hyperlink ref="A42" r:id="rId7" xr:uid="{3B9F3B28-A196-4CFF-BE9D-DD500BF4B71E}"/>
    <hyperlink ref="A43" r:id="rId8" xr:uid="{7195C4BF-06FC-46C3-A4F5-FA17B4284471}"/>
    <hyperlink ref="A44" r:id="rId9" xr:uid="{79C25549-D27A-4720-B1A0-EE5A37664C3D}"/>
  </hyperlinks>
  <pageMargins left="0.70866141732283472" right="0.70866141732283472" top="0.74803149606299213" bottom="0.74803149606299213" header="0.31496062992125984" footer="0.31496062992125984"/>
  <pageSetup paperSize="9" scale="53" fitToHeight="0" orientation="landscape" r:id="rId10"/>
  <rowBreaks count="2" manualBreakCount="2">
    <brk id="34" max="16383" man="1"/>
    <brk id="6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0CDC-3025-4177-B229-1B6CF572D499}">
  <sheetPr codeName="Sheet7">
    <pageSetUpPr fitToPage="1"/>
  </sheetPr>
  <dimension ref="A1:S52"/>
  <sheetViews>
    <sheetView showGridLines="0" zoomScaleNormal="80" zoomScaleSheetLayoutView="100" workbookViewId="0">
      <selection activeCell="A17" sqref="A17"/>
    </sheetView>
  </sheetViews>
  <sheetFormatPr defaultRowHeight="18" x14ac:dyDescent="0.45"/>
  <cols>
    <col min="1" max="1" width="12.69921875" customWidth="1"/>
    <col min="2" max="2" width="30.8984375" customWidth="1"/>
    <col min="3" max="3" width="8.09765625" style="1" bestFit="1" customWidth="1"/>
    <col min="4" max="4" width="10.3984375" style="1" customWidth="1"/>
    <col min="5" max="5" width="6.19921875" style="1" hidden="1" customWidth="1"/>
    <col min="6" max="6" width="12.69921875" customWidth="1"/>
    <col min="7" max="7" width="30.8984375" customWidth="1"/>
    <col min="8" max="8" width="4.5" style="1" bestFit="1" customWidth="1"/>
    <col min="9" max="9" width="10.3984375" style="1" customWidth="1"/>
    <col min="10" max="10" width="3.59765625" style="1" hidden="1" customWidth="1"/>
    <col min="11" max="11" width="12.69921875" customWidth="1"/>
    <col min="12" max="12" width="30.8984375" customWidth="1"/>
    <col min="13" max="13" width="4.5" style="1" bestFit="1" customWidth="1"/>
    <col min="14" max="14" width="10.3984375" style="1" customWidth="1"/>
    <col min="15" max="15" width="3.59765625" style="1" hidden="1" customWidth="1"/>
    <col min="16" max="16" width="12.69921875" customWidth="1"/>
    <col min="17" max="17" width="30.8984375" customWidth="1"/>
    <col min="18" max="18" width="9.09765625" style="1" bestFit="1" customWidth="1"/>
    <col min="19" max="19" width="10.3984375" style="1" customWidth="1"/>
    <col min="20" max="20" width="8.69921875" bestFit="1" customWidth="1"/>
  </cols>
  <sheetData>
    <row r="1" spans="1:19" ht="33" thickBot="1" x14ac:dyDescent="0.5">
      <c r="A1" s="453" t="s">
        <v>849</v>
      </c>
      <c r="E1" s="1">
        <f>COUNTIF(E3:E52,"&gt;0")</f>
        <v>46</v>
      </c>
      <c r="J1" s="1">
        <f>COUNTIF(J3:J52,"&gt;0")</f>
        <v>41</v>
      </c>
      <c r="O1" s="1">
        <f>COUNTIF(O3:O52,"&gt;0")</f>
        <v>23</v>
      </c>
    </row>
    <row r="2" spans="1:19" s="1" customFormat="1" ht="18.600000000000001" thickBot="1" x14ac:dyDescent="0.5">
      <c r="A2" s="452" t="s">
        <v>755</v>
      </c>
      <c r="B2" s="451" t="s">
        <v>756</v>
      </c>
      <c r="C2" s="450" t="s">
        <v>757</v>
      </c>
      <c r="D2" s="451" t="s">
        <v>758</v>
      </c>
      <c r="E2" s="462"/>
      <c r="F2" s="452" t="s">
        <v>755</v>
      </c>
      <c r="G2" s="451" t="s">
        <v>756</v>
      </c>
      <c r="H2" s="450" t="s">
        <v>757</v>
      </c>
      <c r="I2" s="451" t="s">
        <v>758</v>
      </c>
      <c r="J2" s="462"/>
      <c r="K2" s="452" t="s">
        <v>755</v>
      </c>
      <c r="L2" s="451" t="s">
        <v>756</v>
      </c>
      <c r="M2" s="450" t="s">
        <v>757</v>
      </c>
      <c r="N2" s="449" t="s">
        <v>758</v>
      </c>
      <c r="O2" s="462"/>
      <c r="P2" s="458" t="s">
        <v>755</v>
      </c>
      <c r="Q2" s="451" t="s">
        <v>756</v>
      </c>
      <c r="R2" s="450" t="s">
        <v>757</v>
      </c>
      <c r="S2" s="449" t="s">
        <v>758</v>
      </c>
    </row>
    <row r="3" spans="1:19" x14ac:dyDescent="0.45">
      <c r="A3" s="441" t="s">
        <v>759</v>
      </c>
      <c r="B3" s="319" t="s">
        <v>225</v>
      </c>
      <c r="C3" s="315">
        <v>2</v>
      </c>
      <c r="D3" s="444" t="s">
        <v>740</v>
      </c>
      <c r="E3" s="1">
        <f>LEN(_xlfn.IFNA(VLOOKUP(B3,特昇対策!$C:$C,1,FALSE),IF(OR(D3="龍王拳",D3="龍華拳",C3="二",C3="三",C3="四"),B3,"")))</f>
        <v>5</v>
      </c>
      <c r="F3" s="441" t="s">
        <v>760</v>
      </c>
      <c r="G3" s="319" t="s">
        <v>391</v>
      </c>
      <c r="H3" s="315">
        <v>1</v>
      </c>
      <c r="I3" s="444" t="s">
        <v>761</v>
      </c>
      <c r="J3" s="1">
        <f>LEN(_xlfn.IFNA(VLOOKUP(G3,特昇対策!$C:$C,1,FALSE),IF(OR(I3="龍王拳",I3="龍華拳",H3="二",H3="三",H3="四"),G3,"")))</f>
        <v>0</v>
      </c>
      <c r="K3" s="441" t="s">
        <v>321</v>
      </c>
      <c r="L3" s="319" t="s">
        <v>319</v>
      </c>
      <c r="M3" s="315" t="s">
        <v>41</v>
      </c>
      <c r="N3" s="440" t="s">
        <v>741</v>
      </c>
      <c r="O3" s="1">
        <f>LEN(_xlfn.IFNA(VLOOKUP(L3,特昇対策!$C:$C,1,FALSE),IF(OR(N3="龍王拳",N3="龍華拳",M3="二",M3="三",M3="四"),L3,"")))</f>
        <v>3</v>
      </c>
      <c r="P3" s="459" t="s">
        <v>742</v>
      </c>
      <c r="Q3" s="320" t="s">
        <v>813</v>
      </c>
      <c r="R3" s="433" t="s">
        <v>768</v>
      </c>
      <c r="S3" s="432"/>
    </row>
    <row r="4" spans="1:19" x14ac:dyDescent="0.45">
      <c r="A4" s="441"/>
      <c r="B4" s="319" t="s">
        <v>762</v>
      </c>
      <c r="C4" s="315">
        <v>2</v>
      </c>
      <c r="D4" s="444" t="s">
        <v>742</v>
      </c>
      <c r="E4" s="1">
        <f>LEN(_xlfn.IFNA(VLOOKUP(B4,特昇対策!$C:$C,1,FALSE),IF(OR(D4="龍王拳",D4="龍華拳",C4="二",C4="三",C4="四"),B4,"")))</f>
        <v>0</v>
      </c>
      <c r="F4" s="441"/>
      <c r="G4" s="319" t="s">
        <v>381</v>
      </c>
      <c r="H4" s="315">
        <v>1</v>
      </c>
      <c r="I4" s="444" t="s">
        <v>761</v>
      </c>
      <c r="J4" s="1">
        <f>LEN(_xlfn.IFNA(VLOOKUP(G4,特昇対策!$C:$C,1,FALSE),IF(OR(I4="龍王拳",I4="龍華拳",H4="二",H4="三",H4="四"),G4,"")))</f>
        <v>0</v>
      </c>
      <c r="K4" s="441"/>
      <c r="L4" s="319" t="s">
        <v>322</v>
      </c>
      <c r="M4" s="315" t="s">
        <v>41</v>
      </c>
      <c r="N4" s="440" t="s">
        <v>741</v>
      </c>
      <c r="O4" s="1">
        <f>LEN(_xlfn.IFNA(VLOOKUP(L4,特昇対策!$C:$C,1,FALSE),IF(OR(N4="龍王拳",N4="龍華拳",M4="二",M4="三",M4="四"),L4,"")))</f>
        <v>4</v>
      </c>
      <c r="Q4" s="319" t="s">
        <v>332</v>
      </c>
      <c r="R4" s="315" t="s">
        <v>768</v>
      </c>
      <c r="S4" s="425"/>
    </row>
    <row r="5" spans="1:19" x14ac:dyDescent="0.45">
      <c r="A5" s="441"/>
      <c r="B5" s="319" t="s">
        <v>244</v>
      </c>
      <c r="C5" s="315">
        <v>2</v>
      </c>
      <c r="D5" s="444" t="s">
        <v>740</v>
      </c>
      <c r="E5" s="1">
        <f>LEN(_xlfn.IFNA(VLOOKUP(B5,特昇対策!$C:$C,1,FALSE),IF(OR(D5="龍王拳",D5="龍華拳",C5="二",C5="三",C5="四"),B5,"")))</f>
        <v>4</v>
      </c>
      <c r="F5" s="441"/>
      <c r="G5" s="319" t="s">
        <v>382</v>
      </c>
      <c r="H5" s="315" t="s">
        <v>41</v>
      </c>
      <c r="I5" s="444" t="s">
        <v>761</v>
      </c>
      <c r="J5" s="1">
        <f>LEN(_xlfn.IFNA(VLOOKUP(G5,特昇対策!$C:$C,1,FALSE),IF(OR(I5="龍王拳",I5="龍華拳",H5="二",H5="三",H5="四"),G5,"")))</f>
        <v>3</v>
      </c>
      <c r="K5" s="441"/>
      <c r="L5" s="319" t="s">
        <v>323</v>
      </c>
      <c r="M5" s="315" t="s">
        <v>52</v>
      </c>
      <c r="N5" s="440" t="s">
        <v>741</v>
      </c>
      <c r="O5" s="1">
        <f>LEN(_xlfn.IFNA(VLOOKUP(L5,特昇対策!$C:$C,1,FALSE),IF(OR(N5="龍王拳",N5="龍華拳",M5="二",M5="三",M5="四"),L5,"")))</f>
        <v>5</v>
      </c>
      <c r="Q5" s="319" t="s">
        <v>817</v>
      </c>
      <c r="R5" s="315" t="s">
        <v>768</v>
      </c>
      <c r="S5" s="425"/>
    </row>
    <row r="6" spans="1:19" x14ac:dyDescent="0.45">
      <c r="A6" s="441"/>
      <c r="B6" s="319" t="s">
        <v>240</v>
      </c>
      <c r="C6" s="315">
        <v>4</v>
      </c>
      <c r="D6" s="444" t="s">
        <v>740</v>
      </c>
      <c r="E6" s="1">
        <f>LEN(_xlfn.IFNA(VLOOKUP(B6,特昇対策!$C:$C,1,FALSE),IF(OR(D6="龍王拳",D6="龍華拳",C6="二",C6="三",C6="四"),B6,"")))</f>
        <v>4</v>
      </c>
      <c r="F6" s="443"/>
      <c r="G6" s="318" t="s">
        <v>384</v>
      </c>
      <c r="H6" s="316" t="s">
        <v>41</v>
      </c>
      <c r="I6" s="442" t="s">
        <v>761</v>
      </c>
      <c r="J6" s="1">
        <f>LEN(_xlfn.IFNA(VLOOKUP(G6,特昇対策!$C:$C,1,FALSE),IF(OR(I6="龍王拳",I6="龍華拳",H6="二",H6="三",H6="四"),G6,"")))</f>
        <v>3</v>
      </c>
      <c r="K6" s="443"/>
      <c r="L6" s="318" t="s">
        <v>321</v>
      </c>
      <c r="M6" s="316" t="s">
        <v>200</v>
      </c>
      <c r="N6" s="448" t="s">
        <v>741</v>
      </c>
      <c r="O6" s="1">
        <f>LEN(_xlfn.IFNA(VLOOKUP(L6,特昇対策!$C:$C,1,FALSE),IF(OR(N6="龍王拳",N6="龍華拳",M6="二",M6="三",M6="四"),L6,"")))</f>
        <v>3</v>
      </c>
      <c r="Q6" s="319" t="s">
        <v>818</v>
      </c>
      <c r="R6" s="315" t="s">
        <v>768</v>
      </c>
      <c r="S6" s="425"/>
    </row>
    <row r="7" spans="1:19" x14ac:dyDescent="0.45">
      <c r="A7" s="441"/>
      <c r="B7" s="319" t="s">
        <v>246</v>
      </c>
      <c r="C7" s="315" t="s">
        <v>52</v>
      </c>
      <c r="D7" s="444" t="s">
        <v>740</v>
      </c>
      <c r="E7" s="1">
        <f>LEN(_xlfn.IFNA(VLOOKUP(B7,特昇対策!$C:$C,1,FALSE),IF(OR(D7="龍王拳",D7="龍華拳",C7="二",C7="三",C7="四"),B7,"")))</f>
        <v>4</v>
      </c>
      <c r="F7" s="447" t="s">
        <v>763</v>
      </c>
      <c r="G7" s="320" t="s">
        <v>764</v>
      </c>
      <c r="H7" s="433">
        <v>1</v>
      </c>
      <c r="I7" s="445" t="s">
        <v>761</v>
      </c>
      <c r="J7" s="1">
        <f>LEN(_xlfn.IFNA(VLOOKUP(G7,特昇対策!$C:$C,1,FALSE),IF(OR(I7="龍王拳",I7="龍華拳",H7="二",H7="三",H7="四"),G7,"")))</f>
        <v>0</v>
      </c>
      <c r="K7" s="447" t="s">
        <v>765</v>
      </c>
      <c r="L7" s="320" t="s">
        <v>766</v>
      </c>
      <c r="M7" s="433" t="s">
        <v>52</v>
      </c>
      <c r="N7" s="446" t="s">
        <v>761</v>
      </c>
      <c r="O7" s="1">
        <f>LEN(_xlfn.IFNA(VLOOKUP(L7,特昇対策!$C:$C,1,FALSE),IF(OR(N7="龍王拳",N7="龍華拳",M7="二",M7="三",M7="四"),L7,"")))</f>
        <v>3</v>
      </c>
      <c r="Q7" s="319" t="s">
        <v>349</v>
      </c>
      <c r="R7" s="315" t="s">
        <v>768</v>
      </c>
      <c r="S7" s="425"/>
    </row>
    <row r="8" spans="1:19" x14ac:dyDescent="0.45">
      <c r="A8" s="441"/>
      <c r="B8" s="319" t="s">
        <v>355</v>
      </c>
      <c r="C8" s="315" t="s">
        <v>52</v>
      </c>
      <c r="D8" s="444" t="s">
        <v>742</v>
      </c>
      <c r="E8" s="1">
        <f>LEN(_xlfn.IFNA(VLOOKUP(B8,特昇対策!$C:$C,1,FALSE),IF(OR(D8="龍王拳",D8="龍華拳",C8="二",C8="三",C8="四"),B8,"")))</f>
        <v>4</v>
      </c>
      <c r="F8" s="441"/>
      <c r="G8" s="319" t="s">
        <v>767</v>
      </c>
      <c r="H8" s="315" t="s">
        <v>768</v>
      </c>
      <c r="I8" s="444" t="s">
        <v>769</v>
      </c>
      <c r="J8" s="1">
        <f>LEN(_xlfn.IFNA(VLOOKUP(G8,特昇対策!$C:$C,1,FALSE),IF(OR(I8="龍王拳",I8="龍華拳",H8="二",H8="三",H8="四"),G8,"")))</f>
        <v>0</v>
      </c>
      <c r="K8" s="441"/>
      <c r="L8" s="319" t="s">
        <v>578</v>
      </c>
      <c r="M8" s="315" t="s">
        <v>200</v>
      </c>
      <c r="N8" s="440" t="s">
        <v>761</v>
      </c>
      <c r="O8" s="1">
        <f>LEN(_xlfn.IFNA(VLOOKUP(L8,特昇対策!$C:$C,1,FALSE),IF(OR(N8="龍王拳",N8="龍華拳",M8="二",M8="三",M8="四"),L8,"")))</f>
        <v>4</v>
      </c>
      <c r="Q8" s="319" t="s">
        <v>352</v>
      </c>
      <c r="R8" s="315" t="s">
        <v>768</v>
      </c>
      <c r="S8" s="425"/>
    </row>
    <row r="9" spans="1:19" x14ac:dyDescent="0.45">
      <c r="A9" s="441"/>
      <c r="B9" s="318" t="s">
        <v>241</v>
      </c>
      <c r="C9" s="316" t="s">
        <v>41</v>
      </c>
      <c r="D9" s="442" t="s">
        <v>740</v>
      </c>
      <c r="E9" s="1">
        <f>LEN(_xlfn.IFNA(VLOOKUP(B9,特昇対策!$C:$C,1,FALSE),IF(OR(D9="龍王拳",D9="龍華拳",C9="二",C9="三",C9="四"),B9,"")))</f>
        <v>3</v>
      </c>
      <c r="F9" s="441"/>
      <c r="G9" s="319" t="s">
        <v>392</v>
      </c>
      <c r="H9" s="315" t="s">
        <v>200</v>
      </c>
      <c r="I9" s="444" t="s">
        <v>761</v>
      </c>
      <c r="J9" s="1">
        <f>LEN(_xlfn.IFNA(VLOOKUP(G9,特昇対策!$C:$C,1,FALSE),IF(OR(I9="龍王拳",I9="龍華拳",H9="二",H9="三",H9="四"),G9,"")))</f>
        <v>3</v>
      </c>
      <c r="K9" s="441"/>
      <c r="L9" s="319" t="s">
        <v>770</v>
      </c>
      <c r="M9" s="315" t="s">
        <v>200</v>
      </c>
      <c r="N9" s="440" t="s">
        <v>761</v>
      </c>
      <c r="O9" s="1">
        <f>LEN(_xlfn.IFNA(VLOOKUP(L9,特昇対策!$C:$C,1,FALSE),IF(OR(N9="龍王拳",N9="龍華拳",M9="二",M9="三",M9="四"),L9,"")))</f>
        <v>4</v>
      </c>
      <c r="Q9" s="319" t="s">
        <v>327</v>
      </c>
      <c r="R9" s="315" t="s">
        <v>768</v>
      </c>
      <c r="S9" s="425"/>
    </row>
    <row r="10" spans="1:19" x14ac:dyDescent="0.45">
      <c r="A10" s="441"/>
      <c r="B10" s="320" t="s">
        <v>517</v>
      </c>
      <c r="C10" s="433" t="s">
        <v>41</v>
      </c>
      <c r="D10" s="445" t="s">
        <v>740</v>
      </c>
      <c r="E10" s="1">
        <f>LEN(_xlfn.IFNA(VLOOKUP(B10,特昇対策!$C:$C,1,FALSE),IF(OR(D10="龍王拳",D10="龍華拳",C10="二",C10="三",C10="四"),B10,"")))</f>
        <v>2</v>
      </c>
      <c r="F10" s="441"/>
      <c r="G10" s="318" t="s">
        <v>771</v>
      </c>
      <c r="H10" s="316" t="s">
        <v>200</v>
      </c>
      <c r="I10" s="442" t="s">
        <v>761</v>
      </c>
      <c r="J10" s="1">
        <f>LEN(_xlfn.IFNA(VLOOKUP(G10,特昇対策!$C:$C,1,FALSE),IF(OR(I10="龍王拳",I10="龍華拳",H10="二",H10="三",H10="四"),G10,"")))</f>
        <v>8</v>
      </c>
      <c r="K10" s="443"/>
      <c r="L10" s="318" t="s">
        <v>772</v>
      </c>
      <c r="M10" s="316" t="s">
        <v>200</v>
      </c>
      <c r="N10" s="448" t="s">
        <v>761</v>
      </c>
      <c r="O10" s="1">
        <f>LEN(_xlfn.IFNA(VLOOKUP(L10,特昇対策!$C:$C,1,FALSE),IF(OR(N10="龍王拳",N10="龍華拳",M10="二",M10="三",M10="四"),L10,"")))</f>
        <v>3</v>
      </c>
      <c r="Q10" s="319" t="s">
        <v>336</v>
      </c>
      <c r="R10" s="315" t="s">
        <v>768</v>
      </c>
      <c r="S10" s="425"/>
    </row>
    <row r="11" spans="1:19" x14ac:dyDescent="0.45">
      <c r="A11" s="441"/>
      <c r="B11" s="319" t="s">
        <v>773</v>
      </c>
      <c r="C11" s="315" t="s">
        <v>41</v>
      </c>
      <c r="D11" s="444" t="s">
        <v>742</v>
      </c>
      <c r="E11" s="1">
        <f>LEN(_xlfn.IFNA(VLOOKUP(B11,特昇対策!$C:$C,1,FALSE),IF(OR(D11="龍王拳",D11="龍華拳",C11="二",C11="三",C11="四"),B11,"")))</f>
        <v>3</v>
      </c>
      <c r="F11" s="443"/>
      <c r="G11" s="438" t="s">
        <v>197</v>
      </c>
      <c r="H11" s="2">
        <v>1</v>
      </c>
      <c r="I11" s="457" t="s">
        <v>145</v>
      </c>
      <c r="J11" s="1">
        <f>LEN(_xlfn.IFNA(VLOOKUP(G11,特昇対策!$C:$C,1,FALSE),IF(OR(I11="龍王拳",I11="龍華拳",H11="二",H11="三",H11="四"),G11,"")))</f>
        <v>2</v>
      </c>
      <c r="K11" s="434" t="s">
        <v>774</v>
      </c>
      <c r="L11" s="320" t="s">
        <v>230</v>
      </c>
      <c r="M11" s="433" t="s">
        <v>52</v>
      </c>
      <c r="N11" s="432" t="s">
        <v>775</v>
      </c>
      <c r="O11" s="1">
        <f>LEN(_xlfn.IFNA(VLOOKUP(L11,特昇対策!$C:$C,1,FALSE),IF(OR(N11="龍王拳",N11="龍華拳",M11="二",M11="三",M11="四"),L11,"")))</f>
        <v>3</v>
      </c>
      <c r="Q11" s="319" t="s">
        <v>547</v>
      </c>
      <c r="R11" s="315" t="s">
        <v>768</v>
      </c>
      <c r="S11" s="425"/>
    </row>
    <row r="12" spans="1:19" x14ac:dyDescent="0.45">
      <c r="A12" s="441"/>
      <c r="B12" s="319" t="s">
        <v>228</v>
      </c>
      <c r="C12" s="315">
        <v>2</v>
      </c>
      <c r="D12" s="444" t="s">
        <v>740</v>
      </c>
      <c r="E12" s="1">
        <f>LEN(_xlfn.IFNA(VLOOKUP(B12,特昇対策!$C:$C,1,FALSE),IF(OR(D12="龍王拳",D12="龍華拳",C12="二",C12="三",C12="四"),B12,"")))</f>
        <v>2</v>
      </c>
      <c r="F12" s="447" t="s">
        <v>776</v>
      </c>
      <c r="G12" s="320" t="s">
        <v>777</v>
      </c>
      <c r="H12" s="433">
        <v>2</v>
      </c>
      <c r="I12" s="445" t="s">
        <v>761</v>
      </c>
      <c r="J12" s="1">
        <f>LEN(_xlfn.IFNA(VLOOKUP(G12,特昇対策!$C:$C,1,FALSE),IF(OR(I12="龍王拳",I12="龍華拳",H12="二",H12="三",H12="四"),G12,"")))</f>
        <v>0</v>
      </c>
      <c r="K12" s="426"/>
      <c r="L12" s="319" t="s">
        <v>275</v>
      </c>
      <c r="M12" s="315" t="s">
        <v>52</v>
      </c>
      <c r="N12" s="425" t="s">
        <v>775</v>
      </c>
      <c r="O12" s="1">
        <f>LEN(_xlfn.IFNA(VLOOKUP(L12,特昇対策!$C:$C,1,FALSE),IF(OR(N12="龍王拳",N12="龍華拳",M12="二",M12="三",M12="四"),L12,"")))</f>
        <v>3</v>
      </c>
      <c r="Q12" s="319" t="s">
        <v>342</v>
      </c>
      <c r="R12" s="315" t="s">
        <v>768</v>
      </c>
      <c r="S12" s="425"/>
    </row>
    <row r="13" spans="1:19" x14ac:dyDescent="0.45">
      <c r="A13" s="441"/>
      <c r="B13" s="318" t="s">
        <v>778</v>
      </c>
      <c r="C13" s="316" t="s">
        <v>41</v>
      </c>
      <c r="D13" s="442" t="s">
        <v>742</v>
      </c>
      <c r="E13" s="1">
        <f>LEN(_xlfn.IFNA(VLOOKUP(B13,特昇対策!$C:$C,1,FALSE),IF(OR(D13="龍王拳",D13="龍華拳",C13="二",C13="三",C13="四"),B13,"")))</f>
        <v>8</v>
      </c>
      <c r="F13" s="441"/>
      <c r="G13" s="319" t="s">
        <v>779</v>
      </c>
      <c r="H13" s="315">
        <v>1</v>
      </c>
      <c r="I13" s="444" t="s">
        <v>761</v>
      </c>
      <c r="J13" s="1">
        <f>LEN(_xlfn.IFNA(VLOOKUP(G13,特昇対策!$C:$C,1,FALSE),IF(OR(I13="龍王拳",I13="龍華拳",H13="二",H13="三",H13="四"),G13,"")))</f>
        <v>0</v>
      </c>
      <c r="K13" s="436"/>
      <c r="L13" s="318" t="s">
        <v>242</v>
      </c>
      <c r="M13" s="316" t="s">
        <v>52</v>
      </c>
      <c r="N13" s="435" t="s">
        <v>775</v>
      </c>
      <c r="O13" s="1">
        <f>LEN(_xlfn.IFNA(VLOOKUP(L13,特昇対策!$C:$C,1,FALSE),IF(OR(N13="龍王拳",N13="龍華拳",M13="二",M13="三",M13="四"),L13,"")))</f>
        <v>3</v>
      </c>
      <c r="Q13" s="463" t="s">
        <v>778</v>
      </c>
      <c r="R13" s="464" t="s">
        <v>41</v>
      </c>
      <c r="S13" s="465"/>
    </row>
    <row r="14" spans="1:19" x14ac:dyDescent="0.45">
      <c r="A14" s="441"/>
      <c r="B14" s="320" t="s">
        <v>780</v>
      </c>
      <c r="C14" s="433" t="s">
        <v>781</v>
      </c>
      <c r="D14" s="445" t="s">
        <v>739</v>
      </c>
      <c r="E14" s="1">
        <f>LEN(_xlfn.IFNA(VLOOKUP(B14,特昇対策!$C:$C,1,FALSE),IF(OR(D14="龍王拳",D14="龍華拳",C14="二",C14="三",C14="四"),B14,"")))</f>
        <v>7</v>
      </c>
      <c r="F14" s="441"/>
      <c r="G14" s="319" t="s">
        <v>364</v>
      </c>
      <c r="H14" s="315">
        <v>1</v>
      </c>
      <c r="I14" s="444" t="s">
        <v>761</v>
      </c>
      <c r="J14" s="1">
        <f>LEN(_xlfn.IFNA(VLOOKUP(G14,特昇対策!$C:$C,1,FALSE),IF(OR(I14="龍王拳",I14="龍華拳",H14="二",H14="三",H14="四"),G14,"")))</f>
        <v>0</v>
      </c>
      <c r="K14" s="434" t="s">
        <v>782</v>
      </c>
      <c r="L14" s="320" t="s">
        <v>783</v>
      </c>
      <c r="M14" s="433" t="s">
        <v>200</v>
      </c>
      <c r="N14" s="432" t="s">
        <v>742</v>
      </c>
      <c r="O14" s="1">
        <f>LEN(_xlfn.IFNA(VLOOKUP(L14,特昇対策!$C:$C,1,FALSE),IF(OR(N14="龍王拳",N14="龍華拳",M14="二",M14="三",M14="四"),L14,"")))</f>
        <v>5</v>
      </c>
      <c r="Q14" s="463" t="s">
        <v>549</v>
      </c>
      <c r="R14" s="464" t="s">
        <v>41</v>
      </c>
      <c r="S14" s="465"/>
    </row>
    <row r="15" spans="1:19" x14ac:dyDescent="0.45">
      <c r="A15" s="441"/>
      <c r="B15" s="318" t="s">
        <v>784</v>
      </c>
      <c r="C15" s="316" t="s">
        <v>785</v>
      </c>
      <c r="D15" s="442" t="s">
        <v>739</v>
      </c>
      <c r="E15" s="1">
        <f>LEN(_xlfn.IFNA(VLOOKUP(B15,特昇対策!$C:$C,1,FALSE),IF(OR(D15="龍王拳",D15="龍華拳",C15="二",C15="三",C15="四"),B15,"")))</f>
        <v>9</v>
      </c>
      <c r="F15" s="441"/>
      <c r="G15" s="319" t="s">
        <v>361</v>
      </c>
      <c r="H15" s="315">
        <v>1</v>
      </c>
      <c r="I15" s="444" t="s">
        <v>761</v>
      </c>
      <c r="J15" s="1">
        <f>LEN(_xlfn.IFNA(VLOOKUP(G15,特昇対策!$C:$C,1,FALSE),IF(OR(I15="龍王拳",I15="龍華拳",H15="二",H15="三",H15="四"),G15,"")))</f>
        <v>0</v>
      </c>
      <c r="K15" s="436"/>
      <c r="L15" s="318" t="s">
        <v>786</v>
      </c>
      <c r="M15" s="316" t="s">
        <v>200</v>
      </c>
      <c r="N15" s="435" t="s">
        <v>741</v>
      </c>
      <c r="O15" s="1">
        <f>LEN(_xlfn.IFNA(VLOOKUP(L15,特昇対策!$C:$C,1,FALSE),IF(OR(N15="龍王拳",N15="龍華拳",M15="二",M15="三",M15="四"),L15,"")))</f>
        <v>4</v>
      </c>
      <c r="Q15" s="463" t="s">
        <v>550</v>
      </c>
      <c r="R15" s="464" t="s">
        <v>41</v>
      </c>
      <c r="S15" s="465"/>
    </row>
    <row r="16" spans="1:19" x14ac:dyDescent="0.45">
      <c r="A16" s="441"/>
      <c r="B16" s="320" t="s">
        <v>787</v>
      </c>
      <c r="C16" s="433" t="s">
        <v>768</v>
      </c>
      <c r="D16" s="445" t="s">
        <v>739</v>
      </c>
      <c r="E16" s="1">
        <f>LEN(_xlfn.IFNA(VLOOKUP(B16,特昇対策!$C:$C,1,FALSE),IF(OR(D16="龍王拳",D16="龍華拳",C16="二",C16="三",C16="四"),B16,"")))</f>
        <v>5</v>
      </c>
      <c r="F16" s="441"/>
      <c r="G16" s="319" t="s">
        <v>371</v>
      </c>
      <c r="H16" s="315">
        <v>1</v>
      </c>
      <c r="I16" s="444" t="s">
        <v>761</v>
      </c>
      <c r="J16" s="1">
        <f>LEN(_xlfn.IFNA(VLOOKUP(G16,特昇対策!$C:$C,1,FALSE),IF(OR(I16="龍王拳",I16="龍華拳",H16="二",H16="三",H16="四"),G16,"")))</f>
        <v>0</v>
      </c>
      <c r="K16" s="434" t="s">
        <v>788</v>
      </c>
      <c r="L16" s="320" t="s">
        <v>789</v>
      </c>
      <c r="M16" s="433" t="s">
        <v>52</v>
      </c>
      <c r="N16" s="432" t="s">
        <v>739</v>
      </c>
      <c r="O16" s="1">
        <f>LEN(_xlfn.IFNA(VLOOKUP(L16,特昇対策!$C:$C,1,FALSE),IF(OR(N16="龍王拳",N16="龍華拳",M16="二",M16="三",M16="四"),L16,"")))</f>
        <v>2</v>
      </c>
      <c r="Q16" s="463" t="s">
        <v>346</v>
      </c>
      <c r="R16" s="464" t="s">
        <v>41</v>
      </c>
      <c r="S16" s="465"/>
    </row>
    <row r="17" spans="1:19" x14ac:dyDescent="0.45">
      <c r="A17" s="441"/>
      <c r="B17" s="319" t="s">
        <v>790</v>
      </c>
      <c r="C17" s="315" t="s">
        <v>791</v>
      </c>
      <c r="D17" s="444" t="s">
        <v>739</v>
      </c>
      <c r="E17" s="1">
        <f>LEN(_xlfn.IFNA(VLOOKUP(B17,特昇対策!$C:$C,1,FALSE),IF(OR(D17="龍王拳",D17="龍華拳",C17="二",C17="三",C17="四"),B17,"")))</f>
        <v>13</v>
      </c>
      <c r="F17" s="441"/>
      <c r="G17" s="319" t="s">
        <v>792</v>
      </c>
      <c r="H17" s="315" t="s">
        <v>200</v>
      </c>
      <c r="I17" s="444" t="s">
        <v>761</v>
      </c>
      <c r="J17" s="1">
        <f>LEN(_xlfn.IFNA(VLOOKUP(G17,特昇対策!$C:$C,1,FALSE),IF(OR(I17="龍王拳",I17="龍華拳",H17="二",H17="三",H17="四"),G17,"")))</f>
        <v>6</v>
      </c>
      <c r="K17" s="426"/>
      <c r="L17" s="319" t="s">
        <v>284</v>
      </c>
      <c r="M17" s="315" t="s">
        <v>52</v>
      </c>
      <c r="N17" s="425" t="s">
        <v>740</v>
      </c>
      <c r="O17" s="1">
        <f>LEN(_xlfn.IFNA(VLOOKUP(L17,特昇対策!$C:$C,1,FALSE),IF(OR(N17="龍王拳",N17="龍華拳",M17="二",M17="三",M17="四"),L17,"")))</f>
        <v>5</v>
      </c>
      <c r="Q17" s="463" t="s">
        <v>832</v>
      </c>
      <c r="R17" s="464" t="s">
        <v>41</v>
      </c>
      <c r="S17" s="465"/>
    </row>
    <row r="18" spans="1:19" x14ac:dyDescent="0.45">
      <c r="A18" s="443"/>
      <c r="B18" s="318" t="s">
        <v>793</v>
      </c>
      <c r="C18" s="316" t="s">
        <v>41</v>
      </c>
      <c r="D18" s="442" t="s">
        <v>739</v>
      </c>
      <c r="E18" s="1">
        <f>LEN(_xlfn.IFNA(VLOOKUP(B18,特昇対策!$C:$C,1,FALSE),IF(OR(D18="龍王拳",D18="龍華拳",C18="二",C18="三",C18="四"),B18,"")))</f>
        <v>7</v>
      </c>
      <c r="F18" s="441"/>
      <c r="G18" s="319" t="s">
        <v>794</v>
      </c>
      <c r="H18" s="315" t="s">
        <v>52</v>
      </c>
      <c r="I18" s="444" t="s">
        <v>761</v>
      </c>
      <c r="J18" s="1">
        <f>LEN(_xlfn.IFNA(VLOOKUP(G18,特昇対策!$C:$C,1,FALSE),IF(OR(I18="龍王拳",I18="龍華拳",H18="二",H18="三",H18="四"),G18,"")))</f>
        <v>3</v>
      </c>
      <c r="K18" s="426"/>
      <c r="L18" s="319" t="s">
        <v>286</v>
      </c>
      <c r="M18" s="315" t="s">
        <v>52</v>
      </c>
      <c r="N18" s="425" t="s">
        <v>775</v>
      </c>
      <c r="O18" s="1">
        <f>LEN(_xlfn.IFNA(VLOOKUP(L18,特昇対策!$C:$C,1,FALSE),IF(OR(N18="龍王拳",N18="龍華拳",M18="二",M18="三",M18="四"),L18,"")))</f>
        <v>5</v>
      </c>
      <c r="Q18" s="463" t="s">
        <v>834</v>
      </c>
      <c r="R18" s="464" t="s">
        <v>41</v>
      </c>
      <c r="S18" s="465"/>
    </row>
    <row r="19" spans="1:19" x14ac:dyDescent="0.45">
      <c r="A19" s="434" t="s">
        <v>795</v>
      </c>
      <c r="B19" s="317" t="s">
        <v>796</v>
      </c>
      <c r="C19" s="433" t="s">
        <v>768</v>
      </c>
      <c r="D19" s="437" t="s">
        <v>740</v>
      </c>
      <c r="E19" s="1">
        <f>LEN(_xlfn.IFNA(VLOOKUP(B19,特昇対策!$C:$C,1,FALSE),IF(OR(D19="龍王拳",D19="龍華拳",C19="二",C19="三",C19="四"),B19,"")))</f>
        <v>8</v>
      </c>
      <c r="F19" s="441"/>
      <c r="G19" s="319" t="s">
        <v>797</v>
      </c>
      <c r="H19" s="315" t="s">
        <v>52</v>
      </c>
      <c r="I19" s="444" t="s">
        <v>761</v>
      </c>
      <c r="J19" s="1">
        <f>LEN(_xlfn.IFNA(VLOOKUP(G19,特昇対策!$C:$C,1,FALSE),IF(OR(I19="龍王拳",I19="龍華拳",H19="二",H19="三",H19="四"),G19,"")))</f>
        <v>3</v>
      </c>
      <c r="K19" s="436"/>
      <c r="L19" s="318" t="s">
        <v>287</v>
      </c>
      <c r="M19" s="316" t="s">
        <v>52</v>
      </c>
      <c r="N19" s="435" t="s">
        <v>775</v>
      </c>
      <c r="O19" s="1">
        <f>LEN(_xlfn.IFNA(VLOOKUP(L19,特昇対策!$C:$C,1,FALSE),IF(OR(N19="龍王拳",N19="龍華拳",M19="二",M19="三",M19="四"),L19,"")))</f>
        <v>5</v>
      </c>
      <c r="Q19" s="463" t="s">
        <v>554</v>
      </c>
      <c r="R19" s="464" t="s">
        <v>41</v>
      </c>
      <c r="S19" s="465"/>
    </row>
    <row r="20" spans="1:19" x14ac:dyDescent="0.45">
      <c r="A20" s="426"/>
      <c r="B20" s="314" t="s">
        <v>258</v>
      </c>
      <c r="C20" s="315" t="s">
        <v>41</v>
      </c>
      <c r="D20" s="1" t="s">
        <v>740</v>
      </c>
      <c r="E20" s="1">
        <f>LEN(_xlfn.IFNA(VLOOKUP(B20,特昇対策!$C:$C,1,FALSE),IF(OR(D20="龍王拳",D20="龍華拳",C20="二",C20="三",C20="四"),B20,"")))</f>
        <v>5</v>
      </c>
      <c r="F20" s="426"/>
      <c r="G20" s="314" t="s">
        <v>369</v>
      </c>
      <c r="H20" s="315" t="s">
        <v>52</v>
      </c>
      <c r="I20" s="1" t="s">
        <v>761</v>
      </c>
      <c r="J20" s="1">
        <f>LEN(_xlfn.IFNA(VLOOKUP(G20,特昇対策!$C:$C,1,FALSE),IF(OR(I20="龍王拳",I20="龍華拳",H20="二",H20="三",H20="四"),G20,"")))</f>
        <v>3</v>
      </c>
      <c r="K20" s="434" t="s">
        <v>798</v>
      </c>
      <c r="L20" s="320" t="s">
        <v>533</v>
      </c>
      <c r="M20" s="433" t="s">
        <v>200</v>
      </c>
      <c r="N20" s="432" t="s">
        <v>775</v>
      </c>
      <c r="O20" s="1">
        <f>LEN(_xlfn.IFNA(VLOOKUP(L20,特昇対策!$C:$C,1,FALSE),IF(OR(N20="龍王拳",N20="龍華拳",M20="二",M20="三",M20="四"),L20,"")))</f>
        <v>7</v>
      </c>
      <c r="Q20" s="463" t="s">
        <v>555</v>
      </c>
      <c r="R20" s="464" t="s">
        <v>41</v>
      </c>
      <c r="S20" s="465"/>
    </row>
    <row r="21" spans="1:19" x14ac:dyDescent="0.45">
      <c r="A21" s="426"/>
      <c r="B21" s="314" t="s">
        <v>256</v>
      </c>
      <c r="C21" s="315" t="s">
        <v>768</v>
      </c>
      <c r="D21" s="1" t="s">
        <v>740</v>
      </c>
      <c r="E21" s="1">
        <f>LEN(_xlfn.IFNA(VLOOKUP(B21,特昇対策!$C:$C,1,FALSE),IF(OR(D21="龍王拳",D21="龍華拳",C21="二",C21="三",C21="四"),B21,"")))</f>
        <v>4</v>
      </c>
      <c r="F21" s="426"/>
      <c r="G21" s="314" t="s">
        <v>372</v>
      </c>
      <c r="H21" s="315" t="s">
        <v>200</v>
      </c>
      <c r="I21" s="1" t="s">
        <v>761</v>
      </c>
      <c r="J21" s="1">
        <f>LEN(_xlfn.IFNA(VLOOKUP(G21,特昇対策!$C:$C,1,FALSE),IF(OR(I21="龍王拳",I21="龍華拳",H21="二",H21="三",H21="四"),G21,"")))</f>
        <v>3</v>
      </c>
      <c r="K21" s="426"/>
      <c r="L21" s="319" t="s">
        <v>534</v>
      </c>
      <c r="M21" s="315" t="s">
        <v>200</v>
      </c>
      <c r="N21" s="425" t="s">
        <v>775</v>
      </c>
      <c r="O21" s="1">
        <f>LEN(_xlfn.IFNA(VLOOKUP(L21,特昇対策!$C:$C,1,FALSE),IF(OR(N21="龍王拳",N21="龍華拳",M21="二",M21="三",M21="四"),L21,"")))</f>
        <v>8</v>
      </c>
      <c r="P21" s="460"/>
      <c r="Q21" s="466" t="s">
        <v>836</v>
      </c>
      <c r="R21" s="467" t="s">
        <v>41</v>
      </c>
      <c r="S21" s="468"/>
    </row>
    <row r="22" spans="1:19" x14ac:dyDescent="0.45">
      <c r="A22" s="426"/>
      <c r="B22" s="3" t="s">
        <v>799</v>
      </c>
      <c r="C22" s="2">
        <v>3</v>
      </c>
      <c r="D22" s="439" t="s">
        <v>739</v>
      </c>
      <c r="E22" s="1">
        <f>LEN(_xlfn.IFNA(VLOOKUP(B22,特昇対策!$C:$C,1,FALSE),IF(OR(D22="龍王拳",D22="龍華拳",C22="二",C22="三",C22="四"),B22,"")))</f>
        <v>3</v>
      </c>
      <c r="F22" s="426"/>
      <c r="G22" s="313" t="s">
        <v>800</v>
      </c>
      <c r="H22" s="316" t="s">
        <v>200</v>
      </c>
      <c r="I22" s="430" t="s">
        <v>761</v>
      </c>
      <c r="J22" s="1">
        <f>LEN(_xlfn.IFNA(VLOOKUP(G22,特昇対策!$C:$C,1,FALSE),IF(OR(I22="龍王拳",I22="龍華拳",H22="二",H22="三",H22="四"),G22,"")))</f>
        <v>3</v>
      </c>
      <c r="K22" s="426"/>
      <c r="L22" s="319" t="s">
        <v>801</v>
      </c>
      <c r="M22" s="315" t="s">
        <v>200</v>
      </c>
      <c r="N22" s="425" t="s">
        <v>775</v>
      </c>
      <c r="O22" s="1">
        <f>LEN(_xlfn.IFNA(VLOOKUP(L22,特昇対策!$C:$C,1,FALSE),IF(OR(N22="龍王拳",N22="龍華拳",M22="二",M22="三",M22="四"),L22,"")))</f>
        <v>4</v>
      </c>
      <c r="P22" s="459" t="s">
        <v>840</v>
      </c>
      <c r="Q22" s="320" t="s">
        <v>841</v>
      </c>
      <c r="R22" s="433"/>
      <c r="S22" s="432"/>
    </row>
    <row r="23" spans="1:19" x14ac:dyDescent="0.45">
      <c r="A23" s="436"/>
      <c r="B23" s="313" t="s">
        <v>802</v>
      </c>
      <c r="C23" s="316" t="s">
        <v>803</v>
      </c>
      <c r="D23" s="430" t="s">
        <v>739</v>
      </c>
      <c r="E23" s="1">
        <f>LEN(_xlfn.IFNA(VLOOKUP(B23,特昇対策!$C:$C,1,FALSE),IF(OR(D23="龍王拳",D23="龍華拳",C23="二",C23="三",C23="四"),B23,"")))</f>
        <v>7</v>
      </c>
      <c r="F23" s="426"/>
      <c r="G23" s="314" t="s">
        <v>195</v>
      </c>
      <c r="H23" s="315">
        <v>1</v>
      </c>
      <c r="I23" s="1" t="s">
        <v>145</v>
      </c>
      <c r="J23" s="1">
        <f>LEN(_xlfn.IFNA(VLOOKUP(G23,特昇対策!$C:$C,1,FALSE),IF(OR(I23="龍王拳",I23="龍華拳",H23="二",H23="三",H23="四"),G23,"")))</f>
        <v>2</v>
      </c>
      <c r="K23" s="426"/>
      <c r="L23" s="319" t="s">
        <v>804</v>
      </c>
      <c r="M23" s="315" t="s">
        <v>200</v>
      </c>
      <c r="N23" s="425" t="s">
        <v>775</v>
      </c>
      <c r="O23" s="1">
        <f>LEN(_xlfn.IFNA(VLOOKUP(L23,特昇対策!$C:$C,1,FALSE),IF(OR(N23="龍王拳",N23="龍華拳",M23="二",M23="三",M23="四"),L23,"")))</f>
        <v>4</v>
      </c>
      <c r="Q23" s="319" t="s">
        <v>318</v>
      </c>
      <c r="R23" s="315"/>
      <c r="S23" s="425"/>
    </row>
    <row r="24" spans="1:19" x14ac:dyDescent="0.45">
      <c r="A24" s="434" t="s">
        <v>805</v>
      </c>
      <c r="B24" s="3" t="s">
        <v>806</v>
      </c>
      <c r="C24" s="2">
        <v>1</v>
      </c>
      <c r="D24" s="439" t="s">
        <v>740</v>
      </c>
      <c r="E24" s="1">
        <f>LEN(_xlfn.IFNA(VLOOKUP(B24,特昇対策!$C:$C,1,FALSE),IF(OR(D24="龍王拳",D24="龍華拳",C24="二",C24="三",C24="四"),B24,"")))</f>
        <v>8</v>
      </c>
      <c r="F24" s="426"/>
      <c r="G24" s="314" t="s">
        <v>807</v>
      </c>
      <c r="H24" s="315">
        <v>2</v>
      </c>
      <c r="I24" s="1" t="s">
        <v>145</v>
      </c>
      <c r="J24" s="1">
        <f>LEN(_xlfn.IFNA(VLOOKUP(G24,特昇対策!$C:$C,1,FALSE),IF(OR(I24="龍王拳",I24="龍華拳",H24="二",H24="三",H24="四"),G24,"")))</f>
        <v>8</v>
      </c>
      <c r="K24" s="436"/>
      <c r="L24" s="318" t="s">
        <v>808</v>
      </c>
      <c r="M24" s="316" t="s">
        <v>200</v>
      </c>
      <c r="N24" s="435" t="s">
        <v>775</v>
      </c>
      <c r="O24" s="1">
        <f>LEN(_xlfn.IFNA(VLOOKUP(L24,特昇対策!$C:$C,1,FALSE),IF(OR(N24="龍王拳",N24="龍華拳",M24="二",M24="三",M24="四"),L24,"")))</f>
        <v>8</v>
      </c>
      <c r="Q24" s="319" t="s">
        <v>820</v>
      </c>
      <c r="R24" s="315"/>
      <c r="S24" s="425"/>
    </row>
    <row r="25" spans="1:19" ht="18.600000000000001" thickBot="1" x14ac:dyDescent="0.5">
      <c r="A25" s="426"/>
      <c r="B25" s="314" t="s">
        <v>809</v>
      </c>
      <c r="C25" s="315">
        <v>4</v>
      </c>
      <c r="D25" s="1" t="s">
        <v>739</v>
      </c>
      <c r="E25" s="1">
        <f>LEN(_xlfn.IFNA(VLOOKUP(B25,特昇対策!$C:$C,1,FALSE),IF(OR(D25="龍王拳",D25="龍華拳",C25="二",C25="三",C25="四"),B25,"")))</f>
        <v>7</v>
      </c>
      <c r="F25" s="436"/>
      <c r="G25" s="313" t="s">
        <v>184</v>
      </c>
      <c r="H25" s="316">
        <v>2</v>
      </c>
      <c r="I25" s="430" t="s">
        <v>145</v>
      </c>
      <c r="J25" s="1">
        <f>LEN(_xlfn.IFNA(VLOOKUP(G25,特昇対策!$C:$C,1,FALSE),IF(OR(I25="龍王拳",I25="龍華拳",H25="二",H25="三",H25="四"),G25,"")))</f>
        <v>3</v>
      </c>
      <c r="K25" s="454" t="s">
        <v>810</v>
      </c>
      <c r="L25" s="455" t="s">
        <v>505</v>
      </c>
      <c r="M25" s="428" t="s">
        <v>200</v>
      </c>
      <c r="N25" s="456" t="s">
        <v>739</v>
      </c>
      <c r="O25" s="1">
        <f>LEN(_xlfn.IFNA(VLOOKUP(L25,特昇対策!$C:$C,1,FALSE),IF(OR(N25="龍王拳",N25="龍華拳",M25="二",M25="三",M25="四"),L25,"")))</f>
        <v>6</v>
      </c>
      <c r="P25" s="461"/>
      <c r="Q25" s="431" t="s">
        <v>846</v>
      </c>
      <c r="R25" s="422"/>
      <c r="S25" s="421"/>
    </row>
    <row r="26" spans="1:19" x14ac:dyDescent="0.45">
      <c r="A26" s="426"/>
      <c r="B26" s="314" t="s">
        <v>811</v>
      </c>
      <c r="C26" s="315">
        <v>2</v>
      </c>
      <c r="D26" s="1" t="s">
        <v>739</v>
      </c>
      <c r="E26" s="1">
        <f>LEN(_xlfn.IFNA(VLOOKUP(B26,特昇対策!$C:$C,1,FALSE),IF(OR(D26="龍王拳",D26="龍華拳",C26="二",C26="三",C26="四"),B26,"")))</f>
        <v>3</v>
      </c>
      <c r="F26" s="434" t="s">
        <v>812</v>
      </c>
      <c r="G26" s="317" t="s">
        <v>582</v>
      </c>
      <c r="H26" s="433" t="s">
        <v>200</v>
      </c>
      <c r="I26" s="432" t="s">
        <v>761</v>
      </c>
      <c r="J26" s="1">
        <f>LEN(_xlfn.IFNA(VLOOKUP(G26,特昇対策!$C:$C,1,FALSE),IF(OR(I26="龍王拳",I26="龍華拳",H26="二",H26="三",H26="四"),G26,"")))</f>
        <v>2</v>
      </c>
    </row>
    <row r="27" spans="1:19" x14ac:dyDescent="0.45">
      <c r="A27" s="436"/>
      <c r="B27" s="313" t="s">
        <v>503</v>
      </c>
      <c r="C27" s="316">
        <v>1</v>
      </c>
      <c r="D27" s="430" t="s">
        <v>739</v>
      </c>
      <c r="E27" s="1">
        <f>LEN(_xlfn.IFNA(VLOOKUP(B27,特昇対策!$C:$C,1,FALSE),IF(OR(D27="龍王拳",D27="龍華拳",C27="二",C27="三",C27="四"),B27,"")))</f>
        <v>4</v>
      </c>
      <c r="F27" s="426"/>
      <c r="G27" s="314" t="s">
        <v>415</v>
      </c>
      <c r="H27" s="315" t="s">
        <v>200</v>
      </c>
      <c r="I27" s="425" t="s">
        <v>761</v>
      </c>
      <c r="J27" s="1">
        <f>LEN(_xlfn.IFNA(VLOOKUP(G27,特昇対策!$C:$C,1,FALSE),IF(OR(I27="龍王拳",I27="龍華拳",H27="二",H27="三",H27="四"),G27,"")))</f>
        <v>2</v>
      </c>
    </row>
    <row r="28" spans="1:19" x14ac:dyDescent="0.45">
      <c r="A28" s="434" t="s">
        <v>814</v>
      </c>
      <c r="B28" s="317" t="s">
        <v>815</v>
      </c>
      <c r="C28" s="433">
        <v>2</v>
      </c>
      <c r="D28" s="437" t="s">
        <v>740</v>
      </c>
      <c r="E28" s="1">
        <f>LEN(_xlfn.IFNA(VLOOKUP(B28,特昇対策!$C:$C,1,FALSE),IF(OR(D28="龍王拳",D28="龍華拳",C28="二",C28="三",C28="四"),B28,"")))</f>
        <v>3</v>
      </c>
      <c r="F28" s="426"/>
      <c r="G28" s="314" t="s">
        <v>816</v>
      </c>
      <c r="H28" s="315" t="s">
        <v>200</v>
      </c>
      <c r="I28" s="425" t="s">
        <v>761</v>
      </c>
      <c r="J28" s="1">
        <f>LEN(_xlfn.IFNA(VLOOKUP(G28,特昇対策!$C:$C,1,FALSE),IF(OR(I28="龍王拳",I28="龍華拳",H28="二",H28="三",H28="四"),G28,"")))</f>
        <v>3</v>
      </c>
    </row>
    <row r="29" spans="1:19" x14ac:dyDescent="0.45">
      <c r="A29" s="426"/>
      <c r="B29" s="314" t="s">
        <v>267</v>
      </c>
      <c r="C29" s="315" t="s">
        <v>52</v>
      </c>
      <c r="D29" s="1" t="s">
        <v>740</v>
      </c>
      <c r="E29" s="1">
        <f>LEN(_xlfn.IFNA(VLOOKUP(B29,特昇対策!$C:$C,1,FALSE),IF(OR(D29="龍王拳",D29="龍華拳",C29="二",C29="三",C29="四"),B29,"")))</f>
        <v>4</v>
      </c>
      <c r="F29" s="436"/>
      <c r="G29" s="313" t="s">
        <v>424</v>
      </c>
      <c r="H29" s="316" t="s">
        <v>52</v>
      </c>
      <c r="I29" s="435" t="s">
        <v>761</v>
      </c>
      <c r="J29" s="1">
        <f>LEN(_xlfn.IFNA(VLOOKUP(G29,特昇対策!$C:$C,1,FALSE),IF(OR(I29="龍王拳",I29="龍華拳",H29="二",H29="三",H29="四"),G29,"")))</f>
        <v>3</v>
      </c>
    </row>
    <row r="30" spans="1:19" x14ac:dyDescent="0.45">
      <c r="A30" s="426"/>
      <c r="B30" s="314" t="s">
        <v>271</v>
      </c>
      <c r="C30" s="315" t="s">
        <v>52</v>
      </c>
      <c r="D30" s="1" t="s">
        <v>740</v>
      </c>
      <c r="E30" s="1">
        <f>LEN(_xlfn.IFNA(VLOOKUP(B30,特昇対策!$C:$C,1,FALSE),IF(OR(D30="龍王拳",D30="龍華拳",C30="二",C30="三",C30="四"),B30,"")))</f>
        <v>3</v>
      </c>
      <c r="F30" s="434" t="s">
        <v>408</v>
      </c>
      <c r="G30" s="317" t="s">
        <v>408</v>
      </c>
      <c r="H30" s="433" t="s">
        <v>200</v>
      </c>
      <c r="I30" s="432" t="s">
        <v>761</v>
      </c>
      <c r="J30" s="1">
        <f>LEN(_xlfn.IFNA(VLOOKUP(G30,特昇対策!$C:$C,1,FALSE),IF(OR(I30="龍王拳",I30="龍華拳",H30="二",H30="三",H30="四"),G30,"")))</f>
        <v>3</v>
      </c>
    </row>
    <row r="31" spans="1:19" x14ac:dyDescent="0.45">
      <c r="A31" s="426"/>
      <c r="B31" s="314" t="s">
        <v>274</v>
      </c>
      <c r="C31" s="315" t="s">
        <v>52</v>
      </c>
      <c r="D31" s="1" t="s">
        <v>740</v>
      </c>
      <c r="E31" s="1">
        <f>LEN(_xlfn.IFNA(VLOOKUP(B31,特昇対策!$C:$C,1,FALSE),IF(OR(D31="龍王拳",D31="龍華拳",C31="二",C31="三",C31="四"),B31,"")))</f>
        <v>5</v>
      </c>
      <c r="F31" s="426"/>
      <c r="G31" s="314" t="s">
        <v>411</v>
      </c>
      <c r="H31" s="315" t="s">
        <v>200</v>
      </c>
      <c r="I31" s="425" t="s">
        <v>761</v>
      </c>
      <c r="J31" s="1">
        <f>LEN(_xlfn.IFNA(VLOOKUP(G31,特昇対策!$C:$C,1,FALSE),IF(OR(I31="龍王拳",I31="龍華拳",H31="二",H31="三",H31="四"),G31,"")))</f>
        <v>7</v>
      </c>
    </row>
    <row r="32" spans="1:19" x14ac:dyDescent="0.45">
      <c r="A32" s="426"/>
      <c r="B32" s="314" t="s">
        <v>270</v>
      </c>
      <c r="C32" s="315" t="s">
        <v>41</v>
      </c>
      <c r="D32" s="1" t="s">
        <v>740</v>
      </c>
      <c r="E32" s="1">
        <f>LEN(_xlfn.IFNA(VLOOKUP(B32,特昇対策!$C:$C,1,FALSE),IF(OR(D32="龍王拳",D32="龍華拳",C32="二",C32="三",C32="四"),B32,"")))</f>
        <v>4</v>
      </c>
      <c r="F32" s="436"/>
      <c r="G32" s="313" t="s">
        <v>412</v>
      </c>
      <c r="H32" s="316" t="s">
        <v>200</v>
      </c>
      <c r="I32" s="435" t="s">
        <v>761</v>
      </c>
      <c r="J32" s="1">
        <f>LEN(_xlfn.IFNA(VLOOKUP(G32,特昇対策!$C:$C,1,FALSE),IF(OR(I32="龍王拳",I32="龍華拳",H32="二",H32="三",H32="四"),G32,"")))</f>
        <v>3</v>
      </c>
    </row>
    <row r="33" spans="1:10" x14ac:dyDescent="0.45">
      <c r="A33" s="426"/>
      <c r="B33" s="313" t="s">
        <v>819</v>
      </c>
      <c r="C33" s="316" t="s">
        <v>41</v>
      </c>
      <c r="D33" s="430" t="s">
        <v>740</v>
      </c>
      <c r="E33" s="1">
        <f>LEN(_xlfn.IFNA(VLOOKUP(B33,特昇対策!$C:$C,1,FALSE),IF(OR(D33="龍王拳",D33="龍華拳",C33="二",C33="三",C33="四"),B33,"")))</f>
        <v>5</v>
      </c>
      <c r="F33" s="434" t="s">
        <v>820</v>
      </c>
      <c r="G33" s="317" t="s">
        <v>180</v>
      </c>
      <c r="H33" s="433" t="s">
        <v>768</v>
      </c>
      <c r="I33" s="432" t="s">
        <v>739</v>
      </c>
      <c r="J33" s="1">
        <f>LEN(_xlfn.IFNA(VLOOKUP(G33,特昇対策!$C:$C,1,FALSE),IF(OR(I33="龍王拳",I33="龍華拳",H33="二",H33="三",H33="四"),G33,"")))</f>
        <v>4</v>
      </c>
    </row>
    <row r="34" spans="1:10" x14ac:dyDescent="0.45">
      <c r="A34" s="426"/>
      <c r="B34" s="317" t="s">
        <v>821</v>
      </c>
      <c r="C34" s="433">
        <v>2</v>
      </c>
      <c r="D34" s="437" t="s">
        <v>739</v>
      </c>
      <c r="E34" s="1">
        <f>LEN(_xlfn.IFNA(VLOOKUP(B34,特昇対策!$C:$C,1,FALSE),IF(OR(D34="龍王拳",D34="龍華拳",C34="二",C34="三",C34="四"),B34,"")))</f>
        <v>8</v>
      </c>
      <c r="F34" s="426"/>
      <c r="G34" s="314" t="s">
        <v>164</v>
      </c>
      <c r="H34" s="315" t="s">
        <v>768</v>
      </c>
      <c r="I34" s="425" t="s">
        <v>145</v>
      </c>
      <c r="J34" s="1">
        <f>LEN(_xlfn.IFNA(VLOOKUP(G34,特昇対策!$C:$C,1,FALSE),IF(OR(I34="龍王拳",I34="龍華拳",H34="二",H34="三",H34="四"),G34,"")))</f>
        <v>4</v>
      </c>
    </row>
    <row r="35" spans="1:10" x14ac:dyDescent="0.45">
      <c r="A35" s="426"/>
      <c r="B35" s="313" t="s">
        <v>822</v>
      </c>
      <c r="C35" s="316">
        <v>2</v>
      </c>
      <c r="D35" s="430" t="s">
        <v>739</v>
      </c>
      <c r="E35" s="1">
        <f>LEN(_xlfn.IFNA(VLOOKUP(B35,特昇対策!$C:$C,1,FALSE),IF(OR(D35="龍王拳",D35="龍華拳",C35="二",C35="三",C35="四"),B35,"")))</f>
        <v>3</v>
      </c>
      <c r="F35" s="426"/>
      <c r="G35" s="314" t="s">
        <v>512</v>
      </c>
      <c r="H35" s="315" t="s">
        <v>41</v>
      </c>
      <c r="I35" s="425" t="s">
        <v>740</v>
      </c>
      <c r="J35" s="1">
        <f>LEN(_xlfn.IFNA(VLOOKUP(G35,特昇対策!$C:$C,1,FALSE),IF(OR(I35="龍王拳",I35="龍華拳",H35="二",H35="三",H35="四"),G35,"")))</f>
        <v>5</v>
      </c>
    </row>
    <row r="36" spans="1:10" x14ac:dyDescent="0.45">
      <c r="A36" s="434" t="s">
        <v>823</v>
      </c>
      <c r="B36" s="317" t="s">
        <v>824</v>
      </c>
      <c r="C36" s="433" t="s">
        <v>825</v>
      </c>
      <c r="D36" s="437" t="s">
        <v>740</v>
      </c>
      <c r="E36" s="1">
        <f>LEN(_xlfn.IFNA(VLOOKUP(B36,特昇対策!$C:$C,1,FALSE),IF(OR(D36="龍王拳",D36="龍華拳",C36="二",C36="三",C36="四"),B36,"")))</f>
        <v>11</v>
      </c>
      <c r="F36" s="426"/>
      <c r="G36" s="314" t="s">
        <v>516</v>
      </c>
      <c r="H36" s="315" t="s">
        <v>41</v>
      </c>
      <c r="I36" s="425" t="s">
        <v>740</v>
      </c>
      <c r="J36" s="1">
        <f>LEN(_xlfn.IFNA(VLOOKUP(G36,特昇対策!$C:$C,1,FALSE),IF(OR(I36="龍王拳",I36="龍華拳",H36="二",H36="三",H36="四"),G36,"")))</f>
        <v>5</v>
      </c>
    </row>
    <row r="37" spans="1:10" x14ac:dyDescent="0.45">
      <c r="A37" s="426"/>
      <c r="B37" s="314" t="s">
        <v>260</v>
      </c>
      <c r="C37" s="315">
        <v>2</v>
      </c>
      <c r="D37" s="1" t="s">
        <v>740</v>
      </c>
      <c r="E37" s="1">
        <f>LEN(_xlfn.IFNA(VLOOKUP(B37,特昇対策!$C:$C,1,FALSE),IF(OR(D37="龍王拳",D37="龍華拳",C37="二",C37="三",C37="四"),B37,"")))</f>
        <v>5</v>
      </c>
      <c r="F37" s="426"/>
      <c r="G37" s="314" t="s">
        <v>826</v>
      </c>
      <c r="H37" s="315" t="s">
        <v>52</v>
      </c>
      <c r="I37" s="425" t="s">
        <v>740</v>
      </c>
      <c r="J37" s="1">
        <f>LEN(_xlfn.IFNA(VLOOKUP(G37,特昇対策!$C:$C,1,FALSE),IF(OR(I37="龍王拳",I37="龍華拳",H37="二",H37="三",H37="四"),G37,"")))</f>
        <v>4</v>
      </c>
    </row>
    <row r="38" spans="1:10" x14ac:dyDescent="0.45">
      <c r="A38" s="426"/>
      <c r="B38" s="313" t="s">
        <v>827</v>
      </c>
      <c r="C38" s="316">
        <v>2</v>
      </c>
      <c r="D38" s="430" t="s">
        <v>740</v>
      </c>
      <c r="E38" s="1">
        <f>LEN(_xlfn.IFNA(VLOOKUP(B38,特昇対策!$C:$C,1,FALSE),IF(OR(D38="龍王拳",D38="龍華拳",C38="二",C38="三",C38="四"),B38,"")))</f>
        <v>5</v>
      </c>
      <c r="F38" s="426"/>
      <c r="G38" s="314" t="s">
        <v>523</v>
      </c>
      <c r="H38" s="315" t="s">
        <v>52</v>
      </c>
      <c r="I38" s="425" t="s">
        <v>740</v>
      </c>
      <c r="J38" s="1">
        <f>LEN(_xlfn.IFNA(VLOOKUP(G38,特昇対策!$C:$C,1,FALSE),IF(OR(I38="龍王拳",I38="龍華拳",H38="二",H38="三",H38="四"),G38,"")))</f>
        <v>6</v>
      </c>
    </row>
    <row r="39" spans="1:10" x14ac:dyDescent="0.45">
      <c r="A39" s="436"/>
      <c r="B39" s="313" t="s">
        <v>828</v>
      </c>
      <c r="C39" s="316" t="s">
        <v>825</v>
      </c>
      <c r="D39" s="430" t="s">
        <v>739</v>
      </c>
      <c r="E39" s="1">
        <f>LEN(_xlfn.IFNA(VLOOKUP(B39,特昇対策!$C:$C,1,FALSE),IF(OR(D39="龍王拳",D39="龍華拳",C39="二",C39="三",C39="四"),B39,"")))</f>
        <v>10</v>
      </c>
      <c r="F39" s="426"/>
      <c r="G39" s="314" t="s">
        <v>245</v>
      </c>
      <c r="H39" s="315" t="s">
        <v>52</v>
      </c>
      <c r="I39" s="425" t="s">
        <v>740</v>
      </c>
      <c r="J39" s="1">
        <f>LEN(_xlfn.IFNA(VLOOKUP(G39,特昇対策!$C:$C,1,FALSE),IF(OR(I39="龍王拳",I39="龍華拳",H39="二",H39="三",H39="四"),G39,"")))</f>
        <v>3</v>
      </c>
    </row>
    <row r="40" spans="1:10" x14ac:dyDescent="0.45">
      <c r="A40" s="434" t="s">
        <v>829</v>
      </c>
      <c r="B40" s="317" t="s">
        <v>830</v>
      </c>
      <c r="C40" s="433">
        <v>5</v>
      </c>
      <c r="D40" s="437" t="s">
        <v>742</v>
      </c>
      <c r="E40" s="1">
        <f>LEN(_xlfn.IFNA(VLOOKUP(B40,特昇対策!$C:$C,1,FALSE),IF(OR(D40="龍王拳",D40="龍華拳",C40="二",C40="三",C40="四"),B40,"")))</f>
        <v>0</v>
      </c>
      <c r="F40" s="436"/>
      <c r="G40" s="313" t="s">
        <v>831</v>
      </c>
      <c r="H40" s="316" t="s">
        <v>52</v>
      </c>
      <c r="I40" s="435" t="s">
        <v>740</v>
      </c>
      <c r="J40" s="1">
        <f>LEN(_xlfn.IFNA(VLOOKUP(G40,特昇対策!$C:$C,1,FALSE),IF(OR(I40="龍王拳",I40="龍華拳",H40="二",H40="三",H40="四"),G40,"")))</f>
        <v>2</v>
      </c>
    </row>
    <row r="41" spans="1:10" x14ac:dyDescent="0.45">
      <c r="A41" s="426"/>
      <c r="B41" s="314" t="s">
        <v>833</v>
      </c>
      <c r="C41" s="315">
        <v>3</v>
      </c>
      <c r="D41" s="1" t="s">
        <v>742</v>
      </c>
      <c r="E41" s="1">
        <f>LEN(_xlfn.IFNA(VLOOKUP(B41,特昇対策!$C:$C,1,FALSE),IF(OR(D41="龍王拳",D41="龍華拳",C41="二",C41="三",C41="四"),B41,"")))</f>
        <v>0</v>
      </c>
      <c r="F41" s="434" t="s">
        <v>290</v>
      </c>
      <c r="G41" s="317" t="s">
        <v>290</v>
      </c>
      <c r="H41" s="433" t="s">
        <v>41</v>
      </c>
      <c r="I41" s="432" t="s">
        <v>741</v>
      </c>
      <c r="J41" s="1">
        <f>LEN(_xlfn.IFNA(VLOOKUP(G41,特昇対策!$C:$C,1,FALSE),IF(OR(I41="龍王拳",I41="龍華拳",H41="二",H41="三",H41="四"),G41,"")))</f>
        <v>3</v>
      </c>
    </row>
    <row r="42" spans="1:10" x14ac:dyDescent="0.45">
      <c r="A42" s="426"/>
      <c r="B42" s="314" t="s">
        <v>835</v>
      </c>
      <c r="C42" s="315" t="s">
        <v>41</v>
      </c>
      <c r="D42" s="1" t="s">
        <v>740</v>
      </c>
      <c r="E42" s="1">
        <f>LEN(_xlfn.IFNA(VLOOKUP(B42,特昇対策!$C:$C,1,FALSE),IF(OR(D42="龍王拳",D42="龍華拳",C42="二",C42="三",C42="四"),B42,"")))</f>
        <v>4</v>
      </c>
      <c r="F42" s="426"/>
      <c r="G42" s="314" t="s">
        <v>293</v>
      </c>
      <c r="H42" s="315" t="s">
        <v>41</v>
      </c>
      <c r="I42" s="425" t="s">
        <v>741</v>
      </c>
      <c r="J42" s="1">
        <f>LEN(_xlfn.IFNA(VLOOKUP(G42,特昇対策!$C:$C,1,FALSE),IF(OR(I42="龍王拳",I42="龍華拳",H42="二",H42="三",H42="四"),G42,"")))</f>
        <v>5</v>
      </c>
    </row>
    <row r="43" spans="1:10" x14ac:dyDescent="0.45">
      <c r="A43" s="426"/>
      <c r="B43" s="314" t="s">
        <v>214</v>
      </c>
      <c r="C43" s="315" t="s">
        <v>41</v>
      </c>
      <c r="D43" s="1" t="s">
        <v>740</v>
      </c>
      <c r="E43" s="1">
        <f>LEN(_xlfn.IFNA(VLOOKUP(B43,特昇対策!$C:$C,1,FALSE),IF(OR(D43="龍王拳",D43="龍華拳",C43="二",C43="三",C43="四"),B43,"")))</f>
        <v>3</v>
      </c>
      <c r="F43" s="426"/>
      <c r="G43" s="314" t="s">
        <v>295</v>
      </c>
      <c r="H43" s="315" t="s">
        <v>52</v>
      </c>
      <c r="I43" s="425" t="s">
        <v>741</v>
      </c>
      <c r="J43" s="1">
        <f>LEN(_xlfn.IFNA(VLOOKUP(G43,特昇対策!$C:$C,1,FALSE),IF(OR(I43="龍王拳",I43="龍華拳",H43="二",H43="三",H43="四"),G43,"")))</f>
        <v>4</v>
      </c>
    </row>
    <row r="44" spans="1:10" x14ac:dyDescent="0.45">
      <c r="A44" s="426"/>
      <c r="B44" s="314" t="s">
        <v>223</v>
      </c>
      <c r="C44" s="315" t="s">
        <v>41</v>
      </c>
      <c r="D44" s="1" t="s">
        <v>740</v>
      </c>
      <c r="E44" s="1">
        <f>LEN(_xlfn.IFNA(VLOOKUP(B44,特昇対策!$C:$C,1,FALSE),IF(OR(D44="龍王拳",D44="龍華拳",C44="二",C44="三",C44="四"),B44,"")))</f>
        <v>4</v>
      </c>
      <c r="F44" s="426"/>
      <c r="G44" s="314" t="s">
        <v>297</v>
      </c>
      <c r="H44" s="315" t="s">
        <v>200</v>
      </c>
      <c r="I44" s="425" t="s">
        <v>741</v>
      </c>
      <c r="J44" s="1">
        <f>LEN(_xlfn.IFNA(VLOOKUP(G44,特昇対策!$C:$C,1,FALSE),IF(OR(I44="龍王拳",I44="龍華拳",H44="二",H44="三",H44="四"),G44,"")))</f>
        <v>3</v>
      </c>
    </row>
    <row r="45" spans="1:10" x14ac:dyDescent="0.45">
      <c r="A45" s="426"/>
      <c r="B45" s="314" t="s">
        <v>837</v>
      </c>
      <c r="C45" s="315" t="s">
        <v>41</v>
      </c>
      <c r="D45" s="1" t="s">
        <v>838</v>
      </c>
      <c r="E45" s="1">
        <f>LEN(_xlfn.IFNA(VLOOKUP(B45,特昇対策!$C:$C,1,FALSE),IF(OR(D45="龍王拳",D45="龍華拳",C45="二",C45="三",C45="四"),B45,"")))</f>
        <v>2</v>
      </c>
      <c r="F45" s="436"/>
      <c r="G45" s="313" t="s">
        <v>839</v>
      </c>
      <c r="H45" s="316" t="s">
        <v>200</v>
      </c>
      <c r="I45" s="435" t="s">
        <v>741</v>
      </c>
      <c r="J45" s="1">
        <f>LEN(_xlfn.IFNA(VLOOKUP(G45,特昇対策!$C:$C,1,FALSE),IF(OR(I45="龍王拳",I45="龍華拳",H45="二",H45="三",H45="四"),G45,"")))</f>
        <v>4</v>
      </c>
    </row>
    <row r="46" spans="1:10" x14ac:dyDescent="0.45">
      <c r="A46" s="426"/>
      <c r="B46" s="314" t="s">
        <v>842</v>
      </c>
      <c r="C46" s="315" t="s">
        <v>41</v>
      </c>
      <c r="D46" s="1" t="s">
        <v>838</v>
      </c>
      <c r="E46" s="1">
        <f>LEN(_xlfn.IFNA(VLOOKUP(B46,特昇対策!$C:$C,1,FALSE),IF(OR(D46="龍王拳",D46="龍華拳",C46="二",C46="三",C46="四"),B46,"")))</f>
        <v>3</v>
      </c>
      <c r="F46" s="434" t="s">
        <v>843</v>
      </c>
      <c r="G46" s="317" t="s">
        <v>300</v>
      </c>
      <c r="H46" s="433" t="s">
        <v>52</v>
      </c>
      <c r="I46" s="432" t="s">
        <v>741</v>
      </c>
      <c r="J46" s="1">
        <f>LEN(_xlfn.IFNA(VLOOKUP(G46,特昇対策!$C:$C,1,FALSE),IF(OR(I46="龍王拳",I46="龍華拳",H46="二",H46="三",H46="四"),G46,"")))</f>
        <v>3</v>
      </c>
    </row>
    <row r="47" spans="1:10" x14ac:dyDescent="0.45">
      <c r="A47" s="426"/>
      <c r="B47" s="314" t="s">
        <v>844</v>
      </c>
      <c r="C47" s="315" t="s">
        <v>41</v>
      </c>
      <c r="D47" s="1" t="s">
        <v>740</v>
      </c>
      <c r="E47" s="1">
        <f>LEN(_xlfn.IFNA(VLOOKUP(B47,特昇対策!$C:$C,1,FALSE),IF(OR(D47="龍王拳",D47="龍華拳",C47="二",C47="三",C47="四"),B47,"")))</f>
        <v>6</v>
      </c>
      <c r="F47" s="426"/>
      <c r="G47" s="314" t="s">
        <v>845</v>
      </c>
      <c r="H47" s="315" t="s">
        <v>52</v>
      </c>
      <c r="I47" s="425" t="s">
        <v>741</v>
      </c>
      <c r="J47" s="1">
        <f>LEN(_xlfn.IFNA(VLOOKUP(G47,特昇対策!$C:$C,1,FALSE),IF(OR(I47="龍王拳",I47="龍華拳",H47="二",H47="三",H47="四"),G47,"")))</f>
        <v>4</v>
      </c>
    </row>
    <row r="48" spans="1:10" x14ac:dyDescent="0.45">
      <c r="A48" s="426"/>
      <c r="B48" s="314" t="s">
        <v>532</v>
      </c>
      <c r="C48" s="315" t="s">
        <v>200</v>
      </c>
      <c r="D48" s="1" t="s">
        <v>740</v>
      </c>
      <c r="E48" s="1">
        <f>LEN(_xlfn.IFNA(VLOOKUP(B48,特昇対策!$C:$C,1,FALSE),IF(OR(D48="龍王拳",D48="龍華拳",C48="二",C48="三",C48="四"),B48,"")))</f>
        <v>5</v>
      </c>
      <c r="F48" s="426"/>
      <c r="G48" s="314" t="s">
        <v>301</v>
      </c>
      <c r="H48" s="315" t="s">
        <v>52</v>
      </c>
      <c r="I48" s="425" t="s">
        <v>741</v>
      </c>
      <c r="J48" s="1">
        <f>LEN(_xlfn.IFNA(VLOOKUP(G48,特昇対策!$C:$C,1,FALSE),IF(OR(I48="龍王拳",I48="龍華拳",H48="二",H48="三",H48="四"),G48,"")))</f>
        <v>4</v>
      </c>
    </row>
    <row r="49" spans="1:10" x14ac:dyDescent="0.45">
      <c r="A49" s="426"/>
      <c r="B49" s="314" t="s">
        <v>211</v>
      </c>
      <c r="C49" s="315" t="s">
        <v>52</v>
      </c>
      <c r="D49" s="1" t="s">
        <v>740</v>
      </c>
      <c r="E49" s="1">
        <f>LEN(_xlfn.IFNA(VLOOKUP(B49,特昇対策!$C:$C,1,FALSE),IF(OR(D49="龍王拳",D49="龍華拳",C49="二",C49="三",C49="四"),B49,"")))</f>
        <v>2</v>
      </c>
      <c r="F49" s="426"/>
      <c r="G49" s="314" t="s">
        <v>847</v>
      </c>
      <c r="H49" s="315" t="s">
        <v>200</v>
      </c>
      <c r="I49" s="425" t="s">
        <v>741</v>
      </c>
      <c r="J49" s="1">
        <f>LEN(_xlfn.IFNA(VLOOKUP(G49,特昇対策!$C:$C,1,FALSE),IF(OR(I49="龍王拳",I49="龍華拳",H49="二",H49="三",H49="四"),G49,"")))</f>
        <v>5</v>
      </c>
    </row>
    <row r="50" spans="1:10" x14ac:dyDescent="0.45">
      <c r="A50" s="426"/>
      <c r="B50" s="313" t="s">
        <v>522</v>
      </c>
      <c r="C50" s="316" t="s">
        <v>52</v>
      </c>
      <c r="D50" s="430" t="s">
        <v>740</v>
      </c>
      <c r="E50" s="1">
        <f>LEN(_xlfn.IFNA(VLOOKUP(B50,特昇対策!$C:$C,1,FALSE),IF(OR(D50="龍王拳",D50="龍華拳",C50="二",C50="三",C50="四"),B50,"")))</f>
        <v>4</v>
      </c>
      <c r="F50" s="426"/>
      <c r="G50" s="314" t="s">
        <v>304</v>
      </c>
      <c r="H50" s="315" t="s">
        <v>52</v>
      </c>
      <c r="I50" s="425" t="s">
        <v>741</v>
      </c>
      <c r="J50" s="1">
        <f>LEN(_xlfn.IFNA(VLOOKUP(G50,特昇対策!$C:$C,1,FALSE),IF(OR(I50="龍王拳",I50="龍華拳",H50="二",H50="三",H50="四"),G50,"")))</f>
        <v>5</v>
      </c>
    </row>
    <row r="51" spans="1:10" ht="18.600000000000001" thickBot="1" x14ac:dyDescent="0.5">
      <c r="A51" s="424"/>
      <c r="B51" s="429" t="s">
        <v>146</v>
      </c>
      <c r="C51" s="428">
        <v>6</v>
      </c>
      <c r="D51" s="427" t="s">
        <v>739</v>
      </c>
      <c r="E51" s="1">
        <f>LEN(_xlfn.IFNA(VLOOKUP(B51,特昇対策!$C:$C,1,FALSE),IF(OR(D51="龍王拳",D51="龍華拳",C51="二",C51="三",C51="四"),B51,"")))</f>
        <v>3</v>
      </c>
      <c r="F51" s="426"/>
      <c r="G51" s="314" t="s">
        <v>303</v>
      </c>
      <c r="H51" s="315" t="s">
        <v>52</v>
      </c>
      <c r="I51" s="425" t="s">
        <v>741</v>
      </c>
      <c r="J51" s="1">
        <f>LEN(_xlfn.IFNA(VLOOKUP(G51,特昇対策!$C:$C,1,FALSE),IF(OR(I51="龍王拳",I51="龍華拳",H51="二",H51="三",H51="四"),G51,"")))</f>
        <v>5</v>
      </c>
    </row>
    <row r="52" spans="1:10" ht="18.600000000000001" thickBot="1" x14ac:dyDescent="0.5">
      <c r="F52" s="424"/>
      <c r="G52" s="423" t="s">
        <v>848</v>
      </c>
      <c r="H52" s="422" t="s">
        <v>200</v>
      </c>
      <c r="I52" s="421" t="s">
        <v>740</v>
      </c>
      <c r="J52" s="1">
        <f>LEN(_xlfn.IFNA(VLOOKUP(G52,特昇対策!$C:$C,1,FALSE),IF(OR(I52="龍王拳",I52="龍華拳",H52="二",H52="三",H52="四"),G52,"")))</f>
        <v>5</v>
      </c>
    </row>
  </sheetData>
  <autoFilter ref="A2:S52" xr:uid="{C25B0CDC-3025-4177-B229-1B6CF572D499}"/>
  <phoneticPr fontId="2"/>
  <conditionalFormatting sqref="B3:D51">
    <cfRule type="expression" dxfId="2" priority="3">
      <formula>$E3&gt;0</formula>
    </cfRule>
  </conditionalFormatting>
  <conditionalFormatting sqref="G3:I52">
    <cfRule type="expression" dxfId="1" priority="2">
      <formula>$J3&gt;0</formula>
    </cfRule>
  </conditionalFormatting>
  <conditionalFormatting sqref="L3:N25">
    <cfRule type="expression" dxfId="0" priority="1">
      <formula>$O3&gt;0</formula>
    </cfRule>
  </conditionalFormatting>
  <pageMargins left="0.7" right="0.7" top="0.75" bottom="0.75" header="0.3" footer="0.3"/>
  <pageSetup paperSize="9" scale="4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6297-7453-419B-90F6-FA1D8844F0BF}">
  <sheetPr codeName="Sheet8">
    <tabColor rgb="FFFFC000"/>
    <pageSetUpPr fitToPage="1"/>
  </sheetPr>
  <dimension ref="A1:AD1029"/>
  <sheetViews>
    <sheetView showGridLines="0" view="pageBreakPreview" zoomScale="85" zoomScaleNormal="100" zoomScaleSheetLayoutView="85" workbookViewId="0">
      <pane xSplit="1" ySplit="1" topLeftCell="H2" activePane="bottomRight" state="frozen"/>
      <selection pane="topRight" activeCell="B1" sqref="B1"/>
      <selection pane="bottomLeft" activeCell="A2" sqref="A2"/>
      <selection pane="bottomRight" activeCell="Z6" sqref="Z6"/>
    </sheetView>
  </sheetViews>
  <sheetFormatPr defaultColWidth="8.8984375" defaultRowHeight="17.399999999999999" x14ac:dyDescent="0.45"/>
  <cols>
    <col min="1" max="1" width="3.19921875" style="323" customWidth="1"/>
    <col min="2" max="2" width="17.19921875" style="321" bestFit="1" customWidth="1"/>
    <col min="3" max="3" width="7.3984375" style="322" customWidth="1"/>
    <col min="4" max="4" width="3.19921875" style="323" customWidth="1"/>
    <col min="5" max="5" width="17.19921875" style="321" bestFit="1" customWidth="1"/>
    <col min="6" max="6" width="7.3984375" style="322" customWidth="1"/>
    <col min="7" max="7" width="3.19921875" style="323" customWidth="1"/>
    <col min="8" max="8" width="17.19921875" style="321" bestFit="1" customWidth="1"/>
    <col min="9" max="9" width="7.3984375" style="321" bestFit="1" customWidth="1"/>
    <col min="10" max="10" width="3.19921875" style="323" customWidth="1"/>
    <col min="11" max="11" width="17.19921875" style="321" bestFit="1" customWidth="1"/>
    <col min="12" max="12" width="7.3984375" style="321" bestFit="1" customWidth="1"/>
    <col min="13" max="13" width="3.19921875" style="323" customWidth="1"/>
    <col min="14" max="14" width="23" style="321" bestFit="1" customWidth="1"/>
    <col min="15" max="15" width="7.3984375" style="321" bestFit="1" customWidth="1"/>
    <col min="16" max="16" width="3.19921875" style="323" customWidth="1"/>
    <col min="17" max="17" width="23" style="321" bestFit="1" customWidth="1"/>
    <col min="18" max="18" width="10.69921875" style="321" bestFit="1" customWidth="1"/>
    <col min="19" max="19" width="3.19921875" style="323" customWidth="1"/>
    <col min="20" max="20" width="23" style="321" bestFit="1" customWidth="1"/>
    <col min="21" max="21" width="7.3984375" style="321" customWidth="1"/>
    <col min="22" max="22" width="3.19921875" style="323" customWidth="1"/>
    <col min="23" max="23" width="20.69921875" style="321" bestFit="1" customWidth="1"/>
    <col min="24" max="24" width="9.09765625" style="321" bestFit="1" customWidth="1"/>
    <col min="25" max="25" width="3.19921875" style="323" customWidth="1"/>
    <col min="26" max="26" width="21.5" style="321" bestFit="1" customWidth="1"/>
    <col min="27" max="27" width="10.69921875" style="321" customWidth="1"/>
    <col min="28" max="28" width="3.19921875" style="323" customWidth="1"/>
    <col min="29" max="29" width="23" style="321" bestFit="1" customWidth="1"/>
    <col min="30" max="30" width="4" style="321" bestFit="1" customWidth="1"/>
    <col min="31" max="32" width="8.8984375" style="321" bestFit="1" customWidth="1"/>
    <col min="33" max="16384" width="8.8984375" style="321"/>
  </cols>
  <sheetData>
    <row r="1" spans="1:30" s="322" customFormat="1" ht="18" thickBot="1" x14ac:dyDescent="0.5">
      <c r="A1" s="324"/>
      <c r="B1" s="489" t="s">
        <v>442</v>
      </c>
      <c r="C1" s="490"/>
      <c r="D1" s="325"/>
      <c r="E1" s="491" t="s">
        <v>443</v>
      </c>
      <c r="F1" s="490"/>
      <c r="G1" s="325"/>
      <c r="H1" s="491" t="s">
        <v>444</v>
      </c>
      <c r="I1" s="490"/>
      <c r="J1" s="325"/>
      <c r="K1" s="492" t="s">
        <v>445</v>
      </c>
      <c r="L1" s="493"/>
      <c r="M1" s="325"/>
      <c r="N1" s="492" t="s">
        <v>446</v>
      </c>
      <c r="O1" s="493"/>
      <c r="P1" s="325"/>
      <c r="Q1" s="492" t="s">
        <v>447</v>
      </c>
      <c r="R1" s="493"/>
      <c r="S1" s="325"/>
      <c r="T1" s="494" t="s">
        <v>448</v>
      </c>
      <c r="U1" s="495"/>
      <c r="V1" s="325"/>
      <c r="W1" s="494" t="s">
        <v>449</v>
      </c>
      <c r="X1" s="495"/>
      <c r="Y1" s="325"/>
      <c r="Z1" s="494" t="s">
        <v>450</v>
      </c>
      <c r="AA1" s="495"/>
      <c r="AB1" s="325"/>
      <c r="AC1" s="496" t="s">
        <v>451</v>
      </c>
      <c r="AD1" s="497"/>
    </row>
    <row r="2" spans="1:30" s="322" customFormat="1" ht="19.8" thickBot="1" x14ac:dyDescent="0.5">
      <c r="A2" s="503" t="s">
        <v>0</v>
      </c>
      <c r="B2" s="504"/>
      <c r="C2" s="504"/>
      <c r="D2" s="504"/>
      <c r="E2" s="504"/>
      <c r="F2" s="504"/>
      <c r="G2" s="504"/>
      <c r="H2" s="504"/>
      <c r="I2" s="504"/>
      <c r="J2" s="504"/>
      <c r="K2" s="504"/>
      <c r="L2" s="504"/>
      <c r="M2" s="504"/>
      <c r="N2" s="504"/>
      <c r="O2" s="504"/>
      <c r="P2" s="504"/>
      <c r="Q2" s="504"/>
      <c r="R2" s="504"/>
      <c r="S2" s="504"/>
      <c r="T2" s="504"/>
      <c r="U2" s="504"/>
      <c r="V2" s="504"/>
      <c r="W2" s="504"/>
      <c r="X2" s="504"/>
      <c r="Y2" s="504"/>
      <c r="Z2" s="504"/>
      <c r="AA2" s="504"/>
      <c r="AB2" s="504"/>
      <c r="AC2" s="504"/>
      <c r="AD2" s="505"/>
    </row>
    <row r="3" spans="1:30" ht="34.799999999999997" x14ac:dyDescent="0.45">
      <c r="A3" s="369" t="s">
        <v>696</v>
      </c>
      <c r="B3" s="408" t="s">
        <v>452</v>
      </c>
      <c r="C3" s="409" t="s">
        <v>707</v>
      </c>
      <c r="D3" s="360" t="s">
        <v>696</v>
      </c>
      <c r="E3" s="410" t="s">
        <v>456</v>
      </c>
      <c r="F3" s="409" t="s">
        <v>708</v>
      </c>
      <c r="G3" s="360" t="s">
        <v>695</v>
      </c>
      <c r="H3" s="410" t="s">
        <v>458</v>
      </c>
      <c r="I3" s="411" t="s">
        <v>710</v>
      </c>
      <c r="J3" s="360" t="s">
        <v>695</v>
      </c>
      <c r="K3" s="410" t="s">
        <v>462</v>
      </c>
      <c r="L3" s="411" t="s">
        <v>710</v>
      </c>
      <c r="M3" s="360" t="s">
        <v>695</v>
      </c>
      <c r="N3" s="410" t="s">
        <v>465</v>
      </c>
      <c r="O3" s="412" t="s">
        <v>709</v>
      </c>
      <c r="P3" s="360"/>
      <c r="Q3" s="410"/>
      <c r="R3" s="412"/>
      <c r="S3" s="360"/>
      <c r="T3" s="410"/>
      <c r="U3" s="412"/>
      <c r="V3" s="360" t="s">
        <v>695</v>
      </c>
      <c r="W3" s="374" t="s">
        <v>475</v>
      </c>
      <c r="X3" s="413" t="s">
        <v>723</v>
      </c>
      <c r="Y3" s="360" t="s">
        <v>696</v>
      </c>
      <c r="Z3" s="374" t="s">
        <v>473</v>
      </c>
      <c r="AA3" s="375" t="s">
        <v>708</v>
      </c>
      <c r="AB3" s="360"/>
      <c r="AC3" s="376"/>
      <c r="AD3" s="377"/>
    </row>
    <row r="4" spans="1:30" ht="34.799999999999997" x14ac:dyDescent="0.45">
      <c r="A4" s="344" t="s">
        <v>696</v>
      </c>
      <c r="B4" s="345" t="s">
        <v>455</v>
      </c>
      <c r="C4" s="346" t="s">
        <v>708</v>
      </c>
      <c r="D4" s="347" t="s">
        <v>695</v>
      </c>
      <c r="E4" s="348" t="s">
        <v>457</v>
      </c>
      <c r="F4" s="346" t="s">
        <v>708</v>
      </c>
      <c r="G4" s="347" t="s">
        <v>695</v>
      </c>
      <c r="H4" s="348" t="s">
        <v>459</v>
      </c>
      <c r="I4" s="349" t="s">
        <v>710</v>
      </c>
      <c r="J4" s="347" t="s">
        <v>695</v>
      </c>
      <c r="K4" s="348" t="s">
        <v>463</v>
      </c>
      <c r="L4" s="350" t="s">
        <v>708</v>
      </c>
      <c r="M4" s="347" t="s">
        <v>695</v>
      </c>
      <c r="N4" s="348" t="s">
        <v>37</v>
      </c>
      <c r="O4" s="350" t="s">
        <v>708</v>
      </c>
      <c r="P4" s="347"/>
      <c r="Q4" s="348"/>
      <c r="R4" s="350"/>
      <c r="S4" s="347"/>
      <c r="T4" s="348"/>
      <c r="U4" s="350"/>
      <c r="V4" s="347" t="s">
        <v>695</v>
      </c>
      <c r="W4" s="351" t="s">
        <v>467</v>
      </c>
      <c r="X4" s="352" t="s">
        <v>708</v>
      </c>
      <c r="Y4" s="347" t="s">
        <v>695</v>
      </c>
      <c r="Z4" s="351" t="s">
        <v>471</v>
      </c>
      <c r="AA4" s="353" t="s">
        <v>710</v>
      </c>
      <c r="AB4" s="347"/>
      <c r="AC4" s="354"/>
      <c r="AD4" s="355"/>
    </row>
    <row r="5" spans="1:30" ht="34.799999999999997" x14ac:dyDescent="0.45">
      <c r="A5" s="344" t="s">
        <v>696</v>
      </c>
      <c r="B5" s="345" t="s">
        <v>453</v>
      </c>
      <c r="C5" s="346" t="s">
        <v>708</v>
      </c>
      <c r="D5" s="347"/>
      <c r="E5" s="348"/>
      <c r="F5" s="346"/>
      <c r="G5" s="347" t="s">
        <v>695</v>
      </c>
      <c r="H5" s="348" t="s">
        <v>460</v>
      </c>
      <c r="I5" s="349" t="s">
        <v>710</v>
      </c>
      <c r="J5" s="347" t="s">
        <v>695</v>
      </c>
      <c r="K5" s="348" t="s">
        <v>464</v>
      </c>
      <c r="L5" s="350" t="s">
        <v>709</v>
      </c>
      <c r="M5" s="347" t="s">
        <v>695</v>
      </c>
      <c r="N5" s="348" t="s">
        <v>466</v>
      </c>
      <c r="O5" s="350" t="s">
        <v>709</v>
      </c>
      <c r="P5" s="347"/>
      <c r="Q5" s="348"/>
      <c r="R5" s="350"/>
      <c r="S5" s="347"/>
      <c r="T5" s="348"/>
      <c r="U5" s="350"/>
      <c r="V5" s="347"/>
      <c r="W5" s="351"/>
      <c r="X5" s="352"/>
      <c r="Y5" s="347" t="s">
        <v>695</v>
      </c>
      <c r="Z5" s="351" t="s">
        <v>470</v>
      </c>
      <c r="AA5" s="353" t="s">
        <v>710</v>
      </c>
      <c r="AB5" s="347"/>
      <c r="AC5" s="354"/>
      <c r="AD5" s="355"/>
    </row>
    <row r="6" spans="1:30" ht="34.799999999999997" x14ac:dyDescent="0.45">
      <c r="A6" s="344" t="s">
        <v>696</v>
      </c>
      <c r="B6" s="345" t="s">
        <v>454</v>
      </c>
      <c r="C6" s="346" t="s">
        <v>708</v>
      </c>
      <c r="D6" s="347"/>
      <c r="E6" s="348"/>
      <c r="F6" s="346"/>
      <c r="G6" s="347" t="s">
        <v>695</v>
      </c>
      <c r="H6" s="348" t="s">
        <v>461</v>
      </c>
      <c r="I6" s="349" t="s">
        <v>710</v>
      </c>
      <c r="J6" s="347"/>
      <c r="K6" s="348"/>
      <c r="L6" s="350"/>
      <c r="M6" s="347" t="s">
        <v>695</v>
      </c>
      <c r="N6" s="348" t="s">
        <v>474</v>
      </c>
      <c r="O6" s="350" t="s">
        <v>708</v>
      </c>
      <c r="P6" s="347"/>
      <c r="Q6" s="348"/>
      <c r="R6" s="350"/>
      <c r="S6" s="347"/>
      <c r="T6" s="348"/>
      <c r="U6" s="350"/>
      <c r="V6" s="347"/>
      <c r="W6" s="351"/>
      <c r="X6" s="352"/>
      <c r="Y6" s="347" t="s">
        <v>695</v>
      </c>
      <c r="Z6" s="356" t="s">
        <v>468</v>
      </c>
      <c r="AA6" s="357" t="s">
        <v>708</v>
      </c>
      <c r="AB6" s="347"/>
      <c r="AC6" s="354"/>
      <c r="AD6" s="355"/>
    </row>
    <row r="7" spans="1:30" x14ac:dyDescent="0.45">
      <c r="A7" s="344"/>
      <c r="B7" s="345"/>
      <c r="C7" s="346"/>
      <c r="D7" s="347"/>
      <c r="E7" s="348"/>
      <c r="F7" s="346"/>
      <c r="G7" s="347"/>
      <c r="H7" s="348"/>
      <c r="I7" s="349"/>
      <c r="J7" s="347"/>
      <c r="K7" s="348"/>
      <c r="L7" s="350"/>
      <c r="M7" s="347" t="s">
        <v>695</v>
      </c>
      <c r="N7" s="348" t="s">
        <v>48</v>
      </c>
      <c r="O7" s="350" t="s">
        <v>708</v>
      </c>
      <c r="P7" s="347"/>
      <c r="Q7" s="348"/>
      <c r="R7" s="350"/>
      <c r="S7" s="347"/>
      <c r="T7" s="348"/>
      <c r="U7" s="350"/>
      <c r="V7" s="347"/>
      <c r="W7" s="351"/>
      <c r="X7" s="352"/>
      <c r="Y7" s="347" t="s">
        <v>695</v>
      </c>
      <c r="Z7" s="351" t="s">
        <v>469</v>
      </c>
      <c r="AA7" s="352" t="s">
        <v>708</v>
      </c>
      <c r="AB7" s="347"/>
      <c r="AC7" s="354"/>
      <c r="AD7" s="355"/>
    </row>
    <row r="8" spans="1:30" x14ac:dyDescent="0.45">
      <c r="A8" s="344"/>
      <c r="B8" s="345"/>
      <c r="C8" s="346"/>
      <c r="D8" s="347"/>
      <c r="E8" s="348"/>
      <c r="F8" s="346"/>
      <c r="G8" s="347"/>
      <c r="H8" s="348"/>
      <c r="I8" s="349"/>
      <c r="J8" s="347"/>
      <c r="K8" s="348"/>
      <c r="L8" s="350"/>
      <c r="M8" s="347" t="s">
        <v>695</v>
      </c>
      <c r="N8" s="348" t="s">
        <v>49</v>
      </c>
      <c r="O8" s="350" t="s">
        <v>708</v>
      </c>
      <c r="P8" s="347"/>
      <c r="Q8" s="348"/>
      <c r="R8" s="350"/>
      <c r="S8" s="347"/>
      <c r="T8" s="348"/>
      <c r="U8" s="350"/>
      <c r="V8" s="347"/>
      <c r="W8" s="351"/>
      <c r="X8" s="352"/>
      <c r="Y8" s="347" t="s">
        <v>695</v>
      </c>
      <c r="Z8" s="351" t="s">
        <v>472</v>
      </c>
      <c r="AA8" s="352" t="s">
        <v>708</v>
      </c>
      <c r="AB8" s="347"/>
      <c r="AC8" s="354"/>
      <c r="AD8" s="355"/>
    </row>
    <row r="9" spans="1:30" ht="18" thickBot="1" x14ac:dyDescent="0.5">
      <c r="A9" s="363"/>
      <c r="B9" s="378"/>
      <c r="C9" s="379"/>
      <c r="D9" s="364"/>
      <c r="E9" s="380"/>
      <c r="F9" s="379"/>
      <c r="G9" s="364"/>
      <c r="H9" s="380"/>
      <c r="I9" s="381"/>
      <c r="J9" s="364"/>
      <c r="K9" s="380"/>
      <c r="L9" s="381"/>
      <c r="M9" s="364"/>
      <c r="N9" s="380"/>
      <c r="O9" s="381"/>
      <c r="P9" s="364"/>
      <c r="Q9" s="380"/>
      <c r="R9" s="381"/>
      <c r="S9" s="364"/>
      <c r="T9" s="380"/>
      <c r="U9" s="381"/>
      <c r="V9" s="364"/>
      <c r="W9" s="365"/>
      <c r="X9" s="366"/>
      <c r="Y9" s="364" t="s">
        <v>695</v>
      </c>
      <c r="Z9" s="365" t="s">
        <v>51</v>
      </c>
      <c r="AA9" s="366"/>
      <c r="AB9" s="364"/>
      <c r="AC9" s="367"/>
      <c r="AD9" s="368"/>
    </row>
    <row r="10" spans="1:30" s="322" customFormat="1" ht="19.8" thickBot="1" x14ac:dyDescent="0.5">
      <c r="A10" s="503" t="s">
        <v>748</v>
      </c>
      <c r="B10" s="504"/>
      <c r="C10" s="504"/>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5"/>
    </row>
    <row r="11" spans="1:30" x14ac:dyDescent="0.45">
      <c r="A11" s="369"/>
      <c r="B11" s="370"/>
      <c r="C11" s="371"/>
      <c r="D11" s="360" t="s">
        <v>695</v>
      </c>
      <c r="E11" s="361" t="s">
        <v>476</v>
      </c>
      <c r="F11" s="371" t="s">
        <v>708</v>
      </c>
      <c r="G11" s="360"/>
      <c r="H11" s="361"/>
      <c r="I11" s="362"/>
      <c r="J11" s="360" t="s">
        <v>695</v>
      </c>
      <c r="K11" s="361" t="s">
        <v>713</v>
      </c>
      <c r="L11" s="362" t="s">
        <v>708</v>
      </c>
      <c r="M11" s="360" t="s">
        <v>695</v>
      </c>
      <c r="N11" s="372" t="s">
        <v>478</v>
      </c>
      <c r="O11" s="373" t="s">
        <v>709</v>
      </c>
      <c r="P11" s="360" t="s">
        <v>695</v>
      </c>
      <c r="Q11" s="361" t="s">
        <v>67</v>
      </c>
      <c r="R11" s="362" t="s">
        <v>709</v>
      </c>
      <c r="S11" s="360" t="s">
        <v>695</v>
      </c>
      <c r="T11" s="372" t="s">
        <v>80</v>
      </c>
      <c r="U11" s="373" t="s">
        <v>709</v>
      </c>
      <c r="V11" s="360"/>
      <c r="W11" s="374"/>
      <c r="X11" s="375"/>
      <c r="Y11" s="360" t="s">
        <v>695</v>
      </c>
      <c r="Z11" s="374" t="s">
        <v>480</v>
      </c>
      <c r="AA11" s="375" t="s">
        <v>724</v>
      </c>
      <c r="AB11" s="360"/>
      <c r="AC11" s="376"/>
      <c r="AD11" s="377"/>
    </row>
    <row r="12" spans="1:30" ht="18" thickBot="1" x14ac:dyDescent="0.5">
      <c r="A12" s="386"/>
      <c r="B12" s="387"/>
      <c r="C12" s="388"/>
      <c r="D12" s="389" t="s">
        <v>695</v>
      </c>
      <c r="E12" s="390" t="s">
        <v>477</v>
      </c>
      <c r="F12" s="388" t="s">
        <v>708</v>
      </c>
      <c r="G12" s="389"/>
      <c r="H12" s="390"/>
      <c r="I12" s="391"/>
      <c r="J12" s="389"/>
      <c r="K12" s="390"/>
      <c r="L12" s="391"/>
      <c r="M12" s="389" t="s">
        <v>695</v>
      </c>
      <c r="N12" s="392" t="s">
        <v>479</v>
      </c>
      <c r="O12" s="393" t="s">
        <v>708</v>
      </c>
      <c r="P12" s="389"/>
      <c r="Q12" s="390"/>
      <c r="R12" s="391"/>
      <c r="S12" s="389" t="s">
        <v>695</v>
      </c>
      <c r="T12" s="390" t="s">
        <v>71</v>
      </c>
      <c r="U12" s="391" t="s">
        <v>709</v>
      </c>
      <c r="V12" s="389"/>
      <c r="W12" s="394"/>
      <c r="X12" s="395"/>
      <c r="Y12" s="389"/>
      <c r="Z12" s="394"/>
      <c r="AA12" s="395"/>
      <c r="AB12" s="389"/>
      <c r="AC12" s="396"/>
      <c r="AD12" s="397"/>
    </row>
    <row r="13" spans="1:30" s="322" customFormat="1" ht="19.8" thickBot="1" x14ac:dyDescent="0.5">
      <c r="A13" s="503" t="s">
        <v>88</v>
      </c>
      <c r="B13" s="504"/>
      <c r="C13" s="504"/>
      <c r="D13" s="504"/>
      <c r="E13" s="504"/>
      <c r="F13" s="504"/>
      <c r="G13" s="504"/>
      <c r="H13" s="504"/>
      <c r="I13" s="504"/>
      <c r="J13" s="504"/>
      <c r="K13" s="504"/>
      <c r="L13" s="504"/>
      <c r="M13" s="504"/>
      <c r="N13" s="504"/>
      <c r="O13" s="504"/>
      <c r="P13" s="504"/>
      <c r="Q13" s="504"/>
      <c r="R13" s="504"/>
      <c r="S13" s="504"/>
      <c r="T13" s="504"/>
      <c r="U13" s="504"/>
      <c r="V13" s="504"/>
      <c r="W13" s="504"/>
      <c r="X13" s="504"/>
      <c r="Y13" s="504"/>
      <c r="Z13" s="504"/>
      <c r="AA13" s="504"/>
      <c r="AB13" s="504"/>
      <c r="AC13" s="504"/>
      <c r="AD13" s="505"/>
    </row>
    <row r="14" spans="1:30" x14ac:dyDescent="0.45">
      <c r="A14" s="326"/>
      <c r="B14" s="327"/>
      <c r="C14" s="328"/>
      <c r="D14" s="329"/>
      <c r="E14" s="330"/>
      <c r="F14" s="328"/>
      <c r="G14" s="329"/>
      <c r="H14" s="330"/>
      <c r="I14" s="331"/>
      <c r="J14" s="329" t="s">
        <v>695</v>
      </c>
      <c r="K14" s="358" t="s">
        <v>89</v>
      </c>
      <c r="L14" s="359" t="s">
        <v>709</v>
      </c>
      <c r="M14" s="329" t="s">
        <v>695</v>
      </c>
      <c r="N14" s="358" t="s">
        <v>481</v>
      </c>
      <c r="O14" s="359" t="s">
        <v>709</v>
      </c>
      <c r="P14" s="329" t="s">
        <v>695</v>
      </c>
      <c r="Q14" s="358" t="s">
        <v>482</v>
      </c>
      <c r="R14" s="359" t="s">
        <v>709</v>
      </c>
      <c r="S14" s="329"/>
      <c r="T14" s="330"/>
      <c r="U14" s="331"/>
      <c r="V14" s="329" t="s">
        <v>695</v>
      </c>
      <c r="W14" s="358" t="s">
        <v>104</v>
      </c>
      <c r="X14" s="359" t="s">
        <v>708</v>
      </c>
      <c r="Y14" s="329" t="s">
        <v>695</v>
      </c>
      <c r="Z14" s="358" t="s">
        <v>91</v>
      </c>
      <c r="AA14" s="359" t="s">
        <v>708</v>
      </c>
      <c r="AB14" s="329"/>
      <c r="AC14" s="335"/>
      <c r="AD14" s="336"/>
    </row>
    <row r="15" spans="1:30" x14ac:dyDescent="0.45">
      <c r="A15" s="344"/>
      <c r="B15" s="382"/>
      <c r="C15" s="383"/>
      <c r="D15" s="347"/>
      <c r="E15" s="384"/>
      <c r="F15" s="383"/>
      <c r="G15" s="347"/>
      <c r="H15" s="384"/>
      <c r="I15" s="385"/>
      <c r="J15" s="347"/>
      <c r="K15" s="384"/>
      <c r="L15" s="385"/>
      <c r="M15" s="347"/>
      <c r="N15" s="384"/>
      <c r="O15" s="385"/>
      <c r="P15" s="347" t="s">
        <v>695</v>
      </c>
      <c r="Q15" s="356" t="s">
        <v>96</v>
      </c>
      <c r="R15" s="357" t="s">
        <v>709</v>
      </c>
      <c r="S15" s="347"/>
      <c r="T15" s="384"/>
      <c r="U15" s="385"/>
      <c r="V15" s="347" t="s">
        <v>695</v>
      </c>
      <c r="W15" s="356" t="s">
        <v>92</v>
      </c>
      <c r="X15" s="357" t="s">
        <v>709</v>
      </c>
      <c r="Y15" s="347"/>
      <c r="Z15" s="351"/>
      <c r="AA15" s="352"/>
      <c r="AB15" s="347"/>
      <c r="AC15" s="354"/>
      <c r="AD15" s="355"/>
    </row>
    <row r="16" spans="1:30" x14ac:dyDescent="0.45">
      <c r="A16" s="344"/>
      <c r="B16" s="382"/>
      <c r="C16" s="383"/>
      <c r="D16" s="347"/>
      <c r="E16" s="384"/>
      <c r="F16" s="383"/>
      <c r="G16" s="347"/>
      <c r="H16" s="384"/>
      <c r="I16" s="385"/>
      <c r="J16" s="347"/>
      <c r="K16" s="384"/>
      <c r="L16" s="385"/>
      <c r="M16" s="347"/>
      <c r="N16" s="384"/>
      <c r="O16" s="385"/>
      <c r="P16" s="347" t="s">
        <v>695</v>
      </c>
      <c r="Q16" s="356" t="s">
        <v>483</v>
      </c>
      <c r="R16" s="357" t="s">
        <v>709</v>
      </c>
      <c r="S16" s="347"/>
      <c r="T16" s="384"/>
      <c r="U16" s="385"/>
      <c r="V16" s="347"/>
      <c r="W16" s="351"/>
      <c r="X16" s="352"/>
      <c r="Y16" s="347"/>
      <c r="Z16" s="351"/>
      <c r="AA16" s="352"/>
      <c r="AB16" s="347"/>
      <c r="AC16" s="354"/>
      <c r="AD16" s="355"/>
    </row>
    <row r="17" spans="1:30" ht="18" thickBot="1" x14ac:dyDescent="0.5">
      <c r="A17" s="386"/>
      <c r="B17" s="387"/>
      <c r="C17" s="388"/>
      <c r="D17" s="389"/>
      <c r="E17" s="390"/>
      <c r="F17" s="388"/>
      <c r="G17" s="389"/>
      <c r="H17" s="390"/>
      <c r="I17" s="391"/>
      <c r="J17" s="389"/>
      <c r="K17" s="390"/>
      <c r="L17" s="391"/>
      <c r="M17" s="389"/>
      <c r="N17" s="390"/>
      <c r="O17" s="391"/>
      <c r="P17" s="389" t="s">
        <v>695</v>
      </c>
      <c r="Q17" s="392" t="s">
        <v>98</v>
      </c>
      <c r="R17" s="393" t="s">
        <v>709</v>
      </c>
      <c r="S17" s="389"/>
      <c r="T17" s="390"/>
      <c r="U17" s="391"/>
      <c r="V17" s="389"/>
      <c r="W17" s="394"/>
      <c r="X17" s="395"/>
      <c r="Y17" s="389"/>
      <c r="Z17" s="394"/>
      <c r="AA17" s="395"/>
      <c r="AB17" s="389"/>
      <c r="AC17" s="396"/>
      <c r="AD17" s="397"/>
    </row>
    <row r="18" spans="1:30" s="322" customFormat="1" ht="19.8" thickBot="1" x14ac:dyDescent="0.5">
      <c r="A18" s="503" t="s">
        <v>106</v>
      </c>
      <c r="B18" s="504"/>
      <c r="C18" s="504"/>
      <c r="D18" s="504"/>
      <c r="E18" s="504"/>
      <c r="F18" s="504"/>
      <c r="G18" s="504"/>
      <c r="H18" s="504"/>
      <c r="I18" s="504"/>
      <c r="J18" s="504"/>
      <c r="K18" s="504"/>
      <c r="L18" s="504"/>
      <c r="M18" s="504"/>
      <c r="N18" s="504"/>
      <c r="O18" s="504"/>
      <c r="P18" s="504"/>
      <c r="Q18" s="504"/>
      <c r="R18" s="504"/>
      <c r="S18" s="504"/>
      <c r="T18" s="504"/>
      <c r="U18" s="504"/>
      <c r="V18" s="504"/>
      <c r="W18" s="504"/>
      <c r="X18" s="504"/>
      <c r="Y18" s="504"/>
      <c r="Z18" s="504"/>
      <c r="AA18" s="504"/>
      <c r="AB18" s="504"/>
      <c r="AC18" s="504"/>
      <c r="AD18" s="505"/>
    </row>
    <row r="19" spans="1:30" x14ac:dyDescent="0.45">
      <c r="A19" s="326"/>
      <c r="B19" s="327"/>
      <c r="C19" s="328"/>
      <c r="D19" s="329"/>
      <c r="E19" s="330"/>
      <c r="F19" s="328"/>
      <c r="G19" s="329"/>
      <c r="H19" s="330"/>
      <c r="I19" s="331"/>
      <c r="J19" s="329"/>
      <c r="K19" s="330"/>
      <c r="L19" s="331"/>
      <c r="M19" s="329"/>
      <c r="N19" s="330"/>
      <c r="O19" s="331"/>
      <c r="P19" s="329" t="s">
        <v>695</v>
      </c>
      <c r="Q19" s="330" t="s">
        <v>107</v>
      </c>
      <c r="R19" s="331" t="s">
        <v>709</v>
      </c>
      <c r="S19" s="329"/>
      <c r="T19" s="330"/>
      <c r="U19" s="331"/>
      <c r="V19" s="329" t="s">
        <v>695</v>
      </c>
      <c r="W19" s="333" t="s">
        <v>484</v>
      </c>
      <c r="X19" s="334" t="s">
        <v>709</v>
      </c>
      <c r="Y19" s="329" t="s">
        <v>695</v>
      </c>
      <c r="Z19" s="333" t="s">
        <v>485</v>
      </c>
      <c r="AA19" s="334" t="s">
        <v>708</v>
      </c>
      <c r="AB19" s="329"/>
      <c r="AC19" s="335"/>
      <c r="AD19" s="336"/>
    </row>
    <row r="20" spans="1:30" x14ac:dyDescent="0.45">
      <c r="A20" s="344"/>
      <c r="B20" s="382"/>
      <c r="C20" s="383"/>
      <c r="D20" s="347"/>
      <c r="E20" s="384"/>
      <c r="F20" s="383"/>
      <c r="G20" s="347"/>
      <c r="H20" s="384"/>
      <c r="I20" s="385"/>
      <c r="J20" s="347"/>
      <c r="K20" s="384"/>
      <c r="L20" s="385"/>
      <c r="M20" s="347"/>
      <c r="N20" s="384"/>
      <c r="O20" s="385"/>
      <c r="P20" s="347" t="s">
        <v>695</v>
      </c>
      <c r="Q20" s="384" t="s">
        <v>110</v>
      </c>
      <c r="R20" s="385" t="s">
        <v>708</v>
      </c>
      <c r="S20" s="347"/>
      <c r="T20" s="384"/>
      <c r="U20" s="385"/>
      <c r="V20" s="347"/>
      <c r="W20" s="351"/>
      <c r="X20" s="352"/>
      <c r="Y20" s="347" t="s">
        <v>695</v>
      </c>
      <c r="Z20" s="351" t="s">
        <v>117</v>
      </c>
      <c r="AA20" s="352" t="s">
        <v>708</v>
      </c>
      <c r="AB20" s="347"/>
      <c r="AC20" s="354"/>
      <c r="AD20" s="355"/>
    </row>
    <row r="21" spans="1:30" ht="18" thickBot="1" x14ac:dyDescent="0.5">
      <c r="A21" s="386"/>
      <c r="B21" s="387"/>
      <c r="C21" s="388"/>
      <c r="D21" s="389"/>
      <c r="E21" s="390"/>
      <c r="F21" s="388"/>
      <c r="G21" s="389"/>
      <c r="H21" s="390"/>
      <c r="I21" s="391"/>
      <c r="J21" s="389"/>
      <c r="K21" s="390"/>
      <c r="L21" s="391"/>
      <c r="M21" s="389"/>
      <c r="N21" s="390"/>
      <c r="O21" s="391"/>
      <c r="P21" s="389"/>
      <c r="Q21" s="390"/>
      <c r="R21" s="391"/>
      <c r="S21" s="389"/>
      <c r="T21" s="390"/>
      <c r="U21" s="391"/>
      <c r="V21" s="389"/>
      <c r="W21" s="394"/>
      <c r="X21" s="395"/>
      <c r="Y21" s="389" t="s">
        <v>695</v>
      </c>
      <c r="Z21" s="394" t="s">
        <v>486</v>
      </c>
      <c r="AA21" s="395" t="s">
        <v>708</v>
      </c>
      <c r="AB21" s="389"/>
      <c r="AC21" s="396"/>
      <c r="AD21" s="397"/>
    </row>
    <row r="22" spans="1:30" s="322" customFormat="1" ht="19.8" thickBot="1" x14ac:dyDescent="0.5">
      <c r="A22" s="503" t="s">
        <v>121</v>
      </c>
      <c r="B22" s="504"/>
      <c r="C22" s="504"/>
      <c r="D22" s="504"/>
      <c r="E22" s="504"/>
      <c r="F22" s="504"/>
      <c r="G22" s="504"/>
      <c r="H22" s="504"/>
      <c r="I22" s="504"/>
      <c r="J22" s="504"/>
      <c r="K22" s="504"/>
      <c r="L22" s="504"/>
      <c r="M22" s="504"/>
      <c r="N22" s="504"/>
      <c r="O22" s="504"/>
      <c r="P22" s="504"/>
      <c r="Q22" s="504"/>
      <c r="R22" s="504"/>
      <c r="S22" s="504"/>
      <c r="T22" s="504"/>
      <c r="U22" s="504"/>
      <c r="V22" s="504"/>
      <c r="W22" s="504"/>
      <c r="X22" s="504"/>
      <c r="Y22" s="504"/>
      <c r="Z22" s="504"/>
      <c r="AA22" s="504"/>
      <c r="AB22" s="504"/>
      <c r="AC22" s="504"/>
      <c r="AD22" s="505"/>
    </row>
    <row r="23" spans="1:30" x14ac:dyDescent="0.45">
      <c r="A23" s="326"/>
      <c r="B23" s="327"/>
      <c r="C23" s="328"/>
      <c r="D23" s="329"/>
      <c r="E23" s="330"/>
      <c r="F23" s="328"/>
      <c r="G23" s="329"/>
      <c r="H23" s="330"/>
      <c r="I23" s="331"/>
      <c r="J23" s="329"/>
      <c r="K23" s="330"/>
      <c r="L23" s="331"/>
      <c r="M23" s="329"/>
      <c r="N23" s="330"/>
      <c r="O23" s="331"/>
      <c r="P23" s="329"/>
      <c r="Q23" s="330"/>
      <c r="R23" s="331"/>
      <c r="S23" s="329"/>
      <c r="T23" s="330"/>
      <c r="U23" s="331"/>
      <c r="V23" s="329" t="s">
        <v>695</v>
      </c>
      <c r="W23" s="333" t="s">
        <v>122</v>
      </c>
      <c r="X23" s="334" t="s">
        <v>708</v>
      </c>
      <c r="Y23" s="329" t="s">
        <v>695</v>
      </c>
      <c r="Z23" s="333" t="s">
        <v>126</v>
      </c>
      <c r="AA23" s="334"/>
      <c r="AB23" s="329"/>
      <c r="AC23" s="335"/>
      <c r="AD23" s="336"/>
    </row>
    <row r="24" spans="1:30" x14ac:dyDescent="0.45">
      <c r="A24" s="344"/>
      <c r="B24" s="382"/>
      <c r="C24" s="383"/>
      <c r="D24" s="347"/>
      <c r="E24" s="384"/>
      <c r="F24" s="383"/>
      <c r="G24" s="347"/>
      <c r="H24" s="384"/>
      <c r="I24" s="385"/>
      <c r="J24" s="347"/>
      <c r="K24" s="384"/>
      <c r="L24" s="385"/>
      <c r="M24" s="347"/>
      <c r="N24" s="384"/>
      <c r="O24" s="385"/>
      <c r="P24" s="347"/>
      <c r="Q24" s="384"/>
      <c r="R24" s="385"/>
      <c r="S24" s="347"/>
      <c r="T24" s="384"/>
      <c r="U24" s="385"/>
      <c r="V24" s="347" t="s">
        <v>695</v>
      </c>
      <c r="W24" s="351" t="s">
        <v>487</v>
      </c>
      <c r="X24" s="352" t="s">
        <v>709</v>
      </c>
      <c r="Y24" s="347"/>
      <c r="Z24" s="351"/>
      <c r="AA24" s="352"/>
      <c r="AB24" s="347"/>
      <c r="AC24" s="354"/>
      <c r="AD24" s="355"/>
    </row>
    <row r="25" spans="1:30" x14ac:dyDescent="0.45">
      <c r="A25" s="344"/>
      <c r="B25" s="382"/>
      <c r="C25" s="383"/>
      <c r="D25" s="347"/>
      <c r="E25" s="384"/>
      <c r="F25" s="383"/>
      <c r="G25" s="347"/>
      <c r="H25" s="384"/>
      <c r="I25" s="385"/>
      <c r="J25" s="347"/>
      <c r="K25" s="384"/>
      <c r="L25" s="385"/>
      <c r="M25" s="347"/>
      <c r="N25" s="384"/>
      <c r="O25" s="385"/>
      <c r="P25" s="347"/>
      <c r="Q25" s="384"/>
      <c r="R25" s="385"/>
      <c r="S25" s="347"/>
      <c r="T25" s="384"/>
      <c r="U25" s="385"/>
      <c r="V25" s="347" t="s">
        <v>695</v>
      </c>
      <c r="W25" s="351" t="s">
        <v>128</v>
      </c>
      <c r="X25" s="352"/>
      <c r="Y25" s="347"/>
      <c r="Z25" s="351"/>
      <c r="AA25" s="352"/>
      <c r="AB25" s="347"/>
      <c r="AC25" s="354"/>
      <c r="AD25" s="355"/>
    </row>
    <row r="26" spans="1:30" x14ac:dyDescent="0.45">
      <c r="A26" s="344"/>
      <c r="B26" s="382"/>
      <c r="C26" s="383"/>
      <c r="D26" s="347"/>
      <c r="E26" s="384"/>
      <c r="F26" s="383"/>
      <c r="G26" s="347"/>
      <c r="H26" s="384"/>
      <c r="I26" s="385"/>
      <c r="J26" s="347"/>
      <c r="K26" s="384"/>
      <c r="L26" s="385"/>
      <c r="M26" s="347"/>
      <c r="N26" s="384"/>
      <c r="O26" s="385"/>
      <c r="P26" s="347"/>
      <c r="Q26" s="384"/>
      <c r="R26" s="385"/>
      <c r="S26" s="347"/>
      <c r="T26" s="384"/>
      <c r="U26" s="385"/>
      <c r="V26" s="347" t="s">
        <v>695</v>
      </c>
      <c r="W26" s="356" t="s">
        <v>488</v>
      </c>
      <c r="X26" s="357" t="s">
        <v>709</v>
      </c>
      <c r="Y26" s="347"/>
      <c r="Z26" s="351"/>
      <c r="AA26" s="352"/>
      <c r="AB26" s="347"/>
      <c r="AC26" s="354"/>
      <c r="AD26" s="355"/>
    </row>
    <row r="27" spans="1:30" ht="18" thickBot="1" x14ac:dyDescent="0.5">
      <c r="A27" s="386"/>
      <c r="B27" s="387"/>
      <c r="C27" s="388"/>
      <c r="D27" s="389"/>
      <c r="E27" s="390"/>
      <c r="F27" s="388"/>
      <c r="G27" s="389"/>
      <c r="H27" s="390"/>
      <c r="I27" s="391"/>
      <c r="J27" s="389"/>
      <c r="K27" s="390"/>
      <c r="L27" s="391"/>
      <c r="M27" s="389"/>
      <c r="N27" s="390"/>
      <c r="O27" s="391"/>
      <c r="P27" s="389"/>
      <c r="Q27" s="390"/>
      <c r="R27" s="391"/>
      <c r="S27" s="389"/>
      <c r="T27" s="390"/>
      <c r="U27" s="391"/>
      <c r="V27" s="389" t="s">
        <v>695</v>
      </c>
      <c r="W27" s="392" t="s">
        <v>489</v>
      </c>
      <c r="X27" s="393" t="s">
        <v>709</v>
      </c>
      <c r="Y27" s="389"/>
      <c r="Z27" s="394"/>
      <c r="AA27" s="395"/>
      <c r="AB27" s="389"/>
      <c r="AC27" s="396"/>
      <c r="AD27" s="397"/>
    </row>
    <row r="28" spans="1:30" s="322" customFormat="1" ht="19.8" thickBot="1" x14ac:dyDescent="0.5">
      <c r="A28" s="503" t="s">
        <v>738</v>
      </c>
      <c r="B28" s="504"/>
      <c r="C28" s="504"/>
      <c r="D28" s="504"/>
      <c r="E28" s="504"/>
      <c r="F28" s="504"/>
      <c r="G28" s="504"/>
      <c r="H28" s="504"/>
      <c r="I28" s="504"/>
      <c r="J28" s="504"/>
      <c r="K28" s="504"/>
      <c r="L28" s="504"/>
      <c r="M28" s="504"/>
      <c r="N28" s="504"/>
      <c r="O28" s="504"/>
      <c r="P28" s="504"/>
      <c r="Q28" s="504"/>
      <c r="R28" s="504"/>
      <c r="S28" s="504"/>
      <c r="T28" s="504"/>
      <c r="U28" s="504"/>
      <c r="V28" s="504"/>
      <c r="W28" s="504"/>
      <c r="X28" s="504"/>
      <c r="Y28" s="504"/>
      <c r="Z28" s="504"/>
      <c r="AA28" s="504"/>
      <c r="AB28" s="504"/>
      <c r="AC28" s="504"/>
      <c r="AD28" s="505"/>
    </row>
    <row r="29" spans="1:30" x14ac:dyDescent="0.45">
      <c r="A29" s="326"/>
      <c r="B29" s="327"/>
      <c r="C29" s="328"/>
      <c r="D29" s="329"/>
      <c r="E29" s="330"/>
      <c r="F29" s="328"/>
      <c r="G29" s="329"/>
      <c r="H29" s="330"/>
      <c r="I29" s="331"/>
      <c r="J29" s="329"/>
      <c r="K29" s="330"/>
      <c r="L29" s="331"/>
      <c r="M29" s="329"/>
      <c r="N29" s="330"/>
      <c r="O29" s="331"/>
      <c r="P29" s="329"/>
      <c r="Q29" s="330"/>
      <c r="R29" s="331"/>
      <c r="S29" s="329" t="s">
        <v>695</v>
      </c>
      <c r="T29" s="330" t="s">
        <v>490</v>
      </c>
      <c r="U29" s="331" t="s">
        <v>708</v>
      </c>
      <c r="V29" s="329" t="s">
        <v>695</v>
      </c>
      <c r="W29" s="333" t="s">
        <v>492</v>
      </c>
      <c r="X29" s="334" t="s">
        <v>708</v>
      </c>
      <c r="Y29" s="329"/>
      <c r="Z29" s="333"/>
      <c r="AA29" s="334"/>
      <c r="AB29" s="329"/>
      <c r="AC29" s="335"/>
      <c r="AD29" s="336"/>
    </row>
    <row r="30" spans="1:30" x14ac:dyDescent="0.45">
      <c r="A30" s="344"/>
      <c r="B30" s="382"/>
      <c r="C30" s="383"/>
      <c r="D30" s="347"/>
      <c r="E30" s="384"/>
      <c r="F30" s="383"/>
      <c r="G30" s="347"/>
      <c r="H30" s="384"/>
      <c r="I30" s="385"/>
      <c r="J30" s="347"/>
      <c r="K30" s="384"/>
      <c r="L30" s="385"/>
      <c r="M30" s="347"/>
      <c r="N30" s="384"/>
      <c r="O30" s="385"/>
      <c r="P30" s="347"/>
      <c r="Q30" s="384"/>
      <c r="R30" s="385"/>
      <c r="S30" s="347" t="s">
        <v>695</v>
      </c>
      <c r="T30" s="356" t="s">
        <v>491</v>
      </c>
      <c r="U30" s="357" t="s">
        <v>709</v>
      </c>
      <c r="V30" s="347" t="s">
        <v>695</v>
      </c>
      <c r="W30" s="351" t="s">
        <v>493</v>
      </c>
      <c r="X30" s="352" t="s">
        <v>708</v>
      </c>
      <c r="Y30" s="347"/>
      <c r="Z30" s="351"/>
      <c r="AA30" s="352"/>
      <c r="AB30" s="347"/>
      <c r="AC30" s="354"/>
      <c r="AD30" s="355"/>
    </row>
    <row r="31" spans="1:30" ht="18" thickBot="1" x14ac:dyDescent="0.5">
      <c r="A31" s="386"/>
      <c r="B31" s="387"/>
      <c r="C31" s="388"/>
      <c r="D31" s="389"/>
      <c r="E31" s="390"/>
      <c r="F31" s="388"/>
      <c r="G31" s="389"/>
      <c r="H31" s="390"/>
      <c r="I31" s="391"/>
      <c r="J31" s="389"/>
      <c r="K31" s="390"/>
      <c r="L31" s="391"/>
      <c r="M31" s="389"/>
      <c r="N31" s="390"/>
      <c r="O31" s="391"/>
      <c r="P31" s="389"/>
      <c r="Q31" s="390"/>
      <c r="R31" s="391"/>
      <c r="S31" s="389"/>
      <c r="T31" s="390"/>
      <c r="U31" s="391"/>
      <c r="V31" s="389" t="s">
        <v>695</v>
      </c>
      <c r="W31" s="392" t="s">
        <v>494</v>
      </c>
      <c r="X31" s="393" t="s">
        <v>708</v>
      </c>
      <c r="Y31" s="389"/>
      <c r="Z31" s="394"/>
      <c r="AA31" s="395"/>
      <c r="AB31" s="389"/>
      <c r="AC31" s="396"/>
      <c r="AD31" s="368"/>
    </row>
    <row r="32" spans="1:30" s="322" customFormat="1" ht="19.8" thickBot="1" x14ac:dyDescent="0.5">
      <c r="A32" s="500" t="s">
        <v>749</v>
      </c>
      <c r="B32" s="501"/>
      <c r="C32" s="501"/>
      <c r="D32" s="501"/>
      <c r="E32" s="501"/>
      <c r="F32" s="501"/>
      <c r="G32" s="501"/>
      <c r="H32" s="501"/>
      <c r="I32" s="501"/>
      <c r="J32" s="501"/>
      <c r="K32" s="501"/>
      <c r="L32" s="501"/>
      <c r="M32" s="501"/>
      <c r="N32" s="501"/>
      <c r="O32" s="501"/>
      <c r="P32" s="501"/>
      <c r="Q32" s="501"/>
      <c r="R32" s="501"/>
      <c r="S32" s="501"/>
      <c r="T32" s="501"/>
      <c r="U32" s="501"/>
      <c r="V32" s="501"/>
      <c r="W32" s="501"/>
      <c r="X32" s="501"/>
      <c r="Y32" s="501"/>
      <c r="Z32" s="501"/>
      <c r="AA32" s="501"/>
      <c r="AB32" s="501"/>
      <c r="AC32" s="501"/>
      <c r="AD32" s="502"/>
    </row>
    <row r="33" spans="1:30" ht="34.799999999999997" x14ac:dyDescent="0.45">
      <c r="A33" s="326" t="s">
        <v>695</v>
      </c>
      <c r="B33" s="327" t="s">
        <v>146</v>
      </c>
      <c r="C33" s="328" t="s">
        <v>707</v>
      </c>
      <c r="D33" s="329" t="s">
        <v>695</v>
      </c>
      <c r="E33" s="330" t="s">
        <v>496</v>
      </c>
      <c r="F33" s="328" t="s">
        <v>709</v>
      </c>
      <c r="G33" s="329" t="s">
        <v>695</v>
      </c>
      <c r="H33" s="330" t="s">
        <v>497</v>
      </c>
      <c r="I33" s="332" t="s">
        <v>711</v>
      </c>
      <c r="J33" s="329" t="s">
        <v>695</v>
      </c>
      <c r="K33" s="330" t="s">
        <v>697</v>
      </c>
      <c r="L33" s="331" t="s">
        <v>708</v>
      </c>
      <c r="M33" s="329" t="s">
        <v>695</v>
      </c>
      <c r="N33" s="330" t="s">
        <v>700</v>
      </c>
      <c r="O33" s="331" t="s">
        <v>708</v>
      </c>
      <c r="P33" s="329" t="s">
        <v>695</v>
      </c>
      <c r="Q33" s="330" t="s">
        <v>500</v>
      </c>
      <c r="R33" s="331" t="s">
        <v>709</v>
      </c>
      <c r="S33" s="329" t="s">
        <v>695</v>
      </c>
      <c r="T33" s="330" t="s">
        <v>169</v>
      </c>
      <c r="U33" s="331" t="s">
        <v>708</v>
      </c>
      <c r="V33" s="329" t="s">
        <v>695</v>
      </c>
      <c r="W33" s="333" t="s">
        <v>728</v>
      </c>
      <c r="X33" s="343" t="s">
        <v>716</v>
      </c>
      <c r="Y33" s="329" t="s">
        <v>695</v>
      </c>
      <c r="Z33" s="333" t="s">
        <v>165</v>
      </c>
      <c r="AA33" s="334"/>
      <c r="AB33" s="329" t="s">
        <v>695</v>
      </c>
      <c r="AC33" s="336" t="s">
        <v>505</v>
      </c>
      <c r="AD33" s="398"/>
    </row>
    <row r="34" spans="1:30" ht="34.799999999999997" x14ac:dyDescent="0.45">
      <c r="A34" s="344"/>
      <c r="B34" s="382"/>
      <c r="C34" s="383"/>
      <c r="D34" s="347" t="s">
        <v>695</v>
      </c>
      <c r="E34" s="384" t="s">
        <v>495</v>
      </c>
      <c r="F34" s="383" t="s">
        <v>709</v>
      </c>
      <c r="G34" s="347" t="s">
        <v>695</v>
      </c>
      <c r="H34" s="384" t="s">
        <v>498</v>
      </c>
      <c r="I34" s="399" t="s">
        <v>711</v>
      </c>
      <c r="J34" s="347" t="s">
        <v>695</v>
      </c>
      <c r="K34" s="384" t="s">
        <v>698</v>
      </c>
      <c r="L34" s="385" t="s">
        <v>708</v>
      </c>
      <c r="M34" s="347" t="s">
        <v>695</v>
      </c>
      <c r="N34" s="384" t="s">
        <v>176</v>
      </c>
      <c r="O34" s="385" t="s">
        <v>708</v>
      </c>
      <c r="P34" s="347" t="s">
        <v>695</v>
      </c>
      <c r="Q34" s="384" t="s">
        <v>502</v>
      </c>
      <c r="R34" s="399" t="s">
        <v>719</v>
      </c>
      <c r="S34" s="347" t="s">
        <v>695</v>
      </c>
      <c r="T34" s="384" t="s">
        <v>504</v>
      </c>
      <c r="U34" s="385" t="s">
        <v>709</v>
      </c>
      <c r="V34" s="347"/>
      <c r="W34" s="351"/>
      <c r="X34" s="352"/>
      <c r="Y34" s="347"/>
      <c r="Z34" s="351"/>
      <c r="AA34" s="352"/>
      <c r="AB34" s="347"/>
      <c r="AC34" s="355"/>
      <c r="AD34" s="398"/>
    </row>
    <row r="35" spans="1:30" x14ac:dyDescent="0.45">
      <c r="A35" s="344"/>
      <c r="B35" s="382"/>
      <c r="C35" s="383"/>
      <c r="D35" s="347"/>
      <c r="E35" s="384"/>
      <c r="F35" s="383"/>
      <c r="G35" s="347"/>
      <c r="H35" s="384"/>
      <c r="I35" s="385"/>
      <c r="J35" s="347" t="s">
        <v>695</v>
      </c>
      <c r="K35" s="384" t="s">
        <v>699</v>
      </c>
      <c r="L35" s="385" t="s">
        <v>708</v>
      </c>
      <c r="M35" s="347" t="s">
        <v>695</v>
      </c>
      <c r="N35" s="356" t="s">
        <v>744</v>
      </c>
      <c r="O35" s="357" t="s">
        <v>708</v>
      </c>
      <c r="P35" s="347" t="s">
        <v>695</v>
      </c>
      <c r="Q35" s="356" t="s">
        <v>501</v>
      </c>
      <c r="R35" s="357" t="s">
        <v>709</v>
      </c>
      <c r="S35" s="347" t="s">
        <v>695</v>
      </c>
      <c r="T35" s="384" t="s">
        <v>180</v>
      </c>
      <c r="U35" s="385" t="s">
        <v>709</v>
      </c>
      <c r="V35" s="347"/>
      <c r="W35" s="351"/>
      <c r="X35" s="352"/>
      <c r="Y35" s="347"/>
      <c r="Z35" s="351"/>
      <c r="AA35" s="352"/>
      <c r="AB35" s="347"/>
      <c r="AC35" s="355"/>
      <c r="AD35" s="398"/>
    </row>
    <row r="36" spans="1:30" x14ac:dyDescent="0.45">
      <c r="A36" s="344"/>
      <c r="B36" s="382"/>
      <c r="C36" s="383"/>
      <c r="D36" s="347"/>
      <c r="E36" s="384"/>
      <c r="F36" s="383"/>
      <c r="G36" s="347"/>
      <c r="H36" s="384"/>
      <c r="I36" s="399"/>
      <c r="J36" s="347" t="s">
        <v>695</v>
      </c>
      <c r="K36" s="384" t="s">
        <v>177</v>
      </c>
      <c r="L36" s="385" t="s">
        <v>708</v>
      </c>
      <c r="M36" s="347" t="s">
        <v>695</v>
      </c>
      <c r="N36" s="384" t="s">
        <v>193</v>
      </c>
      <c r="O36" s="385" t="s">
        <v>708</v>
      </c>
      <c r="P36" s="347" t="s">
        <v>695</v>
      </c>
      <c r="Q36" s="384" t="s">
        <v>503</v>
      </c>
      <c r="R36" s="385" t="s">
        <v>708</v>
      </c>
      <c r="S36" s="347"/>
      <c r="T36" s="384"/>
      <c r="U36" s="385"/>
      <c r="V36" s="347"/>
      <c r="W36" s="351"/>
      <c r="X36" s="352"/>
      <c r="Y36" s="347"/>
      <c r="Z36" s="351"/>
      <c r="AA36" s="352"/>
      <c r="AB36" s="347"/>
      <c r="AC36" s="355"/>
      <c r="AD36" s="398"/>
    </row>
    <row r="37" spans="1:30" ht="34.799999999999997" x14ac:dyDescent="0.45">
      <c r="A37" s="344"/>
      <c r="B37" s="382"/>
      <c r="C37" s="383"/>
      <c r="D37" s="347"/>
      <c r="E37" s="384"/>
      <c r="F37" s="383"/>
      <c r="G37" s="347"/>
      <c r="H37" s="384"/>
      <c r="I37" s="385"/>
      <c r="J37" s="347" t="s">
        <v>695</v>
      </c>
      <c r="K37" s="384" t="s">
        <v>178</v>
      </c>
      <c r="L37" s="385" t="s">
        <v>708</v>
      </c>
      <c r="M37" s="347" t="s">
        <v>695</v>
      </c>
      <c r="N37" s="384" t="s">
        <v>701</v>
      </c>
      <c r="O37" s="399" t="s">
        <v>716</v>
      </c>
      <c r="P37" s="347" t="s">
        <v>695</v>
      </c>
      <c r="Q37" s="356" t="s">
        <v>197</v>
      </c>
      <c r="R37" s="357"/>
      <c r="S37" s="347"/>
      <c r="T37" s="384"/>
      <c r="U37" s="385"/>
      <c r="V37" s="347"/>
      <c r="W37" s="351"/>
      <c r="X37" s="352"/>
      <c r="Y37" s="347"/>
      <c r="Z37" s="351"/>
      <c r="AA37" s="352"/>
      <c r="AB37" s="347"/>
      <c r="AC37" s="355"/>
      <c r="AD37" s="398"/>
    </row>
    <row r="38" spans="1:30" ht="18" thickBot="1" x14ac:dyDescent="0.5">
      <c r="A38" s="386"/>
      <c r="B38" s="387"/>
      <c r="C38" s="388"/>
      <c r="D38" s="389"/>
      <c r="E38" s="390"/>
      <c r="F38" s="388"/>
      <c r="G38" s="389"/>
      <c r="H38" s="390"/>
      <c r="I38" s="391"/>
      <c r="J38" s="389" t="s">
        <v>695</v>
      </c>
      <c r="K38" s="390" t="s">
        <v>499</v>
      </c>
      <c r="L38" s="391" t="s">
        <v>709</v>
      </c>
      <c r="M38" s="389" t="s">
        <v>695</v>
      </c>
      <c r="N38" s="390" t="s">
        <v>184</v>
      </c>
      <c r="O38" s="391" t="s">
        <v>708</v>
      </c>
      <c r="P38" s="389" t="s">
        <v>695</v>
      </c>
      <c r="Q38" s="392" t="s">
        <v>195</v>
      </c>
      <c r="R38" s="393"/>
      <c r="S38" s="389"/>
      <c r="T38" s="390"/>
      <c r="U38" s="391"/>
      <c r="V38" s="389"/>
      <c r="W38" s="394"/>
      <c r="X38" s="395"/>
      <c r="Y38" s="389"/>
      <c r="Z38" s="394"/>
      <c r="AA38" s="395"/>
      <c r="AB38" s="389"/>
      <c r="AC38" s="397"/>
      <c r="AD38" s="403"/>
    </row>
    <row r="39" spans="1:30" s="322" customFormat="1" ht="19.8" thickBot="1" x14ac:dyDescent="0.5">
      <c r="A39" s="500" t="s">
        <v>740</v>
      </c>
      <c r="B39" s="501"/>
      <c r="C39" s="501"/>
      <c r="D39" s="501"/>
      <c r="E39" s="501"/>
      <c r="F39" s="501"/>
      <c r="G39" s="501"/>
      <c r="H39" s="501"/>
      <c r="I39" s="501"/>
      <c r="J39" s="501"/>
      <c r="K39" s="501"/>
      <c r="L39" s="501"/>
      <c r="M39" s="501"/>
      <c r="N39" s="501"/>
      <c r="O39" s="501"/>
      <c r="P39" s="501"/>
      <c r="Q39" s="501"/>
      <c r="R39" s="501"/>
      <c r="S39" s="501"/>
      <c r="T39" s="501"/>
      <c r="U39" s="501"/>
      <c r="V39" s="501"/>
      <c r="W39" s="501"/>
      <c r="X39" s="501"/>
      <c r="Y39" s="501"/>
      <c r="Z39" s="501"/>
      <c r="AA39" s="501"/>
      <c r="AB39" s="501"/>
      <c r="AC39" s="501"/>
      <c r="AD39" s="502"/>
    </row>
    <row r="40" spans="1:30" ht="34.799999999999997" x14ac:dyDescent="0.45">
      <c r="A40" s="326"/>
      <c r="B40" s="327"/>
      <c r="C40" s="328"/>
      <c r="D40" s="329" t="s">
        <v>695</v>
      </c>
      <c r="E40" s="330" t="s">
        <v>203</v>
      </c>
      <c r="F40" s="328" t="s">
        <v>707</v>
      </c>
      <c r="G40" s="329" t="s">
        <v>695</v>
      </c>
      <c r="H40" s="330" t="s">
        <v>224</v>
      </c>
      <c r="I40" s="331" t="s">
        <v>709</v>
      </c>
      <c r="J40" s="329" t="s">
        <v>695</v>
      </c>
      <c r="K40" s="330" t="s">
        <v>746</v>
      </c>
      <c r="L40" s="331" t="s">
        <v>708</v>
      </c>
      <c r="M40" s="329" t="s">
        <v>695</v>
      </c>
      <c r="N40" s="330" t="s">
        <v>702</v>
      </c>
      <c r="O40" s="331" t="s">
        <v>708</v>
      </c>
      <c r="P40" s="329" t="s">
        <v>695</v>
      </c>
      <c r="Q40" s="330" t="s">
        <v>262</v>
      </c>
      <c r="R40" s="332" t="s">
        <v>719</v>
      </c>
      <c r="S40" s="329" t="s">
        <v>695</v>
      </c>
      <c r="T40" s="358" t="s">
        <v>705</v>
      </c>
      <c r="U40" s="400" t="s">
        <v>716</v>
      </c>
      <c r="V40" s="329" t="s">
        <v>695</v>
      </c>
      <c r="W40" s="333" t="s">
        <v>214</v>
      </c>
      <c r="X40" s="334" t="s">
        <v>708</v>
      </c>
      <c r="Y40" s="329" t="s">
        <v>695</v>
      </c>
      <c r="Z40" s="333" t="s">
        <v>530</v>
      </c>
      <c r="AA40" s="334"/>
      <c r="AB40" s="329" t="s">
        <v>695</v>
      </c>
      <c r="AC40" s="401" t="s">
        <v>532</v>
      </c>
      <c r="AD40" s="336"/>
    </row>
    <row r="41" spans="1:30" x14ac:dyDescent="0.45">
      <c r="A41" s="344"/>
      <c r="B41" s="382"/>
      <c r="C41" s="383"/>
      <c r="D41" s="347"/>
      <c r="E41" s="384"/>
      <c r="F41" s="383"/>
      <c r="G41" s="347" t="s">
        <v>695</v>
      </c>
      <c r="H41" s="384" t="s">
        <v>506</v>
      </c>
      <c r="I41" s="385" t="s">
        <v>709</v>
      </c>
      <c r="J41" s="347" t="s">
        <v>695</v>
      </c>
      <c r="K41" s="384" t="s">
        <v>507</v>
      </c>
      <c r="L41" s="385" t="s">
        <v>709</v>
      </c>
      <c r="M41" s="347" t="s">
        <v>695</v>
      </c>
      <c r="N41" s="384" t="s">
        <v>244</v>
      </c>
      <c r="O41" s="385" t="s">
        <v>708</v>
      </c>
      <c r="P41" s="347" t="s">
        <v>695</v>
      </c>
      <c r="Q41" s="356" t="s">
        <v>511</v>
      </c>
      <c r="R41" s="357" t="s">
        <v>708</v>
      </c>
      <c r="S41" s="347" t="s">
        <v>695</v>
      </c>
      <c r="T41" s="356" t="s">
        <v>256</v>
      </c>
      <c r="U41" s="357" t="s">
        <v>708</v>
      </c>
      <c r="V41" s="347" t="s">
        <v>695</v>
      </c>
      <c r="W41" s="351" t="s">
        <v>515</v>
      </c>
      <c r="X41" s="352" t="s">
        <v>708</v>
      </c>
      <c r="Y41" s="347" t="s">
        <v>695</v>
      </c>
      <c r="Z41" s="351" t="s">
        <v>211</v>
      </c>
      <c r="AA41" s="352"/>
      <c r="AB41" s="347" t="s">
        <v>695</v>
      </c>
      <c r="AC41" s="402" t="s">
        <v>534</v>
      </c>
      <c r="AD41" s="355"/>
    </row>
    <row r="42" spans="1:30" x14ac:dyDescent="0.45">
      <c r="A42" s="344"/>
      <c r="B42" s="382"/>
      <c r="C42" s="383"/>
      <c r="D42" s="347"/>
      <c r="E42" s="384"/>
      <c r="F42" s="383"/>
      <c r="G42" s="347"/>
      <c r="H42" s="384"/>
      <c r="I42" s="385"/>
      <c r="J42" s="347"/>
      <c r="K42" s="384"/>
      <c r="L42" s="385"/>
      <c r="M42" s="347" t="s">
        <v>695</v>
      </c>
      <c r="N42" s="384" t="s">
        <v>508</v>
      </c>
      <c r="O42" s="385"/>
      <c r="P42" s="347"/>
      <c r="Q42" s="384"/>
      <c r="R42" s="385"/>
      <c r="S42" s="347"/>
      <c r="T42" s="384"/>
      <c r="U42" s="385"/>
      <c r="V42" s="347" t="s">
        <v>695</v>
      </c>
      <c r="W42" s="351" t="s">
        <v>514</v>
      </c>
      <c r="X42" s="352" t="s">
        <v>708</v>
      </c>
      <c r="Y42" s="347" t="s">
        <v>695</v>
      </c>
      <c r="Z42" s="351" t="s">
        <v>529</v>
      </c>
      <c r="AA42" s="352"/>
      <c r="AB42" s="347" t="s">
        <v>695</v>
      </c>
      <c r="AC42" s="402" t="s">
        <v>533</v>
      </c>
      <c r="AD42" s="355"/>
    </row>
    <row r="43" spans="1:30" x14ac:dyDescent="0.45">
      <c r="A43" s="344"/>
      <c r="B43" s="382"/>
      <c r="C43" s="383"/>
      <c r="D43" s="347"/>
      <c r="E43" s="384"/>
      <c r="F43" s="383"/>
      <c r="G43" s="347"/>
      <c r="H43" s="384"/>
      <c r="I43" s="385"/>
      <c r="J43" s="347"/>
      <c r="K43" s="384"/>
      <c r="L43" s="385"/>
      <c r="M43" s="347" t="s">
        <v>695</v>
      </c>
      <c r="N43" s="384" t="s">
        <v>703</v>
      </c>
      <c r="O43" s="385" t="s">
        <v>708</v>
      </c>
      <c r="P43" s="347"/>
      <c r="Q43" s="384"/>
      <c r="R43" s="385"/>
      <c r="S43" s="347"/>
      <c r="T43" s="384"/>
      <c r="U43" s="385"/>
      <c r="V43" s="347" t="s">
        <v>695</v>
      </c>
      <c r="W43" s="351" t="s">
        <v>513</v>
      </c>
      <c r="X43" s="352" t="s">
        <v>708</v>
      </c>
      <c r="Y43" s="347" t="s">
        <v>695</v>
      </c>
      <c r="Z43" s="351" t="s">
        <v>524</v>
      </c>
      <c r="AA43" s="352"/>
      <c r="AB43" s="347" t="s">
        <v>695</v>
      </c>
      <c r="AC43" s="354" t="s">
        <v>272</v>
      </c>
      <c r="AD43" s="355" t="s">
        <v>708</v>
      </c>
    </row>
    <row r="44" spans="1:30" x14ac:dyDescent="0.45">
      <c r="A44" s="344"/>
      <c r="B44" s="382"/>
      <c r="C44" s="383"/>
      <c r="D44" s="347"/>
      <c r="E44" s="384"/>
      <c r="F44" s="383"/>
      <c r="G44" s="347"/>
      <c r="H44" s="384"/>
      <c r="I44" s="385"/>
      <c r="J44" s="347"/>
      <c r="K44" s="384"/>
      <c r="L44" s="385"/>
      <c r="M44" s="347" t="s">
        <v>695</v>
      </c>
      <c r="N44" s="384" t="s">
        <v>509</v>
      </c>
      <c r="O44" s="385" t="s">
        <v>717</v>
      </c>
      <c r="P44" s="347"/>
      <c r="Q44" s="384"/>
      <c r="R44" s="385"/>
      <c r="S44" s="347"/>
      <c r="T44" s="384"/>
      <c r="U44" s="385"/>
      <c r="V44" s="347" t="s">
        <v>695</v>
      </c>
      <c r="W44" s="351" t="s">
        <v>516</v>
      </c>
      <c r="X44" s="352" t="s">
        <v>724</v>
      </c>
      <c r="Y44" s="347" t="s">
        <v>695</v>
      </c>
      <c r="Z44" s="356" t="s">
        <v>523</v>
      </c>
      <c r="AA44" s="357" t="s">
        <v>724</v>
      </c>
      <c r="AB44" s="347" t="s">
        <v>695</v>
      </c>
      <c r="AC44" s="354" t="s">
        <v>535</v>
      </c>
      <c r="AD44" s="355"/>
    </row>
    <row r="45" spans="1:30" x14ac:dyDescent="0.45">
      <c r="A45" s="344"/>
      <c r="B45" s="382"/>
      <c r="C45" s="383"/>
      <c r="D45" s="347"/>
      <c r="E45" s="384"/>
      <c r="F45" s="383"/>
      <c r="G45" s="347"/>
      <c r="H45" s="384"/>
      <c r="I45" s="385"/>
      <c r="J45" s="347"/>
      <c r="K45" s="384"/>
      <c r="L45" s="385"/>
      <c r="M45" s="347" t="s">
        <v>695</v>
      </c>
      <c r="N45" s="384" t="s">
        <v>510</v>
      </c>
      <c r="O45" s="385" t="s">
        <v>717</v>
      </c>
      <c r="P45" s="347"/>
      <c r="Q45" s="384"/>
      <c r="R45" s="385"/>
      <c r="S45" s="347"/>
      <c r="T45" s="384"/>
      <c r="U45" s="385"/>
      <c r="V45" s="347" t="s">
        <v>695</v>
      </c>
      <c r="W45" s="351" t="s">
        <v>518</v>
      </c>
      <c r="X45" s="352" t="s">
        <v>724</v>
      </c>
      <c r="Y45" s="347" t="s">
        <v>695</v>
      </c>
      <c r="Z45" s="351" t="s">
        <v>245</v>
      </c>
      <c r="AA45" s="352" t="s">
        <v>724</v>
      </c>
      <c r="AB45" s="347" t="s">
        <v>695</v>
      </c>
      <c r="AC45" s="354" t="s">
        <v>536</v>
      </c>
      <c r="AD45" s="355"/>
    </row>
    <row r="46" spans="1:30" x14ac:dyDescent="0.45">
      <c r="A46" s="344"/>
      <c r="B46" s="382"/>
      <c r="C46" s="383"/>
      <c r="D46" s="347"/>
      <c r="E46" s="384"/>
      <c r="F46" s="383"/>
      <c r="G46" s="347"/>
      <c r="H46" s="384"/>
      <c r="I46" s="385"/>
      <c r="J46" s="347"/>
      <c r="K46" s="384"/>
      <c r="L46" s="385"/>
      <c r="M46" s="347" t="s">
        <v>695</v>
      </c>
      <c r="N46" s="384" t="s">
        <v>743</v>
      </c>
      <c r="O46" s="385" t="s">
        <v>708</v>
      </c>
      <c r="P46" s="347"/>
      <c r="Q46" s="384"/>
      <c r="R46" s="385"/>
      <c r="S46" s="347"/>
      <c r="T46" s="384"/>
      <c r="U46" s="385"/>
      <c r="V46" s="347" t="s">
        <v>695</v>
      </c>
      <c r="W46" s="351" t="s">
        <v>517</v>
      </c>
      <c r="X46" s="352" t="s">
        <v>724</v>
      </c>
      <c r="Y46" s="347" t="s">
        <v>695</v>
      </c>
      <c r="Z46" s="351" t="s">
        <v>522</v>
      </c>
      <c r="AA46" s="352" t="s">
        <v>708</v>
      </c>
      <c r="AB46" s="347" t="s">
        <v>695</v>
      </c>
      <c r="AC46" s="354" t="s">
        <v>537</v>
      </c>
      <c r="AD46" s="355"/>
    </row>
    <row r="47" spans="1:30" x14ac:dyDescent="0.45">
      <c r="A47" s="344"/>
      <c r="B47" s="382"/>
      <c r="C47" s="383"/>
      <c r="D47" s="347"/>
      <c r="E47" s="384"/>
      <c r="F47" s="383"/>
      <c r="G47" s="347"/>
      <c r="H47" s="384"/>
      <c r="I47" s="385"/>
      <c r="J47" s="347"/>
      <c r="K47" s="384"/>
      <c r="L47" s="385"/>
      <c r="M47" s="347"/>
      <c r="N47" s="384"/>
      <c r="O47" s="385"/>
      <c r="P47" s="347"/>
      <c r="Q47" s="384"/>
      <c r="R47" s="385"/>
      <c r="S47" s="347"/>
      <c r="T47" s="384"/>
      <c r="U47" s="385"/>
      <c r="V47" s="347" t="s">
        <v>695</v>
      </c>
      <c r="W47" s="351" t="s">
        <v>512</v>
      </c>
      <c r="X47" s="352" t="s">
        <v>724</v>
      </c>
      <c r="Y47" s="347" t="s">
        <v>695</v>
      </c>
      <c r="Z47" s="356" t="s">
        <v>526</v>
      </c>
      <c r="AA47" s="357" t="s">
        <v>708</v>
      </c>
      <c r="AB47" s="347"/>
      <c r="AC47" s="354"/>
      <c r="AD47" s="355"/>
    </row>
    <row r="48" spans="1:30" x14ac:dyDescent="0.45">
      <c r="A48" s="344"/>
      <c r="B48" s="382"/>
      <c r="C48" s="383"/>
      <c r="D48" s="347"/>
      <c r="E48" s="384"/>
      <c r="F48" s="383"/>
      <c r="G48" s="347"/>
      <c r="H48" s="384"/>
      <c r="I48" s="385"/>
      <c r="J48" s="347"/>
      <c r="K48" s="384"/>
      <c r="L48" s="385"/>
      <c r="M48" s="347"/>
      <c r="N48" s="384"/>
      <c r="O48" s="385"/>
      <c r="P48" s="347"/>
      <c r="Q48" s="384"/>
      <c r="R48" s="385"/>
      <c r="S48" s="347"/>
      <c r="T48" s="384"/>
      <c r="U48" s="385"/>
      <c r="V48" s="347" t="s">
        <v>695</v>
      </c>
      <c r="W48" s="351" t="s">
        <v>520</v>
      </c>
      <c r="X48" s="352" t="s">
        <v>708</v>
      </c>
      <c r="Y48" s="347" t="s">
        <v>695</v>
      </c>
      <c r="Z48" s="356" t="s">
        <v>527</v>
      </c>
      <c r="AA48" s="357" t="s">
        <v>708</v>
      </c>
      <c r="AB48" s="347"/>
      <c r="AC48" s="351"/>
      <c r="AD48" s="352"/>
    </row>
    <row r="49" spans="1:30" x14ac:dyDescent="0.45">
      <c r="A49" s="344"/>
      <c r="B49" s="382"/>
      <c r="C49" s="383"/>
      <c r="D49" s="347"/>
      <c r="E49" s="384"/>
      <c r="F49" s="383"/>
      <c r="G49" s="347"/>
      <c r="H49" s="384"/>
      <c r="I49" s="385"/>
      <c r="J49" s="347"/>
      <c r="K49" s="384"/>
      <c r="L49" s="385"/>
      <c r="M49" s="347"/>
      <c r="N49" s="384"/>
      <c r="O49" s="385"/>
      <c r="P49" s="347"/>
      <c r="Q49" s="384"/>
      <c r="R49" s="385"/>
      <c r="S49" s="347"/>
      <c r="T49" s="384"/>
      <c r="U49" s="385"/>
      <c r="V49" s="347" t="s">
        <v>695</v>
      </c>
      <c r="W49" s="351" t="s">
        <v>521</v>
      </c>
      <c r="X49" s="352" t="s">
        <v>708</v>
      </c>
      <c r="Y49" s="347" t="s">
        <v>695</v>
      </c>
      <c r="Z49" s="351" t="s">
        <v>528</v>
      </c>
      <c r="AA49" s="352" t="s">
        <v>708</v>
      </c>
      <c r="AB49" s="347"/>
      <c r="AC49" s="354"/>
      <c r="AD49" s="355"/>
    </row>
    <row r="50" spans="1:30" x14ac:dyDescent="0.45">
      <c r="A50" s="344"/>
      <c r="B50" s="382"/>
      <c r="C50" s="383"/>
      <c r="D50" s="347"/>
      <c r="E50" s="384"/>
      <c r="F50" s="383"/>
      <c r="G50" s="347"/>
      <c r="H50" s="384"/>
      <c r="I50" s="385"/>
      <c r="J50" s="347"/>
      <c r="K50" s="384"/>
      <c r="L50" s="385"/>
      <c r="M50" s="347"/>
      <c r="N50" s="384"/>
      <c r="O50" s="385"/>
      <c r="P50" s="347"/>
      <c r="Q50" s="384"/>
      <c r="R50" s="385"/>
      <c r="S50" s="347"/>
      <c r="T50" s="384"/>
      <c r="U50" s="385"/>
      <c r="V50" s="347" t="s">
        <v>695</v>
      </c>
      <c r="W50" s="356" t="s">
        <v>519</v>
      </c>
      <c r="X50" s="357" t="s">
        <v>708</v>
      </c>
      <c r="Y50" s="347" t="s">
        <v>695</v>
      </c>
      <c r="Z50" s="351" t="s">
        <v>531</v>
      </c>
      <c r="AA50" s="352"/>
      <c r="AB50" s="347"/>
      <c r="AC50" s="354"/>
      <c r="AD50" s="355"/>
    </row>
    <row r="51" spans="1:30" x14ac:dyDescent="0.45">
      <c r="A51" s="344"/>
      <c r="B51" s="382"/>
      <c r="C51" s="383"/>
      <c r="D51" s="347"/>
      <c r="E51" s="384"/>
      <c r="F51" s="383"/>
      <c r="G51" s="347"/>
      <c r="H51" s="384"/>
      <c r="I51" s="385"/>
      <c r="J51" s="347"/>
      <c r="K51" s="384"/>
      <c r="L51" s="385"/>
      <c r="M51" s="347"/>
      <c r="N51" s="384"/>
      <c r="O51" s="385"/>
      <c r="P51" s="347"/>
      <c r="Q51" s="384"/>
      <c r="R51" s="385"/>
      <c r="S51" s="347"/>
      <c r="T51" s="384"/>
      <c r="U51" s="385"/>
      <c r="V51" s="347"/>
      <c r="W51" s="351"/>
      <c r="X51" s="352"/>
      <c r="Y51" s="347" t="s">
        <v>695</v>
      </c>
      <c r="Z51" s="351" t="s">
        <v>230</v>
      </c>
      <c r="AA51" s="352"/>
      <c r="AB51" s="347"/>
      <c r="AC51" s="354"/>
      <c r="AD51" s="355"/>
    </row>
    <row r="52" spans="1:30" x14ac:dyDescent="0.45">
      <c r="A52" s="344"/>
      <c r="B52" s="382"/>
      <c r="C52" s="383"/>
      <c r="D52" s="347"/>
      <c r="E52" s="384"/>
      <c r="F52" s="383"/>
      <c r="G52" s="347"/>
      <c r="H52" s="384"/>
      <c r="I52" s="385"/>
      <c r="J52" s="347"/>
      <c r="K52" s="384"/>
      <c r="L52" s="385"/>
      <c r="M52" s="347"/>
      <c r="N52" s="384"/>
      <c r="O52" s="385"/>
      <c r="P52" s="347"/>
      <c r="Q52" s="384"/>
      <c r="R52" s="385"/>
      <c r="S52" s="347"/>
      <c r="T52" s="384"/>
      <c r="U52" s="385"/>
      <c r="V52" s="347"/>
      <c r="W52" s="351"/>
      <c r="X52" s="352"/>
      <c r="Y52" s="347" t="s">
        <v>695</v>
      </c>
      <c r="Z52" s="351" t="s">
        <v>275</v>
      </c>
      <c r="AA52" s="352"/>
      <c r="AB52" s="347"/>
      <c r="AC52" s="354"/>
      <c r="AD52" s="355"/>
    </row>
    <row r="53" spans="1:30" x14ac:dyDescent="0.45">
      <c r="A53" s="344"/>
      <c r="B53" s="382"/>
      <c r="C53" s="383"/>
      <c r="D53" s="347"/>
      <c r="E53" s="384"/>
      <c r="F53" s="383"/>
      <c r="G53" s="347"/>
      <c r="H53" s="384"/>
      <c r="I53" s="385"/>
      <c r="J53" s="347"/>
      <c r="K53" s="384"/>
      <c r="L53" s="385"/>
      <c r="M53" s="347"/>
      <c r="N53" s="384"/>
      <c r="O53" s="385"/>
      <c r="P53" s="347"/>
      <c r="Q53" s="384"/>
      <c r="R53" s="385"/>
      <c r="S53" s="347"/>
      <c r="T53" s="384"/>
      <c r="U53" s="385"/>
      <c r="V53" s="347"/>
      <c r="W53" s="351"/>
      <c r="X53" s="352"/>
      <c r="Y53" s="347" t="s">
        <v>695</v>
      </c>
      <c r="Z53" s="356" t="s">
        <v>242</v>
      </c>
      <c r="AA53" s="357"/>
      <c r="AB53" s="347"/>
      <c r="AC53" s="351"/>
      <c r="AD53" s="352"/>
    </row>
    <row r="54" spans="1:30" x14ac:dyDescent="0.45">
      <c r="A54" s="344"/>
      <c r="B54" s="382"/>
      <c r="C54" s="383"/>
      <c r="D54" s="347"/>
      <c r="E54" s="384"/>
      <c r="F54" s="383"/>
      <c r="G54" s="347"/>
      <c r="H54" s="384"/>
      <c r="I54" s="385"/>
      <c r="J54" s="347"/>
      <c r="K54" s="384"/>
      <c r="L54" s="385"/>
      <c r="M54" s="347"/>
      <c r="N54" s="384"/>
      <c r="O54" s="385"/>
      <c r="P54" s="347"/>
      <c r="Q54" s="384"/>
      <c r="R54" s="385"/>
      <c r="S54" s="347"/>
      <c r="T54" s="384"/>
      <c r="U54" s="385"/>
      <c r="V54" s="347"/>
      <c r="W54" s="351"/>
      <c r="X54" s="352"/>
      <c r="Y54" s="347" t="s">
        <v>695</v>
      </c>
      <c r="Z54" s="351" t="s">
        <v>525</v>
      </c>
      <c r="AA54" s="352" t="s">
        <v>724</v>
      </c>
      <c r="AB54" s="347"/>
      <c r="AC54" s="354"/>
      <c r="AD54" s="355"/>
    </row>
    <row r="55" spans="1:30" ht="18" thickBot="1" x14ac:dyDescent="0.5">
      <c r="A55" s="386"/>
      <c r="B55" s="387"/>
      <c r="C55" s="388"/>
      <c r="D55" s="389"/>
      <c r="E55" s="390"/>
      <c r="F55" s="388"/>
      <c r="G55" s="389"/>
      <c r="H55" s="390"/>
      <c r="I55" s="391"/>
      <c r="J55" s="389"/>
      <c r="K55" s="390"/>
      <c r="L55" s="391"/>
      <c r="M55" s="389"/>
      <c r="N55" s="390"/>
      <c r="O55" s="391"/>
      <c r="P55" s="389"/>
      <c r="Q55" s="390"/>
      <c r="R55" s="391"/>
      <c r="S55" s="389"/>
      <c r="T55" s="390"/>
      <c r="U55" s="391"/>
      <c r="V55" s="389"/>
      <c r="W55" s="394"/>
      <c r="X55" s="395"/>
      <c r="Y55" s="389" t="s">
        <v>695</v>
      </c>
      <c r="Z55" s="394" t="s">
        <v>252</v>
      </c>
      <c r="AA55" s="395" t="s">
        <v>724</v>
      </c>
      <c r="AB55" s="389"/>
      <c r="AC55" s="396"/>
      <c r="AD55" s="397"/>
    </row>
    <row r="56" spans="1:30" s="322" customFormat="1" ht="19.8" thickBot="1" x14ac:dyDescent="0.5">
      <c r="A56" s="500" t="s">
        <v>750</v>
      </c>
      <c r="B56" s="501"/>
      <c r="C56" s="501"/>
      <c r="D56" s="501"/>
      <c r="E56" s="501"/>
      <c r="F56" s="501"/>
      <c r="G56" s="501"/>
      <c r="H56" s="501"/>
      <c r="I56" s="501"/>
      <c r="J56" s="501"/>
      <c r="K56" s="501"/>
      <c r="L56" s="501"/>
      <c r="M56" s="501"/>
      <c r="N56" s="501"/>
      <c r="O56" s="501"/>
      <c r="P56" s="501"/>
      <c r="Q56" s="501"/>
      <c r="R56" s="501"/>
      <c r="S56" s="501"/>
      <c r="T56" s="501"/>
      <c r="U56" s="501"/>
      <c r="V56" s="501"/>
      <c r="W56" s="501"/>
      <c r="X56" s="501"/>
      <c r="Y56" s="501"/>
      <c r="Z56" s="501"/>
      <c r="AA56" s="501"/>
      <c r="AB56" s="501"/>
      <c r="AC56" s="501"/>
      <c r="AD56" s="502"/>
    </row>
    <row r="57" spans="1:30" x14ac:dyDescent="0.45">
      <c r="A57" s="326"/>
      <c r="B57" s="338"/>
      <c r="C57" s="339"/>
      <c r="D57" s="329"/>
      <c r="E57" s="340"/>
      <c r="F57" s="339"/>
      <c r="G57" s="329"/>
      <c r="H57" s="340"/>
      <c r="I57" s="342"/>
      <c r="J57" s="329"/>
      <c r="K57" s="340"/>
      <c r="L57" s="342"/>
      <c r="M57" s="329"/>
      <c r="N57" s="340"/>
      <c r="O57" s="342"/>
      <c r="P57" s="329"/>
      <c r="Q57" s="340"/>
      <c r="R57" s="342"/>
      <c r="S57" s="329" t="s">
        <v>695</v>
      </c>
      <c r="T57" s="358" t="s">
        <v>318</v>
      </c>
      <c r="U57" s="359" t="s">
        <v>708</v>
      </c>
      <c r="V57" s="329" t="s">
        <v>695</v>
      </c>
      <c r="W57" s="333" t="s">
        <v>538</v>
      </c>
      <c r="X57" s="334" t="s">
        <v>708</v>
      </c>
      <c r="Y57" s="329" t="s">
        <v>695</v>
      </c>
      <c r="Z57" s="358" t="s">
        <v>540</v>
      </c>
      <c r="AA57" s="359" t="s">
        <v>708</v>
      </c>
      <c r="AB57" s="329" t="s">
        <v>695</v>
      </c>
      <c r="AC57" s="335" t="s">
        <v>541</v>
      </c>
      <c r="AD57" s="336" t="s">
        <v>708</v>
      </c>
    </row>
    <row r="58" spans="1:30" x14ac:dyDescent="0.45">
      <c r="A58" s="344"/>
      <c r="B58" s="345"/>
      <c r="C58" s="346"/>
      <c r="D58" s="347"/>
      <c r="E58" s="348"/>
      <c r="F58" s="346"/>
      <c r="G58" s="347"/>
      <c r="H58" s="348"/>
      <c r="I58" s="350"/>
      <c r="J58" s="347"/>
      <c r="K58" s="348"/>
      <c r="L58" s="350"/>
      <c r="M58" s="347"/>
      <c r="N58" s="348"/>
      <c r="O58" s="350"/>
      <c r="P58" s="347"/>
      <c r="Q58" s="348"/>
      <c r="R58" s="350"/>
      <c r="S58" s="347"/>
      <c r="T58" s="348"/>
      <c r="U58" s="350"/>
      <c r="V58" s="347" t="s">
        <v>695</v>
      </c>
      <c r="W58" s="351" t="s">
        <v>539</v>
      </c>
      <c r="X58" s="352" t="s">
        <v>708</v>
      </c>
      <c r="Y58" s="347" t="s">
        <v>695</v>
      </c>
      <c r="Z58" s="351" t="s">
        <v>300</v>
      </c>
      <c r="AA58" s="352" t="s">
        <v>708</v>
      </c>
      <c r="AB58" s="347" t="s">
        <v>695</v>
      </c>
      <c r="AC58" s="354" t="s">
        <v>542</v>
      </c>
      <c r="AD58" s="355" t="s">
        <v>708</v>
      </c>
    </row>
    <row r="59" spans="1:30" ht="34.799999999999997" x14ac:dyDescent="0.45">
      <c r="A59" s="344"/>
      <c r="B59" s="345"/>
      <c r="C59" s="346"/>
      <c r="D59" s="347"/>
      <c r="E59" s="348"/>
      <c r="F59" s="346"/>
      <c r="G59" s="347"/>
      <c r="H59" s="348"/>
      <c r="I59" s="350"/>
      <c r="J59" s="347"/>
      <c r="K59" s="348"/>
      <c r="L59" s="350"/>
      <c r="M59" s="347"/>
      <c r="N59" s="348"/>
      <c r="O59" s="350"/>
      <c r="P59" s="347"/>
      <c r="Q59" s="348"/>
      <c r="R59" s="350"/>
      <c r="S59" s="347"/>
      <c r="T59" s="348"/>
      <c r="U59" s="350"/>
      <c r="V59" s="347" t="s">
        <v>695</v>
      </c>
      <c r="W59" s="351" t="s">
        <v>322</v>
      </c>
      <c r="X59" s="352" t="s">
        <v>708</v>
      </c>
      <c r="Y59" s="347" t="s">
        <v>695</v>
      </c>
      <c r="Z59" s="351" t="s">
        <v>304</v>
      </c>
      <c r="AA59" s="353" t="s">
        <v>727</v>
      </c>
      <c r="AB59" s="347" t="s">
        <v>695</v>
      </c>
      <c r="AC59" s="354" t="s">
        <v>305</v>
      </c>
      <c r="AD59" s="355"/>
    </row>
    <row r="60" spans="1:30" x14ac:dyDescent="0.45">
      <c r="A60" s="344"/>
      <c r="B60" s="345"/>
      <c r="C60" s="346"/>
      <c r="D60" s="347"/>
      <c r="E60" s="348"/>
      <c r="F60" s="346"/>
      <c r="G60" s="347"/>
      <c r="H60" s="348"/>
      <c r="I60" s="350"/>
      <c r="J60" s="347"/>
      <c r="K60" s="348"/>
      <c r="L60" s="350"/>
      <c r="M60" s="347"/>
      <c r="N60" s="348"/>
      <c r="O60" s="350"/>
      <c r="P60" s="347"/>
      <c r="Q60" s="348"/>
      <c r="R60" s="350"/>
      <c r="S60" s="347"/>
      <c r="T60" s="348"/>
      <c r="U60" s="350"/>
      <c r="V60" s="347" t="s">
        <v>695</v>
      </c>
      <c r="W60" s="356" t="s">
        <v>319</v>
      </c>
      <c r="X60" s="357" t="s">
        <v>708</v>
      </c>
      <c r="Y60" s="347" t="s">
        <v>695</v>
      </c>
      <c r="Z60" s="351" t="s">
        <v>302</v>
      </c>
      <c r="AA60" s="352" t="s">
        <v>708</v>
      </c>
      <c r="AB60" s="347" t="s">
        <v>695</v>
      </c>
      <c r="AC60" s="354" t="s">
        <v>543</v>
      </c>
      <c r="AD60" s="355"/>
    </row>
    <row r="61" spans="1:30" x14ac:dyDescent="0.45">
      <c r="A61" s="344"/>
      <c r="B61" s="345"/>
      <c r="C61" s="346"/>
      <c r="D61" s="347"/>
      <c r="E61" s="348"/>
      <c r="F61" s="346"/>
      <c r="G61" s="347"/>
      <c r="H61" s="348"/>
      <c r="I61" s="350"/>
      <c r="J61" s="347"/>
      <c r="K61" s="348"/>
      <c r="L61" s="350"/>
      <c r="M61" s="347"/>
      <c r="N61" s="348"/>
      <c r="O61" s="350"/>
      <c r="P61" s="347"/>
      <c r="Q61" s="348"/>
      <c r="R61" s="350"/>
      <c r="S61" s="347"/>
      <c r="T61" s="348"/>
      <c r="U61" s="350"/>
      <c r="V61" s="347"/>
      <c r="W61" s="351"/>
      <c r="X61" s="352"/>
      <c r="Y61" s="347" t="s">
        <v>695</v>
      </c>
      <c r="Z61" s="351" t="s">
        <v>301</v>
      </c>
      <c r="AA61" s="352" t="s">
        <v>724</v>
      </c>
      <c r="AB61" s="347" t="s">
        <v>695</v>
      </c>
      <c r="AC61" s="354" t="s">
        <v>321</v>
      </c>
      <c r="AD61" s="355" t="s">
        <v>708</v>
      </c>
    </row>
    <row r="62" spans="1:30" x14ac:dyDescent="0.45">
      <c r="A62" s="344"/>
      <c r="B62" s="345"/>
      <c r="C62" s="346"/>
      <c r="D62" s="347"/>
      <c r="E62" s="348"/>
      <c r="F62" s="346"/>
      <c r="G62" s="347"/>
      <c r="H62" s="348"/>
      <c r="I62" s="350"/>
      <c r="J62" s="347"/>
      <c r="K62" s="348"/>
      <c r="L62" s="350"/>
      <c r="M62" s="347"/>
      <c r="N62" s="348"/>
      <c r="O62" s="350"/>
      <c r="P62" s="347"/>
      <c r="Q62" s="348"/>
      <c r="R62" s="350"/>
      <c r="S62" s="347"/>
      <c r="T62" s="348"/>
      <c r="U62" s="350"/>
      <c r="V62" s="347"/>
      <c r="W62" s="351"/>
      <c r="X62" s="352"/>
      <c r="Y62" s="347" t="s">
        <v>695</v>
      </c>
      <c r="Z62" s="351" t="s">
        <v>303</v>
      </c>
      <c r="AA62" s="352" t="s">
        <v>708</v>
      </c>
      <c r="AB62" s="347"/>
      <c r="AC62" s="354"/>
      <c r="AD62" s="355"/>
    </row>
    <row r="63" spans="1:30" ht="18" thickBot="1" x14ac:dyDescent="0.5">
      <c r="A63" s="386"/>
      <c r="B63" s="404"/>
      <c r="C63" s="405"/>
      <c r="D63" s="389"/>
      <c r="E63" s="406"/>
      <c r="F63" s="405"/>
      <c r="G63" s="389"/>
      <c r="H63" s="406"/>
      <c r="I63" s="407"/>
      <c r="J63" s="389"/>
      <c r="K63" s="406"/>
      <c r="L63" s="407"/>
      <c r="M63" s="389"/>
      <c r="N63" s="406"/>
      <c r="O63" s="407"/>
      <c r="P63" s="389"/>
      <c r="Q63" s="406"/>
      <c r="R63" s="407"/>
      <c r="S63" s="389"/>
      <c r="T63" s="406"/>
      <c r="U63" s="407"/>
      <c r="V63" s="389"/>
      <c r="W63" s="394"/>
      <c r="X63" s="395"/>
      <c r="Y63" s="389" t="s">
        <v>695</v>
      </c>
      <c r="Z63" s="394" t="s">
        <v>323</v>
      </c>
      <c r="AA63" s="395"/>
      <c r="AB63" s="389"/>
      <c r="AC63" s="396"/>
      <c r="AD63" s="397"/>
    </row>
    <row r="64" spans="1:30" s="322" customFormat="1" ht="19.8" thickBot="1" x14ac:dyDescent="0.5">
      <c r="A64" s="500" t="s">
        <v>751</v>
      </c>
      <c r="B64" s="501"/>
      <c r="C64" s="501"/>
      <c r="D64" s="501"/>
      <c r="E64" s="501"/>
      <c r="F64" s="501"/>
      <c r="G64" s="501"/>
      <c r="H64" s="501"/>
      <c r="I64" s="501"/>
      <c r="J64" s="501"/>
      <c r="K64" s="501"/>
      <c r="L64" s="501"/>
      <c r="M64" s="501"/>
      <c r="N64" s="501"/>
      <c r="O64" s="501"/>
      <c r="P64" s="501"/>
      <c r="Q64" s="501"/>
      <c r="R64" s="501"/>
      <c r="S64" s="501"/>
      <c r="T64" s="501"/>
      <c r="U64" s="501"/>
      <c r="V64" s="501"/>
      <c r="W64" s="501"/>
      <c r="X64" s="501"/>
      <c r="Y64" s="501"/>
      <c r="Z64" s="501"/>
      <c r="AA64" s="501"/>
      <c r="AB64" s="501"/>
      <c r="AC64" s="501"/>
      <c r="AD64" s="502"/>
    </row>
    <row r="65" spans="1:30" ht="34.799999999999997" x14ac:dyDescent="0.45">
      <c r="A65" s="326" t="s">
        <v>695</v>
      </c>
      <c r="B65" s="338" t="s">
        <v>544</v>
      </c>
      <c r="C65" s="339" t="s">
        <v>708</v>
      </c>
      <c r="D65" s="329" t="s">
        <v>695</v>
      </c>
      <c r="E65" s="340" t="s">
        <v>332</v>
      </c>
      <c r="F65" s="339"/>
      <c r="G65" s="329" t="s">
        <v>695</v>
      </c>
      <c r="H65" s="340" t="s">
        <v>326</v>
      </c>
      <c r="I65" s="342"/>
      <c r="J65" s="329" t="s">
        <v>695</v>
      </c>
      <c r="K65" s="340" t="s">
        <v>338</v>
      </c>
      <c r="L65" s="342"/>
      <c r="M65" s="329" t="s">
        <v>695</v>
      </c>
      <c r="N65" s="340" t="s">
        <v>546</v>
      </c>
      <c r="O65" s="342"/>
      <c r="P65" s="329" t="s">
        <v>695</v>
      </c>
      <c r="Q65" s="340" t="s">
        <v>336</v>
      </c>
      <c r="R65" s="342"/>
      <c r="S65" s="329" t="s">
        <v>695</v>
      </c>
      <c r="T65" s="340" t="s">
        <v>342</v>
      </c>
      <c r="U65" s="342"/>
      <c r="V65" s="329" t="s">
        <v>695</v>
      </c>
      <c r="W65" s="358" t="s">
        <v>548</v>
      </c>
      <c r="X65" s="400" t="s">
        <v>725</v>
      </c>
      <c r="Y65" s="329" t="s">
        <v>695</v>
      </c>
      <c r="Z65" s="358" t="s">
        <v>557</v>
      </c>
      <c r="AA65" s="359"/>
      <c r="AB65" s="329" t="s">
        <v>695</v>
      </c>
      <c r="AC65" s="335" t="s">
        <v>559</v>
      </c>
      <c r="AD65" s="336"/>
    </row>
    <row r="66" spans="1:30" x14ac:dyDescent="0.45">
      <c r="A66" s="344"/>
      <c r="B66" s="345"/>
      <c r="C66" s="346"/>
      <c r="D66" s="347"/>
      <c r="E66" s="348"/>
      <c r="F66" s="346"/>
      <c r="G66" s="347"/>
      <c r="H66" s="348"/>
      <c r="I66" s="350"/>
      <c r="J66" s="347" t="s">
        <v>695</v>
      </c>
      <c r="K66" s="348" t="s">
        <v>545</v>
      </c>
      <c r="L66" s="350"/>
      <c r="M66" s="347"/>
      <c r="N66" s="348"/>
      <c r="O66" s="350"/>
      <c r="P66" s="347" t="s">
        <v>695</v>
      </c>
      <c r="Q66" s="348" t="s">
        <v>547</v>
      </c>
      <c r="R66" s="350"/>
      <c r="S66" s="347"/>
      <c r="T66" s="348"/>
      <c r="U66" s="350"/>
      <c r="V66" s="347" t="s">
        <v>695</v>
      </c>
      <c r="W66" s="351" t="s">
        <v>551</v>
      </c>
      <c r="X66" s="352"/>
      <c r="Y66" s="347" t="s">
        <v>695</v>
      </c>
      <c r="Z66" s="351" t="s">
        <v>558</v>
      </c>
      <c r="AA66" s="352"/>
      <c r="AB66" s="347" t="s">
        <v>695</v>
      </c>
      <c r="AC66" s="354" t="s">
        <v>560</v>
      </c>
      <c r="AD66" s="355"/>
    </row>
    <row r="67" spans="1:30" x14ac:dyDescent="0.45">
      <c r="A67" s="344"/>
      <c r="B67" s="345"/>
      <c r="C67" s="346"/>
      <c r="D67" s="347"/>
      <c r="E67" s="348"/>
      <c r="F67" s="346"/>
      <c r="G67" s="347"/>
      <c r="H67" s="348"/>
      <c r="I67" s="350"/>
      <c r="J67" s="347" t="s">
        <v>695</v>
      </c>
      <c r="K67" s="348" t="s">
        <v>352</v>
      </c>
      <c r="L67" s="350"/>
      <c r="M67" s="347"/>
      <c r="N67" s="348"/>
      <c r="O67" s="350"/>
      <c r="P67" s="347"/>
      <c r="Q67" s="348"/>
      <c r="R67" s="350"/>
      <c r="S67" s="347"/>
      <c r="T67" s="348"/>
      <c r="U67" s="350"/>
      <c r="V67" s="347" t="s">
        <v>695</v>
      </c>
      <c r="W67" s="356" t="s">
        <v>552</v>
      </c>
      <c r="X67" s="357"/>
      <c r="Y67" s="347" t="s">
        <v>695</v>
      </c>
      <c r="Z67" s="351" t="s">
        <v>359</v>
      </c>
      <c r="AA67" s="352"/>
      <c r="AB67" s="347" t="s">
        <v>695</v>
      </c>
      <c r="AC67" s="354" t="s">
        <v>561</v>
      </c>
      <c r="AD67" s="355"/>
    </row>
    <row r="68" spans="1:30" x14ac:dyDescent="0.45">
      <c r="A68" s="344"/>
      <c r="B68" s="345"/>
      <c r="C68" s="346"/>
      <c r="D68" s="347"/>
      <c r="E68" s="348"/>
      <c r="F68" s="346"/>
      <c r="G68" s="347"/>
      <c r="H68" s="348"/>
      <c r="I68" s="350"/>
      <c r="J68" s="347"/>
      <c r="K68" s="348"/>
      <c r="L68" s="350"/>
      <c r="M68" s="347"/>
      <c r="N68" s="348"/>
      <c r="O68" s="350"/>
      <c r="P68" s="347"/>
      <c r="Q68" s="348"/>
      <c r="R68" s="350"/>
      <c r="S68" s="347"/>
      <c r="T68" s="348"/>
      <c r="U68" s="350"/>
      <c r="V68" s="347" t="s">
        <v>695</v>
      </c>
      <c r="W68" s="351" t="s">
        <v>554</v>
      </c>
      <c r="X68" s="352"/>
      <c r="Y68" s="347" t="s">
        <v>695</v>
      </c>
      <c r="Z68" s="351" t="s">
        <v>343</v>
      </c>
      <c r="AA68" s="352"/>
      <c r="AB68" s="347" t="s">
        <v>695</v>
      </c>
      <c r="AC68" s="354" t="s">
        <v>345</v>
      </c>
      <c r="AD68" s="355"/>
    </row>
    <row r="69" spans="1:30" x14ac:dyDescent="0.45">
      <c r="A69" s="344"/>
      <c r="B69" s="345"/>
      <c r="C69" s="346"/>
      <c r="D69" s="347"/>
      <c r="E69" s="348"/>
      <c r="F69" s="346"/>
      <c r="G69" s="347"/>
      <c r="H69" s="348"/>
      <c r="I69" s="350"/>
      <c r="J69" s="347"/>
      <c r="K69" s="348"/>
      <c r="L69" s="350"/>
      <c r="M69" s="347"/>
      <c r="N69" s="348"/>
      <c r="O69" s="350"/>
      <c r="P69" s="347"/>
      <c r="Q69" s="348"/>
      <c r="R69" s="350"/>
      <c r="S69" s="347"/>
      <c r="T69" s="348"/>
      <c r="U69" s="350"/>
      <c r="V69" s="347" t="s">
        <v>695</v>
      </c>
      <c r="W69" s="351" t="s">
        <v>549</v>
      </c>
      <c r="X69" s="352"/>
      <c r="Y69" s="347"/>
      <c r="Z69" s="351"/>
      <c r="AA69" s="352"/>
      <c r="AB69" s="347"/>
      <c r="AC69" s="354"/>
      <c r="AD69" s="355"/>
    </row>
    <row r="70" spans="1:30" x14ac:dyDescent="0.45">
      <c r="A70" s="344"/>
      <c r="B70" s="345"/>
      <c r="C70" s="346"/>
      <c r="D70" s="347"/>
      <c r="E70" s="348"/>
      <c r="F70" s="346"/>
      <c r="G70" s="347"/>
      <c r="H70" s="348"/>
      <c r="I70" s="350"/>
      <c r="J70" s="347"/>
      <c r="K70" s="348"/>
      <c r="L70" s="350"/>
      <c r="M70" s="347"/>
      <c r="N70" s="348"/>
      <c r="O70" s="350"/>
      <c r="P70" s="347"/>
      <c r="Q70" s="348"/>
      <c r="R70" s="350"/>
      <c r="S70" s="347"/>
      <c r="T70" s="348"/>
      <c r="U70" s="350"/>
      <c r="V70" s="347" t="s">
        <v>695</v>
      </c>
      <c r="W70" s="351" t="s">
        <v>550</v>
      </c>
      <c r="X70" s="352"/>
      <c r="Y70" s="347"/>
      <c r="Z70" s="351"/>
      <c r="AA70" s="352"/>
      <c r="AB70" s="347"/>
      <c r="AC70" s="354"/>
      <c r="AD70" s="355"/>
    </row>
    <row r="71" spans="1:30" x14ac:dyDescent="0.45">
      <c r="A71" s="344"/>
      <c r="B71" s="345"/>
      <c r="C71" s="346"/>
      <c r="D71" s="347"/>
      <c r="E71" s="348"/>
      <c r="F71" s="346"/>
      <c r="G71" s="347"/>
      <c r="H71" s="348"/>
      <c r="I71" s="350"/>
      <c r="J71" s="347"/>
      <c r="K71" s="348"/>
      <c r="L71" s="350"/>
      <c r="M71" s="347"/>
      <c r="N71" s="348"/>
      <c r="O71" s="350"/>
      <c r="P71" s="347"/>
      <c r="Q71" s="348"/>
      <c r="R71" s="350"/>
      <c r="S71" s="347"/>
      <c r="T71" s="348"/>
      <c r="U71" s="350"/>
      <c r="V71" s="347" t="s">
        <v>695</v>
      </c>
      <c r="W71" s="351" t="s">
        <v>553</v>
      </c>
      <c r="X71" s="352"/>
      <c r="Y71" s="347"/>
      <c r="Z71" s="351"/>
      <c r="AA71" s="352"/>
      <c r="AB71" s="347"/>
      <c r="AC71" s="354"/>
      <c r="AD71" s="355"/>
    </row>
    <row r="72" spans="1:30" x14ac:dyDescent="0.45">
      <c r="A72" s="344"/>
      <c r="B72" s="345"/>
      <c r="C72" s="346"/>
      <c r="D72" s="347"/>
      <c r="E72" s="348"/>
      <c r="F72" s="346"/>
      <c r="G72" s="347"/>
      <c r="H72" s="348"/>
      <c r="I72" s="350"/>
      <c r="J72" s="347"/>
      <c r="K72" s="348"/>
      <c r="L72" s="350"/>
      <c r="M72" s="347"/>
      <c r="N72" s="348"/>
      <c r="O72" s="350"/>
      <c r="P72" s="347"/>
      <c r="Q72" s="348"/>
      <c r="R72" s="350"/>
      <c r="S72" s="347"/>
      <c r="T72" s="348"/>
      <c r="U72" s="350"/>
      <c r="V72" s="347" t="s">
        <v>695</v>
      </c>
      <c r="W72" s="351" t="s">
        <v>555</v>
      </c>
      <c r="X72" s="352"/>
      <c r="Y72" s="347"/>
      <c r="Z72" s="351"/>
      <c r="AA72" s="352"/>
      <c r="AB72" s="347"/>
      <c r="AC72" s="354"/>
      <c r="AD72" s="355"/>
    </row>
    <row r="73" spans="1:30" ht="18" thickBot="1" x14ac:dyDescent="0.5">
      <c r="A73" s="386"/>
      <c r="B73" s="404"/>
      <c r="C73" s="405"/>
      <c r="D73" s="389"/>
      <c r="E73" s="406"/>
      <c r="F73" s="405"/>
      <c r="G73" s="389"/>
      <c r="H73" s="406"/>
      <c r="I73" s="407"/>
      <c r="J73" s="389"/>
      <c r="K73" s="406"/>
      <c r="L73" s="407"/>
      <c r="M73" s="389"/>
      <c r="N73" s="406"/>
      <c r="O73" s="407"/>
      <c r="P73" s="389"/>
      <c r="Q73" s="406"/>
      <c r="R73" s="407"/>
      <c r="S73" s="389"/>
      <c r="T73" s="406"/>
      <c r="U73" s="407"/>
      <c r="V73" s="389" t="s">
        <v>695</v>
      </c>
      <c r="W73" s="394" t="s">
        <v>556</v>
      </c>
      <c r="X73" s="395"/>
      <c r="Y73" s="389"/>
      <c r="Z73" s="394"/>
      <c r="AA73" s="395"/>
      <c r="AB73" s="389"/>
      <c r="AC73" s="396"/>
      <c r="AD73" s="397"/>
    </row>
    <row r="74" spans="1:30" s="322" customFormat="1" ht="19.8" thickBot="1" x14ac:dyDescent="0.5">
      <c r="A74" s="500" t="s">
        <v>752</v>
      </c>
      <c r="B74" s="501"/>
      <c r="C74" s="501"/>
      <c r="D74" s="501"/>
      <c r="E74" s="501"/>
      <c r="F74" s="501"/>
      <c r="G74" s="501"/>
      <c r="H74" s="501"/>
      <c r="I74" s="501"/>
      <c r="J74" s="501"/>
      <c r="K74" s="501"/>
      <c r="L74" s="501"/>
      <c r="M74" s="501"/>
      <c r="N74" s="501"/>
      <c r="O74" s="501"/>
      <c r="P74" s="501"/>
      <c r="Q74" s="501"/>
      <c r="R74" s="501"/>
      <c r="S74" s="501"/>
      <c r="T74" s="501"/>
      <c r="U74" s="501"/>
      <c r="V74" s="501"/>
      <c r="W74" s="501"/>
      <c r="X74" s="501"/>
      <c r="Y74" s="501"/>
      <c r="Z74" s="501"/>
      <c r="AA74" s="501"/>
      <c r="AB74" s="501"/>
      <c r="AC74" s="501"/>
      <c r="AD74" s="502"/>
    </row>
    <row r="75" spans="1:30" ht="34.799999999999997" x14ac:dyDescent="0.45">
      <c r="A75" s="326"/>
      <c r="B75" s="338"/>
      <c r="C75" s="339"/>
      <c r="D75" s="329"/>
      <c r="E75" s="340"/>
      <c r="F75" s="339"/>
      <c r="G75" s="329"/>
      <c r="H75" s="340"/>
      <c r="I75" s="342"/>
      <c r="J75" s="329"/>
      <c r="K75" s="340"/>
      <c r="L75" s="342"/>
      <c r="M75" s="329" t="s">
        <v>695</v>
      </c>
      <c r="N75" s="340" t="s">
        <v>706</v>
      </c>
      <c r="O75" s="341" t="s">
        <v>716</v>
      </c>
      <c r="P75" s="329" t="s">
        <v>695</v>
      </c>
      <c r="Q75" s="358" t="s">
        <v>562</v>
      </c>
      <c r="R75" s="359"/>
      <c r="S75" s="329"/>
      <c r="T75" s="340"/>
      <c r="U75" s="342"/>
      <c r="V75" s="329" t="s">
        <v>695</v>
      </c>
      <c r="W75" s="333" t="s">
        <v>567</v>
      </c>
      <c r="X75" s="334" t="s">
        <v>724</v>
      </c>
      <c r="Y75" s="329" t="s">
        <v>695</v>
      </c>
      <c r="Z75" s="333" t="s">
        <v>573</v>
      </c>
      <c r="AA75" s="334"/>
      <c r="AB75" s="329" t="s">
        <v>695</v>
      </c>
      <c r="AC75" s="401" t="s">
        <v>575</v>
      </c>
      <c r="AD75" s="336"/>
    </row>
    <row r="76" spans="1:30" x14ac:dyDescent="0.45">
      <c r="A76" s="344"/>
      <c r="B76" s="345"/>
      <c r="C76" s="346"/>
      <c r="D76" s="347"/>
      <c r="E76" s="348"/>
      <c r="F76" s="346"/>
      <c r="G76" s="347"/>
      <c r="H76" s="348"/>
      <c r="I76" s="350"/>
      <c r="J76" s="347"/>
      <c r="K76" s="348"/>
      <c r="L76" s="350"/>
      <c r="M76" s="347"/>
      <c r="N76" s="348"/>
      <c r="O76" s="350"/>
      <c r="P76" s="347" t="s">
        <v>695</v>
      </c>
      <c r="Q76" s="348" t="s">
        <v>564</v>
      </c>
      <c r="R76" s="350"/>
      <c r="S76" s="347"/>
      <c r="T76" s="348"/>
      <c r="U76" s="350"/>
      <c r="V76" s="347" t="s">
        <v>695</v>
      </c>
      <c r="W76" s="351" t="s">
        <v>568</v>
      </c>
      <c r="X76" s="352" t="s">
        <v>708</v>
      </c>
      <c r="Y76" s="347" t="s">
        <v>695</v>
      </c>
      <c r="Z76" s="351" t="s">
        <v>571</v>
      </c>
      <c r="AA76" s="352"/>
      <c r="AB76" s="347" t="s">
        <v>695</v>
      </c>
      <c r="AC76" s="354" t="s">
        <v>574</v>
      </c>
      <c r="AD76" s="355"/>
    </row>
    <row r="77" spans="1:30" x14ac:dyDescent="0.45">
      <c r="A77" s="344"/>
      <c r="B77" s="345"/>
      <c r="C77" s="346"/>
      <c r="D77" s="347"/>
      <c r="E77" s="348"/>
      <c r="F77" s="346"/>
      <c r="G77" s="347"/>
      <c r="H77" s="348"/>
      <c r="I77" s="350"/>
      <c r="J77" s="347"/>
      <c r="K77" s="348"/>
      <c r="L77" s="350"/>
      <c r="M77" s="347"/>
      <c r="N77" s="348"/>
      <c r="O77" s="350"/>
      <c r="P77" s="347" t="s">
        <v>695</v>
      </c>
      <c r="Q77" s="356" t="s">
        <v>566</v>
      </c>
      <c r="R77" s="357"/>
      <c r="S77" s="347"/>
      <c r="T77" s="348"/>
      <c r="U77" s="350"/>
      <c r="V77" s="347" t="s">
        <v>695</v>
      </c>
      <c r="W77" s="351" t="s">
        <v>569</v>
      </c>
      <c r="X77" s="352" t="s">
        <v>724</v>
      </c>
      <c r="Y77" s="347" t="s">
        <v>695</v>
      </c>
      <c r="Z77" s="351" t="s">
        <v>572</v>
      </c>
      <c r="AA77" s="352"/>
      <c r="AB77" s="347" t="s">
        <v>695</v>
      </c>
      <c r="AC77" s="354" t="s">
        <v>585</v>
      </c>
      <c r="AD77" s="355"/>
    </row>
    <row r="78" spans="1:30" x14ac:dyDescent="0.45">
      <c r="A78" s="344"/>
      <c r="B78" s="345"/>
      <c r="C78" s="346"/>
      <c r="D78" s="347"/>
      <c r="E78" s="348"/>
      <c r="F78" s="346"/>
      <c r="G78" s="347"/>
      <c r="H78" s="348"/>
      <c r="I78" s="350"/>
      <c r="J78" s="347"/>
      <c r="K78" s="348"/>
      <c r="L78" s="350"/>
      <c r="M78" s="347"/>
      <c r="N78" s="348"/>
      <c r="O78" s="350"/>
      <c r="P78" s="347" t="s">
        <v>695</v>
      </c>
      <c r="Q78" s="348" t="s">
        <v>563</v>
      </c>
      <c r="R78" s="350"/>
      <c r="S78" s="347"/>
      <c r="T78" s="348"/>
      <c r="U78" s="350"/>
      <c r="V78" s="347" t="s">
        <v>695</v>
      </c>
      <c r="W78" s="356" t="s">
        <v>570</v>
      </c>
      <c r="X78" s="357" t="s">
        <v>724</v>
      </c>
      <c r="Y78" s="347" t="s">
        <v>695</v>
      </c>
      <c r="Z78" s="351" t="s">
        <v>404</v>
      </c>
      <c r="AA78" s="352"/>
      <c r="AB78" s="347" t="s">
        <v>695</v>
      </c>
      <c r="AC78" s="354" t="s">
        <v>576</v>
      </c>
      <c r="AD78" s="355"/>
    </row>
    <row r="79" spans="1:30" x14ac:dyDescent="0.45">
      <c r="A79" s="344"/>
      <c r="B79" s="345"/>
      <c r="C79" s="346"/>
      <c r="D79" s="347"/>
      <c r="E79" s="348"/>
      <c r="F79" s="346"/>
      <c r="G79" s="347"/>
      <c r="H79" s="348"/>
      <c r="I79" s="350"/>
      <c r="J79" s="347"/>
      <c r="K79" s="348"/>
      <c r="L79" s="350"/>
      <c r="M79" s="347"/>
      <c r="N79" s="348"/>
      <c r="O79" s="350"/>
      <c r="P79" s="347" t="s">
        <v>695</v>
      </c>
      <c r="Q79" s="348" t="s">
        <v>379</v>
      </c>
      <c r="R79" s="350"/>
      <c r="S79" s="347"/>
      <c r="T79" s="348"/>
      <c r="U79" s="350"/>
      <c r="V79" s="347"/>
      <c r="W79" s="351"/>
      <c r="X79" s="352"/>
      <c r="Y79" s="347" t="s">
        <v>695</v>
      </c>
      <c r="Z79" s="351" t="s">
        <v>424</v>
      </c>
      <c r="AA79" s="352" t="s">
        <v>724</v>
      </c>
      <c r="AB79" s="347" t="s">
        <v>695</v>
      </c>
      <c r="AC79" s="402" t="s">
        <v>577</v>
      </c>
      <c r="AD79" s="355"/>
    </row>
    <row r="80" spans="1:30" x14ac:dyDescent="0.45">
      <c r="A80" s="344"/>
      <c r="B80" s="345"/>
      <c r="C80" s="346"/>
      <c r="D80" s="347"/>
      <c r="E80" s="348"/>
      <c r="F80" s="346"/>
      <c r="G80" s="347"/>
      <c r="H80" s="348"/>
      <c r="I80" s="350"/>
      <c r="J80" s="347"/>
      <c r="K80" s="348"/>
      <c r="L80" s="350"/>
      <c r="M80" s="347"/>
      <c r="N80" s="348"/>
      <c r="O80" s="350"/>
      <c r="P80" s="347" t="s">
        <v>695</v>
      </c>
      <c r="Q80" s="348" t="s">
        <v>565</v>
      </c>
      <c r="R80" s="350"/>
      <c r="S80" s="347"/>
      <c r="T80" s="348"/>
      <c r="U80" s="350"/>
      <c r="V80" s="347"/>
      <c r="W80" s="351"/>
      <c r="X80" s="352"/>
      <c r="Y80" s="347"/>
      <c r="Z80" s="351"/>
      <c r="AA80" s="352"/>
      <c r="AB80" s="347" t="s">
        <v>695</v>
      </c>
      <c r="AC80" s="354" t="s">
        <v>584</v>
      </c>
      <c r="AD80" s="355"/>
    </row>
    <row r="81" spans="1:30" x14ac:dyDescent="0.45">
      <c r="A81" s="344"/>
      <c r="B81" s="345"/>
      <c r="C81" s="346"/>
      <c r="D81" s="347"/>
      <c r="E81" s="348"/>
      <c r="F81" s="346"/>
      <c r="G81" s="347"/>
      <c r="H81" s="348"/>
      <c r="I81" s="350"/>
      <c r="J81" s="347"/>
      <c r="K81" s="348"/>
      <c r="L81" s="350"/>
      <c r="M81" s="347"/>
      <c r="N81" s="348"/>
      <c r="O81" s="350"/>
      <c r="P81" s="347" t="s">
        <v>695</v>
      </c>
      <c r="Q81" s="348" t="s">
        <v>391</v>
      </c>
      <c r="R81" s="350"/>
      <c r="S81" s="347"/>
      <c r="T81" s="348"/>
      <c r="U81" s="350"/>
      <c r="V81" s="347"/>
      <c r="W81" s="351"/>
      <c r="X81" s="352"/>
      <c r="Y81" s="347"/>
      <c r="Z81" s="351"/>
      <c r="AA81" s="352"/>
      <c r="AB81" s="347" t="s">
        <v>695</v>
      </c>
      <c r="AC81" s="354" t="s">
        <v>578</v>
      </c>
      <c r="AD81" s="355" t="s">
        <v>724</v>
      </c>
    </row>
    <row r="82" spans="1:30" x14ac:dyDescent="0.45">
      <c r="A82" s="344"/>
      <c r="B82" s="345"/>
      <c r="C82" s="346"/>
      <c r="D82" s="347"/>
      <c r="E82" s="348"/>
      <c r="F82" s="346"/>
      <c r="G82" s="347"/>
      <c r="H82" s="348"/>
      <c r="I82" s="350"/>
      <c r="J82" s="347"/>
      <c r="K82" s="348"/>
      <c r="L82" s="350"/>
      <c r="M82" s="347"/>
      <c r="N82" s="348"/>
      <c r="O82" s="350"/>
      <c r="P82" s="347"/>
      <c r="Q82" s="348"/>
      <c r="R82" s="350"/>
      <c r="S82" s="347"/>
      <c r="T82" s="348"/>
      <c r="U82" s="350"/>
      <c r="V82" s="347"/>
      <c r="W82" s="351"/>
      <c r="X82" s="352"/>
      <c r="Y82" s="347"/>
      <c r="Z82" s="351"/>
      <c r="AA82" s="352"/>
      <c r="AB82" s="347" t="s">
        <v>695</v>
      </c>
      <c r="AC82" s="354" t="s">
        <v>579</v>
      </c>
      <c r="AD82" s="355"/>
    </row>
    <row r="83" spans="1:30" x14ac:dyDescent="0.45">
      <c r="A83" s="344"/>
      <c r="B83" s="345"/>
      <c r="C83" s="346"/>
      <c r="D83" s="347"/>
      <c r="E83" s="348"/>
      <c r="F83" s="346"/>
      <c r="G83" s="347"/>
      <c r="H83" s="348"/>
      <c r="I83" s="350"/>
      <c r="J83" s="347"/>
      <c r="K83" s="348"/>
      <c r="L83" s="350"/>
      <c r="M83" s="347"/>
      <c r="N83" s="348"/>
      <c r="O83" s="350"/>
      <c r="P83" s="347"/>
      <c r="Q83" s="348"/>
      <c r="R83" s="350"/>
      <c r="S83" s="347"/>
      <c r="T83" s="348"/>
      <c r="U83" s="350"/>
      <c r="V83" s="347"/>
      <c r="W83" s="351"/>
      <c r="X83" s="352"/>
      <c r="Y83" s="347"/>
      <c r="Z83" s="351"/>
      <c r="AA83" s="352"/>
      <c r="AB83" s="347" t="s">
        <v>695</v>
      </c>
      <c r="AC83" s="354" t="s">
        <v>422</v>
      </c>
      <c r="AD83" s="355"/>
    </row>
    <row r="84" spans="1:30" x14ac:dyDescent="0.45">
      <c r="A84" s="344"/>
      <c r="B84" s="345"/>
      <c r="C84" s="346"/>
      <c r="D84" s="347"/>
      <c r="E84" s="348"/>
      <c r="F84" s="346"/>
      <c r="G84" s="347"/>
      <c r="H84" s="348"/>
      <c r="I84" s="350"/>
      <c r="J84" s="347"/>
      <c r="K84" s="348"/>
      <c r="L84" s="350"/>
      <c r="M84" s="347"/>
      <c r="N84" s="348"/>
      <c r="O84" s="350"/>
      <c r="P84" s="347"/>
      <c r="Q84" s="348"/>
      <c r="R84" s="350"/>
      <c r="S84" s="347"/>
      <c r="T84" s="348"/>
      <c r="U84" s="350"/>
      <c r="V84" s="347"/>
      <c r="W84" s="351"/>
      <c r="X84" s="352"/>
      <c r="Y84" s="347"/>
      <c r="Z84" s="351"/>
      <c r="AA84" s="352"/>
      <c r="AB84" s="347" t="s">
        <v>695</v>
      </c>
      <c r="AC84" s="354" t="s">
        <v>582</v>
      </c>
      <c r="AD84" s="355"/>
    </row>
    <row r="85" spans="1:30" x14ac:dyDescent="0.45">
      <c r="A85" s="344"/>
      <c r="B85" s="345"/>
      <c r="C85" s="346"/>
      <c r="D85" s="347"/>
      <c r="E85" s="348"/>
      <c r="F85" s="346"/>
      <c r="G85" s="347"/>
      <c r="H85" s="348"/>
      <c r="I85" s="350"/>
      <c r="J85" s="347"/>
      <c r="K85" s="348"/>
      <c r="L85" s="350"/>
      <c r="M85" s="347"/>
      <c r="N85" s="348"/>
      <c r="O85" s="350"/>
      <c r="P85" s="347"/>
      <c r="Q85" s="348"/>
      <c r="R85" s="350"/>
      <c r="S85" s="347"/>
      <c r="T85" s="348"/>
      <c r="U85" s="350"/>
      <c r="V85" s="347"/>
      <c r="W85" s="351"/>
      <c r="X85" s="352"/>
      <c r="Y85" s="347"/>
      <c r="Z85" s="351"/>
      <c r="AA85" s="352"/>
      <c r="AB85" s="347" t="s">
        <v>695</v>
      </c>
      <c r="AC85" s="354" t="s">
        <v>583</v>
      </c>
      <c r="AD85" s="355"/>
    </row>
    <row r="86" spans="1:30" x14ac:dyDescent="0.45">
      <c r="A86" s="344"/>
      <c r="B86" s="345"/>
      <c r="C86" s="346"/>
      <c r="D86" s="347"/>
      <c r="E86" s="348"/>
      <c r="F86" s="346"/>
      <c r="G86" s="347"/>
      <c r="H86" s="348"/>
      <c r="I86" s="350"/>
      <c r="J86" s="347"/>
      <c r="K86" s="348"/>
      <c r="L86" s="350"/>
      <c r="M86" s="347"/>
      <c r="N86" s="348"/>
      <c r="O86" s="350"/>
      <c r="P86" s="347"/>
      <c r="Q86" s="348"/>
      <c r="R86" s="350"/>
      <c r="S86" s="347"/>
      <c r="T86" s="348"/>
      <c r="U86" s="350"/>
      <c r="V86" s="347"/>
      <c r="W86" s="351"/>
      <c r="X86" s="352"/>
      <c r="Y86" s="347"/>
      <c r="Z86" s="351"/>
      <c r="AA86" s="352"/>
      <c r="AB86" s="347" t="s">
        <v>695</v>
      </c>
      <c r="AC86" s="354" t="s">
        <v>406</v>
      </c>
      <c r="AD86" s="355"/>
    </row>
    <row r="87" spans="1:30" x14ac:dyDescent="0.45">
      <c r="A87" s="344"/>
      <c r="B87" s="345"/>
      <c r="C87" s="346"/>
      <c r="D87" s="347"/>
      <c r="E87" s="348"/>
      <c r="F87" s="346"/>
      <c r="G87" s="347"/>
      <c r="H87" s="348"/>
      <c r="I87" s="350"/>
      <c r="J87" s="347"/>
      <c r="K87" s="348"/>
      <c r="L87" s="350"/>
      <c r="M87" s="347"/>
      <c r="N87" s="348"/>
      <c r="O87" s="350"/>
      <c r="P87" s="347"/>
      <c r="Q87" s="348"/>
      <c r="R87" s="350"/>
      <c r="S87" s="347"/>
      <c r="T87" s="348"/>
      <c r="U87" s="350"/>
      <c r="V87" s="347"/>
      <c r="W87" s="351"/>
      <c r="X87" s="352"/>
      <c r="Y87" s="347"/>
      <c r="Z87" s="351"/>
      <c r="AA87" s="352"/>
      <c r="AB87" s="347" t="s">
        <v>695</v>
      </c>
      <c r="AC87" s="354" t="s">
        <v>408</v>
      </c>
      <c r="AD87" s="355"/>
    </row>
    <row r="88" spans="1:30" x14ac:dyDescent="0.45">
      <c r="A88" s="344"/>
      <c r="B88" s="345"/>
      <c r="C88" s="346"/>
      <c r="D88" s="347"/>
      <c r="E88" s="348"/>
      <c r="F88" s="346"/>
      <c r="G88" s="347"/>
      <c r="H88" s="348"/>
      <c r="I88" s="350"/>
      <c r="J88" s="347"/>
      <c r="K88" s="348"/>
      <c r="L88" s="350"/>
      <c r="M88" s="347"/>
      <c r="N88" s="348"/>
      <c r="O88" s="350"/>
      <c r="P88" s="347"/>
      <c r="Q88" s="348"/>
      <c r="R88" s="350"/>
      <c r="S88" s="347"/>
      <c r="T88" s="348"/>
      <c r="U88" s="350"/>
      <c r="V88" s="347"/>
      <c r="W88" s="351"/>
      <c r="X88" s="352"/>
      <c r="Y88" s="347"/>
      <c r="Z88" s="351"/>
      <c r="AA88" s="352"/>
      <c r="AB88" s="347" t="s">
        <v>695</v>
      </c>
      <c r="AC88" s="354" t="s">
        <v>580</v>
      </c>
      <c r="AD88" s="355"/>
    </row>
    <row r="89" spans="1:30" ht="18" thickBot="1" x14ac:dyDescent="0.5">
      <c r="A89" s="344"/>
      <c r="B89" s="345"/>
      <c r="C89" s="346"/>
      <c r="D89" s="347"/>
      <c r="E89" s="348"/>
      <c r="F89" s="346"/>
      <c r="G89" s="347"/>
      <c r="H89" s="348"/>
      <c r="I89" s="350"/>
      <c r="J89" s="347"/>
      <c r="K89" s="348"/>
      <c r="L89" s="350"/>
      <c r="M89" s="347"/>
      <c r="N89" s="348"/>
      <c r="O89" s="350"/>
      <c r="P89" s="347"/>
      <c r="Q89" s="348"/>
      <c r="R89" s="350"/>
      <c r="S89" s="347"/>
      <c r="T89" s="348"/>
      <c r="U89" s="350"/>
      <c r="V89" s="347"/>
      <c r="W89" s="351"/>
      <c r="X89" s="352"/>
      <c r="Y89" s="347"/>
      <c r="Z89" s="351"/>
      <c r="AA89" s="352"/>
      <c r="AB89" s="364" t="s">
        <v>695</v>
      </c>
      <c r="AC89" s="367" t="s">
        <v>581</v>
      </c>
      <c r="AD89" s="368"/>
    </row>
    <row r="90" spans="1:30" x14ac:dyDescent="0.45">
      <c r="A90" s="337"/>
      <c r="D90" s="337"/>
      <c r="G90" s="337"/>
      <c r="J90" s="337"/>
      <c r="M90" s="337"/>
      <c r="P90" s="337"/>
      <c r="S90" s="337"/>
      <c r="V90" s="337"/>
      <c r="Y90" s="337"/>
      <c r="AB90" s="337"/>
    </row>
    <row r="91" spans="1:30" x14ac:dyDescent="0.45">
      <c r="A91" s="337"/>
      <c r="D91" s="337"/>
      <c r="G91" s="337"/>
      <c r="J91" s="337"/>
      <c r="M91" s="337"/>
      <c r="P91" s="337"/>
      <c r="S91" s="337"/>
      <c r="V91" s="337"/>
      <c r="Y91" s="337"/>
      <c r="AB91" s="337"/>
    </row>
    <row r="92" spans="1:30" x14ac:dyDescent="0.45">
      <c r="A92" s="337"/>
      <c r="D92" s="337"/>
      <c r="G92" s="337"/>
      <c r="J92" s="337"/>
      <c r="M92" s="337"/>
      <c r="P92" s="337"/>
      <c r="S92" s="337"/>
      <c r="V92" s="337"/>
      <c r="Y92" s="337"/>
      <c r="AB92" s="337"/>
    </row>
    <row r="93" spans="1:30" x14ac:dyDescent="0.45">
      <c r="A93" s="337"/>
      <c r="D93" s="337"/>
      <c r="G93" s="337"/>
      <c r="J93" s="337"/>
      <c r="M93" s="337"/>
      <c r="P93" s="337"/>
      <c r="S93" s="337"/>
      <c r="V93" s="337"/>
      <c r="Y93" s="337"/>
      <c r="AB93" s="337"/>
    </row>
    <row r="94" spans="1:30" x14ac:dyDescent="0.45">
      <c r="A94" s="337"/>
      <c r="D94" s="337"/>
      <c r="G94" s="337"/>
      <c r="J94" s="337"/>
      <c r="M94" s="337"/>
      <c r="P94" s="337"/>
      <c r="S94" s="337"/>
      <c r="V94" s="337"/>
      <c r="Y94" s="337"/>
      <c r="AB94" s="337"/>
    </row>
    <row r="95" spans="1:30" x14ac:dyDescent="0.45">
      <c r="A95" s="337"/>
      <c r="D95" s="337"/>
      <c r="G95" s="337"/>
      <c r="J95" s="337"/>
      <c r="M95" s="337"/>
      <c r="P95" s="337"/>
      <c r="S95" s="337"/>
      <c r="V95" s="337"/>
      <c r="Y95" s="337"/>
      <c r="AB95" s="337"/>
    </row>
    <row r="96" spans="1:30" x14ac:dyDescent="0.45">
      <c r="A96" s="337"/>
      <c r="D96" s="337"/>
      <c r="G96" s="337"/>
      <c r="J96" s="337"/>
      <c r="M96" s="337"/>
      <c r="P96" s="337"/>
      <c r="S96" s="337"/>
      <c r="V96" s="337"/>
      <c r="Y96" s="337"/>
      <c r="AB96" s="337"/>
    </row>
    <row r="97" spans="1:28" x14ac:dyDescent="0.45">
      <c r="A97" s="337"/>
      <c r="D97" s="337"/>
      <c r="G97" s="337"/>
      <c r="J97" s="337"/>
      <c r="M97" s="337"/>
      <c r="P97" s="337"/>
      <c r="S97" s="337"/>
      <c r="V97" s="337"/>
      <c r="Y97" s="337"/>
      <c r="AB97" s="337"/>
    </row>
    <row r="98" spans="1:28" x14ac:dyDescent="0.45">
      <c r="A98" s="337"/>
      <c r="D98" s="337"/>
      <c r="G98" s="337"/>
      <c r="J98" s="337"/>
      <c r="M98" s="337"/>
      <c r="P98" s="337"/>
      <c r="S98" s="337"/>
      <c r="V98" s="337"/>
      <c r="Y98" s="337"/>
      <c r="AB98" s="337"/>
    </row>
    <row r="99" spans="1:28" x14ac:dyDescent="0.45">
      <c r="A99" s="337"/>
      <c r="D99" s="337"/>
      <c r="G99" s="337"/>
      <c r="J99" s="337"/>
      <c r="M99" s="337"/>
      <c r="P99" s="337"/>
      <c r="S99" s="337"/>
      <c r="V99" s="337"/>
      <c r="Y99" s="337"/>
      <c r="AB99" s="337"/>
    </row>
    <row r="100" spans="1:28" x14ac:dyDescent="0.45">
      <c r="A100" s="337"/>
      <c r="D100" s="337"/>
      <c r="G100" s="337"/>
      <c r="J100" s="337"/>
      <c r="M100" s="337"/>
      <c r="P100" s="337"/>
      <c r="S100" s="337"/>
      <c r="V100" s="337"/>
      <c r="Y100" s="337"/>
      <c r="AB100" s="337"/>
    </row>
    <row r="101" spans="1:28" x14ac:dyDescent="0.45">
      <c r="A101" s="337"/>
      <c r="D101" s="337"/>
      <c r="G101" s="337"/>
      <c r="J101" s="337"/>
      <c r="M101" s="337"/>
      <c r="P101" s="337"/>
      <c r="S101" s="337"/>
      <c r="V101" s="337"/>
      <c r="Y101" s="337"/>
      <c r="AB101" s="337"/>
    </row>
    <row r="102" spans="1:28" x14ac:dyDescent="0.45">
      <c r="A102" s="337"/>
      <c r="D102" s="337"/>
      <c r="G102" s="337"/>
      <c r="J102" s="337"/>
      <c r="M102" s="337"/>
      <c r="P102" s="337"/>
      <c r="S102" s="337"/>
      <c r="V102" s="337"/>
      <c r="Y102" s="337"/>
      <c r="AB102" s="337"/>
    </row>
    <row r="103" spans="1:28" x14ac:dyDescent="0.45">
      <c r="A103" s="337"/>
      <c r="D103" s="337"/>
      <c r="G103" s="337"/>
      <c r="J103" s="337"/>
      <c r="M103" s="337"/>
      <c r="P103" s="337"/>
      <c r="S103" s="337"/>
      <c r="V103" s="337"/>
      <c r="Y103" s="337"/>
      <c r="AB103" s="337"/>
    </row>
    <row r="104" spans="1:28" x14ac:dyDescent="0.45">
      <c r="A104" s="337"/>
      <c r="D104" s="337"/>
      <c r="G104" s="337"/>
      <c r="J104" s="337"/>
      <c r="M104" s="337"/>
      <c r="P104" s="337"/>
      <c r="S104" s="337"/>
      <c r="V104" s="337"/>
      <c r="Y104" s="337"/>
      <c r="AB104" s="337"/>
    </row>
    <row r="105" spans="1:28" x14ac:dyDescent="0.45">
      <c r="A105" s="337"/>
      <c r="D105" s="337"/>
      <c r="G105" s="337"/>
      <c r="J105" s="337"/>
      <c r="M105" s="337"/>
      <c r="P105" s="337"/>
      <c r="S105" s="337"/>
      <c r="V105" s="337"/>
      <c r="Y105" s="337"/>
      <c r="AB105" s="337"/>
    </row>
    <row r="106" spans="1:28" x14ac:dyDescent="0.45">
      <c r="A106" s="337"/>
      <c r="D106" s="337"/>
      <c r="G106" s="337"/>
      <c r="J106" s="337"/>
      <c r="M106" s="337"/>
      <c r="P106" s="337"/>
      <c r="S106" s="337"/>
      <c r="V106" s="337"/>
      <c r="Y106" s="337"/>
      <c r="AB106" s="337"/>
    </row>
    <row r="107" spans="1:28" x14ac:dyDescent="0.45">
      <c r="A107" s="337"/>
      <c r="D107" s="337"/>
      <c r="G107" s="337"/>
      <c r="J107" s="337"/>
      <c r="M107" s="337"/>
      <c r="P107" s="337"/>
      <c r="S107" s="337"/>
      <c r="V107" s="337"/>
      <c r="Y107" s="337"/>
      <c r="AB107" s="337"/>
    </row>
    <row r="108" spans="1:28" x14ac:dyDescent="0.45">
      <c r="A108" s="337"/>
      <c r="D108" s="337"/>
      <c r="G108" s="337"/>
      <c r="J108" s="337"/>
      <c r="M108" s="337"/>
      <c r="P108" s="337"/>
      <c r="S108" s="337"/>
      <c r="V108" s="337"/>
      <c r="Y108" s="337"/>
      <c r="AB108" s="337"/>
    </row>
    <row r="109" spans="1:28" x14ac:dyDescent="0.45">
      <c r="A109" s="337"/>
      <c r="D109" s="337"/>
      <c r="G109" s="337"/>
      <c r="J109" s="337"/>
      <c r="M109" s="337"/>
      <c r="P109" s="337"/>
      <c r="S109" s="337"/>
      <c r="V109" s="337"/>
      <c r="Y109" s="337"/>
      <c r="AB109" s="337"/>
    </row>
    <row r="110" spans="1:28" x14ac:dyDescent="0.45">
      <c r="A110" s="337"/>
      <c r="D110" s="337"/>
      <c r="G110" s="337"/>
      <c r="J110" s="337"/>
      <c r="M110" s="337"/>
      <c r="P110" s="337"/>
      <c r="S110" s="337"/>
      <c r="V110" s="337"/>
      <c r="Y110" s="337"/>
      <c r="AB110" s="337"/>
    </row>
    <row r="111" spans="1:28" x14ac:dyDescent="0.45">
      <c r="A111" s="337"/>
      <c r="D111" s="337"/>
      <c r="G111" s="337"/>
      <c r="J111" s="337"/>
      <c r="M111" s="337"/>
      <c r="P111" s="337"/>
      <c r="S111" s="337"/>
      <c r="V111" s="337"/>
      <c r="Y111" s="337"/>
      <c r="AB111" s="337"/>
    </row>
    <row r="112" spans="1:28" x14ac:dyDescent="0.45">
      <c r="A112" s="337"/>
      <c r="D112" s="337"/>
      <c r="G112" s="337"/>
      <c r="J112" s="337"/>
      <c r="M112" s="337"/>
      <c r="P112" s="337"/>
      <c r="S112" s="337"/>
      <c r="V112" s="337"/>
      <c r="Y112" s="337"/>
      <c r="AB112" s="337"/>
    </row>
    <row r="113" spans="1:28" x14ac:dyDescent="0.45">
      <c r="A113" s="337"/>
      <c r="D113" s="337"/>
      <c r="G113" s="337"/>
      <c r="J113" s="337"/>
      <c r="M113" s="337"/>
      <c r="P113" s="337"/>
      <c r="S113" s="337"/>
      <c r="V113" s="337"/>
      <c r="Y113" s="337"/>
      <c r="AB113" s="337"/>
    </row>
    <row r="114" spans="1:28" x14ac:dyDescent="0.45">
      <c r="A114" s="337"/>
      <c r="D114" s="337"/>
      <c r="G114" s="337"/>
      <c r="J114" s="337"/>
      <c r="M114" s="337"/>
      <c r="P114" s="337"/>
      <c r="S114" s="337"/>
      <c r="V114" s="337"/>
      <c r="Y114" s="337"/>
      <c r="AB114" s="337"/>
    </row>
    <row r="115" spans="1:28" x14ac:dyDescent="0.45">
      <c r="A115" s="337"/>
      <c r="D115" s="337"/>
      <c r="G115" s="337"/>
      <c r="J115" s="337"/>
      <c r="M115" s="337"/>
      <c r="P115" s="337"/>
      <c r="S115" s="337"/>
      <c r="V115" s="337"/>
      <c r="Y115" s="337"/>
      <c r="AB115" s="337"/>
    </row>
    <row r="116" spans="1:28" x14ac:dyDescent="0.45">
      <c r="A116" s="337"/>
      <c r="D116" s="337"/>
      <c r="G116" s="337"/>
      <c r="J116" s="337"/>
      <c r="M116" s="337"/>
      <c r="P116" s="337"/>
      <c r="S116" s="337"/>
      <c r="V116" s="337"/>
      <c r="Y116" s="337"/>
      <c r="AB116" s="337"/>
    </row>
    <row r="117" spans="1:28" x14ac:dyDescent="0.45">
      <c r="A117" s="337"/>
      <c r="D117" s="337"/>
      <c r="G117" s="337"/>
      <c r="J117" s="337"/>
      <c r="M117" s="337"/>
      <c r="P117" s="337"/>
      <c r="S117" s="337"/>
      <c r="V117" s="337"/>
      <c r="Y117" s="337"/>
      <c r="AB117" s="337"/>
    </row>
    <row r="118" spans="1:28" x14ac:dyDescent="0.45">
      <c r="A118" s="337"/>
      <c r="D118" s="337"/>
      <c r="G118" s="337"/>
      <c r="J118" s="337"/>
      <c r="M118" s="337"/>
      <c r="P118" s="337"/>
      <c r="S118" s="337"/>
      <c r="V118" s="337"/>
      <c r="Y118" s="337"/>
      <c r="AB118" s="337"/>
    </row>
    <row r="119" spans="1:28" x14ac:dyDescent="0.45">
      <c r="A119" s="337"/>
      <c r="D119" s="337"/>
      <c r="G119" s="337"/>
      <c r="J119" s="337"/>
      <c r="M119" s="337"/>
      <c r="P119" s="337"/>
      <c r="S119" s="337"/>
      <c r="V119" s="337"/>
      <c r="Y119" s="337"/>
      <c r="AB119" s="337"/>
    </row>
    <row r="120" spans="1:28" x14ac:dyDescent="0.45">
      <c r="A120" s="337"/>
      <c r="D120" s="337"/>
      <c r="G120" s="337"/>
      <c r="J120" s="337"/>
      <c r="M120" s="337"/>
      <c r="P120" s="337"/>
      <c r="S120" s="337"/>
      <c r="V120" s="337"/>
      <c r="Y120" s="337"/>
      <c r="AB120" s="337"/>
    </row>
    <row r="121" spans="1:28" x14ac:dyDescent="0.45">
      <c r="A121" s="337"/>
      <c r="D121" s="337"/>
      <c r="G121" s="337"/>
      <c r="J121" s="337"/>
      <c r="M121" s="337"/>
      <c r="P121" s="337"/>
      <c r="S121" s="337"/>
      <c r="V121" s="337"/>
      <c r="Y121" s="337"/>
      <c r="AB121" s="337"/>
    </row>
    <row r="122" spans="1:28" x14ac:dyDescent="0.45">
      <c r="A122" s="337"/>
      <c r="D122" s="337"/>
      <c r="G122" s="337"/>
      <c r="J122" s="337"/>
      <c r="M122" s="337"/>
      <c r="P122" s="337"/>
      <c r="S122" s="337"/>
      <c r="V122" s="337"/>
      <c r="Y122" s="337"/>
      <c r="AB122" s="337"/>
    </row>
    <row r="123" spans="1:28" x14ac:dyDescent="0.45">
      <c r="A123" s="337"/>
      <c r="D123" s="337"/>
      <c r="G123" s="337"/>
      <c r="J123" s="337"/>
      <c r="M123" s="337"/>
      <c r="P123" s="337"/>
      <c r="S123" s="337"/>
      <c r="V123" s="337"/>
      <c r="Y123" s="337"/>
      <c r="AB123" s="337"/>
    </row>
    <row r="124" spans="1:28" x14ac:dyDescent="0.45">
      <c r="A124" s="337"/>
      <c r="D124" s="337"/>
      <c r="G124" s="337"/>
      <c r="J124" s="337"/>
      <c r="M124" s="337"/>
      <c r="P124" s="337"/>
      <c r="S124" s="337"/>
      <c r="V124" s="337"/>
      <c r="Y124" s="337"/>
      <c r="AB124" s="337"/>
    </row>
    <row r="125" spans="1:28" x14ac:dyDescent="0.45">
      <c r="A125" s="337"/>
      <c r="D125" s="337"/>
      <c r="G125" s="337"/>
      <c r="J125" s="337"/>
      <c r="M125" s="337"/>
      <c r="P125" s="337"/>
      <c r="S125" s="337"/>
      <c r="V125" s="337"/>
      <c r="Y125" s="337"/>
      <c r="AB125" s="337"/>
    </row>
    <row r="126" spans="1:28" x14ac:dyDescent="0.45">
      <c r="A126" s="337"/>
      <c r="D126" s="337"/>
      <c r="G126" s="337"/>
      <c r="J126" s="337"/>
      <c r="M126" s="337"/>
      <c r="P126" s="337"/>
      <c r="S126" s="337"/>
      <c r="V126" s="337"/>
      <c r="Y126" s="337"/>
      <c r="AB126" s="337"/>
    </row>
    <row r="127" spans="1:28" x14ac:dyDescent="0.45">
      <c r="A127" s="337"/>
      <c r="D127" s="337"/>
      <c r="G127" s="337"/>
      <c r="J127" s="337"/>
      <c r="M127" s="337"/>
      <c r="P127" s="337"/>
      <c r="S127" s="337"/>
      <c r="V127" s="337"/>
      <c r="Y127" s="337"/>
      <c r="AB127" s="337"/>
    </row>
    <row r="128" spans="1:28" x14ac:dyDescent="0.45">
      <c r="A128" s="337"/>
      <c r="D128" s="337"/>
      <c r="G128" s="337"/>
      <c r="J128" s="337"/>
      <c r="M128" s="337"/>
      <c r="P128" s="337"/>
      <c r="S128" s="337"/>
      <c r="V128" s="337"/>
      <c r="Y128" s="337"/>
      <c r="AB128" s="337"/>
    </row>
    <row r="129" spans="1:28" x14ac:dyDescent="0.45">
      <c r="A129" s="337"/>
      <c r="D129" s="337"/>
      <c r="G129" s="337"/>
      <c r="J129" s="337"/>
      <c r="M129" s="337"/>
      <c r="P129" s="337"/>
      <c r="S129" s="337"/>
      <c r="V129" s="337"/>
      <c r="Y129" s="337"/>
      <c r="AB129" s="337"/>
    </row>
    <row r="130" spans="1:28" x14ac:dyDescent="0.45">
      <c r="A130" s="337"/>
      <c r="D130" s="337"/>
      <c r="G130" s="337"/>
      <c r="J130" s="337"/>
      <c r="M130" s="337"/>
      <c r="P130" s="337"/>
      <c r="S130" s="337"/>
      <c r="V130" s="337"/>
      <c r="Y130" s="337"/>
      <c r="AB130" s="337"/>
    </row>
    <row r="131" spans="1:28" x14ac:dyDescent="0.45">
      <c r="A131" s="337"/>
      <c r="D131" s="337"/>
      <c r="G131" s="337"/>
      <c r="J131" s="337"/>
      <c r="M131" s="337"/>
      <c r="P131" s="337"/>
      <c r="S131" s="337"/>
      <c r="V131" s="337"/>
      <c r="Y131" s="337"/>
      <c r="AB131" s="337"/>
    </row>
    <row r="132" spans="1:28" x14ac:dyDescent="0.45">
      <c r="A132" s="337"/>
      <c r="D132" s="337"/>
      <c r="G132" s="337"/>
      <c r="J132" s="337"/>
      <c r="M132" s="337"/>
      <c r="P132" s="337"/>
      <c r="S132" s="337"/>
      <c r="V132" s="337"/>
      <c r="Y132" s="337"/>
      <c r="AB132" s="337"/>
    </row>
    <row r="133" spans="1:28" x14ac:dyDescent="0.45">
      <c r="A133" s="337"/>
      <c r="D133" s="337"/>
      <c r="G133" s="337"/>
      <c r="J133" s="337"/>
      <c r="M133" s="337"/>
      <c r="P133" s="337"/>
      <c r="S133" s="337"/>
      <c r="V133" s="337"/>
      <c r="Y133" s="337"/>
      <c r="AB133" s="337"/>
    </row>
    <row r="134" spans="1:28" x14ac:dyDescent="0.45">
      <c r="A134" s="337"/>
      <c r="D134" s="337"/>
      <c r="G134" s="337"/>
      <c r="J134" s="337"/>
      <c r="M134" s="337"/>
      <c r="P134" s="337"/>
      <c r="S134" s="337"/>
      <c r="V134" s="337"/>
      <c r="Y134" s="337"/>
      <c r="AB134" s="337"/>
    </row>
    <row r="135" spans="1:28" x14ac:dyDescent="0.45">
      <c r="A135" s="337"/>
      <c r="D135" s="337"/>
      <c r="G135" s="337"/>
      <c r="J135" s="337"/>
      <c r="M135" s="337"/>
      <c r="P135" s="337"/>
      <c r="S135" s="337"/>
      <c r="V135" s="337"/>
      <c r="Y135" s="337"/>
      <c r="AB135" s="337"/>
    </row>
    <row r="136" spans="1:28" x14ac:dyDescent="0.45">
      <c r="A136" s="337"/>
      <c r="D136" s="337"/>
      <c r="G136" s="337"/>
      <c r="J136" s="337"/>
      <c r="M136" s="337"/>
      <c r="P136" s="337"/>
      <c r="S136" s="337"/>
      <c r="V136" s="337"/>
      <c r="Y136" s="337"/>
      <c r="AB136" s="337"/>
    </row>
    <row r="137" spans="1:28" x14ac:dyDescent="0.45">
      <c r="A137" s="337"/>
      <c r="D137" s="337"/>
      <c r="G137" s="337"/>
      <c r="J137" s="337"/>
      <c r="M137" s="337"/>
      <c r="P137" s="337"/>
      <c r="S137" s="337"/>
      <c r="V137" s="337"/>
      <c r="Y137" s="337"/>
      <c r="AB137" s="337"/>
    </row>
    <row r="138" spans="1:28" x14ac:dyDescent="0.45">
      <c r="A138" s="337"/>
      <c r="D138" s="337"/>
      <c r="G138" s="337"/>
      <c r="J138" s="337"/>
      <c r="M138" s="337"/>
      <c r="P138" s="337"/>
      <c r="S138" s="337"/>
      <c r="V138" s="337"/>
      <c r="Y138" s="337"/>
      <c r="AB138" s="337"/>
    </row>
    <row r="139" spans="1:28" x14ac:dyDescent="0.45">
      <c r="A139" s="337"/>
      <c r="D139" s="337"/>
      <c r="G139" s="337"/>
      <c r="J139" s="337"/>
      <c r="M139" s="337"/>
      <c r="P139" s="337"/>
      <c r="S139" s="337"/>
      <c r="V139" s="337"/>
      <c r="Y139" s="337"/>
      <c r="AB139" s="337"/>
    </row>
    <row r="140" spans="1:28" x14ac:dyDescent="0.45">
      <c r="A140" s="337"/>
      <c r="D140" s="337"/>
      <c r="G140" s="337"/>
      <c r="J140" s="337"/>
      <c r="M140" s="337"/>
      <c r="P140" s="337"/>
      <c r="S140" s="337"/>
      <c r="V140" s="337"/>
      <c r="Y140" s="337"/>
      <c r="AB140" s="337"/>
    </row>
    <row r="141" spans="1:28" x14ac:dyDescent="0.45">
      <c r="A141" s="337"/>
      <c r="D141" s="337"/>
      <c r="G141" s="337"/>
      <c r="J141" s="337"/>
      <c r="M141" s="337"/>
      <c r="P141" s="337"/>
      <c r="S141" s="337"/>
      <c r="V141" s="337"/>
      <c r="Y141" s="337"/>
      <c r="AB141" s="337"/>
    </row>
    <row r="142" spans="1:28" x14ac:dyDescent="0.45">
      <c r="A142" s="337"/>
      <c r="D142" s="337"/>
      <c r="G142" s="337"/>
      <c r="J142" s="337"/>
      <c r="M142" s="337"/>
      <c r="P142" s="337"/>
      <c r="S142" s="337"/>
      <c r="V142" s="337"/>
      <c r="Y142" s="337"/>
      <c r="AB142" s="337"/>
    </row>
    <row r="143" spans="1:28" x14ac:dyDescent="0.45">
      <c r="A143" s="337"/>
      <c r="D143" s="337"/>
      <c r="G143" s="337"/>
      <c r="J143" s="337"/>
      <c r="M143" s="337"/>
      <c r="P143" s="337"/>
      <c r="S143" s="337"/>
      <c r="V143" s="337"/>
      <c r="Y143" s="337"/>
      <c r="AB143" s="337"/>
    </row>
    <row r="144" spans="1:28" x14ac:dyDescent="0.45">
      <c r="A144" s="337"/>
      <c r="D144" s="337"/>
      <c r="G144" s="337"/>
      <c r="J144" s="337"/>
      <c r="M144" s="337"/>
      <c r="P144" s="337"/>
      <c r="S144" s="337"/>
      <c r="V144" s="337"/>
      <c r="Y144" s="337"/>
      <c r="AB144" s="337"/>
    </row>
    <row r="145" spans="1:28" x14ac:dyDescent="0.45">
      <c r="A145" s="337"/>
      <c r="D145" s="337"/>
      <c r="G145" s="337"/>
      <c r="J145" s="337"/>
      <c r="M145" s="337"/>
      <c r="P145" s="337"/>
      <c r="S145" s="337"/>
      <c r="V145" s="337"/>
      <c r="Y145" s="337"/>
      <c r="AB145" s="337"/>
    </row>
    <row r="146" spans="1:28" x14ac:dyDescent="0.45">
      <c r="A146" s="337"/>
      <c r="D146" s="337"/>
      <c r="G146" s="337"/>
      <c r="J146" s="337"/>
      <c r="M146" s="337"/>
      <c r="P146" s="337"/>
      <c r="S146" s="337"/>
      <c r="V146" s="337"/>
      <c r="Y146" s="337"/>
      <c r="AB146" s="337"/>
    </row>
    <row r="147" spans="1:28" x14ac:dyDescent="0.45">
      <c r="A147" s="337"/>
      <c r="D147" s="337"/>
      <c r="G147" s="337"/>
      <c r="J147" s="337"/>
      <c r="M147" s="337"/>
      <c r="P147" s="337"/>
      <c r="S147" s="337"/>
      <c r="V147" s="337"/>
      <c r="Y147" s="337"/>
      <c r="AB147" s="337"/>
    </row>
    <row r="148" spans="1:28" x14ac:dyDescent="0.45">
      <c r="A148" s="337"/>
      <c r="D148" s="337"/>
      <c r="G148" s="337"/>
      <c r="J148" s="337"/>
      <c r="M148" s="337"/>
      <c r="P148" s="337"/>
      <c r="S148" s="337"/>
      <c r="V148" s="337"/>
      <c r="Y148" s="337"/>
      <c r="AB148" s="337"/>
    </row>
    <row r="149" spans="1:28" x14ac:dyDescent="0.45">
      <c r="A149" s="337"/>
      <c r="D149" s="337"/>
      <c r="G149" s="337"/>
      <c r="J149" s="337"/>
      <c r="M149" s="337"/>
      <c r="P149" s="337"/>
      <c r="S149" s="337"/>
      <c r="V149" s="337"/>
      <c r="Y149" s="337"/>
      <c r="AB149" s="337"/>
    </row>
    <row r="150" spans="1:28" x14ac:dyDescent="0.45">
      <c r="A150" s="337"/>
      <c r="D150" s="337"/>
      <c r="G150" s="337"/>
      <c r="J150" s="337"/>
      <c r="M150" s="337"/>
      <c r="P150" s="337"/>
      <c r="S150" s="337"/>
      <c r="V150" s="337"/>
      <c r="Y150" s="337"/>
      <c r="AB150" s="337"/>
    </row>
    <row r="151" spans="1:28" x14ac:dyDescent="0.45">
      <c r="A151" s="337"/>
      <c r="D151" s="337"/>
      <c r="G151" s="337"/>
      <c r="J151" s="337"/>
      <c r="M151" s="337"/>
      <c r="P151" s="337"/>
      <c r="S151" s="337"/>
      <c r="V151" s="337"/>
      <c r="Y151" s="337"/>
      <c r="AB151" s="337"/>
    </row>
    <row r="152" spans="1:28" x14ac:dyDescent="0.45">
      <c r="A152" s="337"/>
      <c r="D152" s="337"/>
      <c r="G152" s="337"/>
      <c r="J152" s="337"/>
      <c r="M152" s="337"/>
      <c r="P152" s="337"/>
      <c r="S152" s="337"/>
      <c r="V152" s="337"/>
      <c r="Y152" s="337"/>
      <c r="AB152" s="337"/>
    </row>
    <row r="153" spans="1:28" x14ac:dyDescent="0.45">
      <c r="A153" s="337"/>
      <c r="D153" s="337"/>
      <c r="G153" s="337"/>
      <c r="J153" s="337"/>
      <c r="M153" s="337"/>
      <c r="P153" s="337"/>
      <c r="S153" s="337"/>
      <c r="V153" s="337"/>
      <c r="Y153" s="337"/>
      <c r="AB153" s="337"/>
    </row>
    <row r="154" spans="1:28" x14ac:dyDescent="0.45">
      <c r="A154" s="337"/>
      <c r="D154" s="337"/>
      <c r="G154" s="337"/>
      <c r="J154" s="337"/>
      <c r="M154" s="337"/>
      <c r="P154" s="337"/>
      <c r="S154" s="337"/>
      <c r="V154" s="337"/>
      <c r="Y154" s="337"/>
      <c r="AB154" s="337"/>
    </row>
    <row r="155" spans="1:28" x14ac:dyDescent="0.45">
      <c r="A155" s="337"/>
      <c r="D155" s="337"/>
      <c r="G155" s="337"/>
      <c r="J155" s="337"/>
      <c r="M155" s="337"/>
      <c r="P155" s="337"/>
      <c r="S155" s="337"/>
      <c r="V155" s="337"/>
      <c r="Y155" s="337"/>
      <c r="AB155" s="337"/>
    </row>
    <row r="156" spans="1:28" x14ac:dyDescent="0.45">
      <c r="A156" s="337"/>
      <c r="D156" s="337"/>
      <c r="G156" s="337"/>
      <c r="J156" s="337"/>
      <c r="M156" s="337"/>
      <c r="P156" s="337"/>
      <c r="S156" s="337"/>
      <c r="V156" s="337"/>
      <c r="Y156" s="337"/>
      <c r="AB156" s="337"/>
    </row>
    <row r="157" spans="1:28" x14ac:dyDescent="0.45">
      <c r="A157" s="337"/>
      <c r="D157" s="337"/>
      <c r="G157" s="337"/>
      <c r="J157" s="337"/>
      <c r="M157" s="337"/>
      <c r="P157" s="337"/>
      <c r="S157" s="337"/>
      <c r="V157" s="337"/>
      <c r="Y157" s="337"/>
      <c r="AB157" s="337"/>
    </row>
    <row r="158" spans="1:28" x14ac:dyDescent="0.45">
      <c r="A158" s="337"/>
      <c r="D158" s="337"/>
      <c r="G158" s="337"/>
      <c r="J158" s="337"/>
      <c r="M158" s="337"/>
      <c r="P158" s="337"/>
      <c r="S158" s="337"/>
      <c r="V158" s="337"/>
      <c r="Y158" s="337"/>
      <c r="AB158" s="337"/>
    </row>
    <row r="159" spans="1:28" x14ac:dyDescent="0.45">
      <c r="A159" s="337"/>
      <c r="D159" s="337"/>
      <c r="G159" s="337"/>
      <c r="J159" s="337"/>
      <c r="M159" s="337"/>
      <c r="P159" s="337"/>
      <c r="S159" s="337"/>
      <c r="V159" s="337"/>
      <c r="Y159" s="337"/>
      <c r="AB159" s="337"/>
    </row>
    <row r="160" spans="1:28" x14ac:dyDescent="0.45">
      <c r="A160" s="337"/>
      <c r="D160" s="337"/>
      <c r="G160" s="337"/>
      <c r="J160" s="337"/>
      <c r="M160" s="337"/>
      <c r="P160" s="337"/>
      <c r="S160" s="337"/>
      <c r="V160" s="337"/>
      <c r="Y160" s="337"/>
      <c r="AB160" s="337"/>
    </row>
    <row r="161" spans="1:28" x14ac:dyDescent="0.45">
      <c r="A161" s="337"/>
      <c r="D161" s="337"/>
      <c r="G161" s="337"/>
      <c r="J161" s="337"/>
      <c r="M161" s="337"/>
      <c r="P161" s="337"/>
      <c r="S161" s="337"/>
      <c r="V161" s="337"/>
      <c r="Y161" s="337"/>
      <c r="AB161" s="337"/>
    </row>
    <row r="162" spans="1:28" x14ac:dyDescent="0.45">
      <c r="A162" s="337"/>
      <c r="D162" s="337"/>
      <c r="G162" s="337"/>
      <c r="J162" s="337"/>
      <c r="M162" s="337"/>
      <c r="P162" s="337"/>
      <c r="S162" s="337"/>
      <c r="V162" s="337"/>
      <c r="Y162" s="337"/>
      <c r="AB162" s="337"/>
    </row>
    <row r="163" spans="1:28" x14ac:dyDescent="0.45">
      <c r="A163" s="337"/>
      <c r="D163" s="337"/>
      <c r="G163" s="337"/>
      <c r="J163" s="337"/>
      <c r="M163" s="337"/>
      <c r="P163" s="337"/>
      <c r="S163" s="337"/>
      <c r="V163" s="337"/>
      <c r="Y163" s="337"/>
      <c r="AB163" s="337"/>
    </row>
    <row r="164" spans="1:28" x14ac:dyDescent="0.45">
      <c r="A164" s="337"/>
      <c r="D164" s="337"/>
      <c r="G164" s="337"/>
      <c r="J164" s="337"/>
      <c r="M164" s="337"/>
      <c r="P164" s="337"/>
      <c r="S164" s="337"/>
      <c r="V164" s="337"/>
      <c r="Y164" s="337"/>
      <c r="AB164" s="337"/>
    </row>
    <row r="165" spans="1:28" x14ac:dyDescent="0.45">
      <c r="A165" s="337"/>
      <c r="D165" s="337"/>
      <c r="G165" s="337"/>
      <c r="J165" s="337"/>
      <c r="M165" s="337"/>
      <c r="P165" s="337"/>
      <c r="S165" s="337"/>
      <c r="V165" s="337"/>
      <c r="Y165" s="337"/>
      <c r="AB165" s="337"/>
    </row>
    <row r="166" spans="1:28" x14ac:dyDescent="0.45">
      <c r="A166" s="337"/>
      <c r="D166" s="337"/>
      <c r="G166" s="337"/>
      <c r="J166" s="337"/>
      <c r="M166" s="337"/>
      <c r="P166" s="337"/>
      <c r="S166" s="337"/>
      <c r="V166" s="337"/>
      <c r="Y166" s="337"/>
      <c r="AB166" s="337"/>
    </row>
    <row r="167" spans="1:28" x14ac:dyDescent="0.45">
      <c r="A167" s="337"/>
      <c r="D167" s="337"/>
      <c r="G167" s="337"/>
      <c r="J167" s="337"/>
      <c r="M167" s="337"/>
      <c r="P167" s="337"/>
      <c r="S167" s="337"/>
      <c r="V167" s="337"/>
      <c r="Y167" s="337"/>
      <c r="AB167" s="337"/>
    </row>
    <row r="168" spans="1:28" x14ac:dyDescent="0.45">
      <c r="A168" s="337"/>
      <c r="D168" s="337"/>
      <c r="G168" s="337"/>
      <c r="J168" s="337"/>
      <c r="M168" s="337"/>
      <c r="P168" s="337"/>
      <c r="S168" s="337"/>
      <c r="V168" s="337"/>
      <c r="Y168" s="337"/>
      <c r="AB168" s="337"/>
    </row>
    <row r="169" spans="1:28" x14ac:dyDescent="0.45">
      <c r="A169" s="337"/>
      <c r="D169" s="337"/>
      <c r="G169" s="337"/>
      <c r="J169" s="337"/>
      <c r="M169" s="337"/>
      <c r="P169" s="337"/>
      <c r="S169" s="337"/>
      <c r="V169" s="337"/>
      <c r="Y169" s="337"/>
      <c r="AB169" s="337"/>
    </row>
    <row r="170" spans="1:28" x14ac:dyDescent="0.45">
      <c r="A170" s="337"/>
      <c r="D170" s="337"/>
      <c r="G170" s="337"/>
      <c r="J170" s="337"/>
      <c r="M170" s="337"/>
      <c r="P170" s="337"/>
      <c r="S170" s="337"/>
      <c r="V170" s="337"/>
      <c r="Y170" s="337"/>
      <c r="AB170" s="337"/>
    </row>
    <row r="171" spans="1:28" x14ac:dyDescent="0.45">
      <c r="A171" s="337"/>
      <c r="D171" s="337"/>
      <c r="G171" s="337"/>
      <c r="J171" s="337"/>
      <c r="M171" s="337"/>
      <c r="P171" s="337"/>
      <c r="S171" s="337"/>
      <c r="V171" s="337"/>
      <c r="Y171" s="337"/>
      <c r="AB171" s="337"/>
    </row>
    <row r="172" spans="1:28" x14ac:dyDescent="0.45">
      <c r="A172" s="337"/>
      <c r="D172" s="337"/>
      <c r="G172" s="337"/>
      <c r="J172" s="337"/>
      <c r="M172" s="337"/>
      <c r="P172" s="337"/>
      <c r="S172" s="337"/>
      <c r="V172" s="337"/>
      <c r="Y172" s="337"/>
      <c r="AB172" s="337"/>
    </row>
    <row r="173" spans="1:28" x14ac:dyDescent="0.45">
      <c r="A173" s="337"/>
      <c r="D173" s="337"/>
      <c r="G173" s="337"/>
      <c r="J173" s="337"/>
      <c r="M173" s="337"/>
      <c r="P173" s="337"/>
      <c r="S173" s="337"/>
      <c r="V173" s="337"/>
      <c r="Y173" s="337"/>
      <c r="AB173" s="337"/>
    </row>
    <row r="174" spans="1:28" x14ac:dyDescent="0.45">
      <c r="A174" s="337"/>
      <c r="D174" s="337"/>
      <c r="G174" s="337"/>
      <c r="J174" s="337"/>
      <c r="M174" s="337"/>
      <c r="P174" s="337"/>
      <c r="S174" s="337"/>
      <c r="V174" s="337"/>
      <c r="Y174" s="337"/>
      <c r="AB174" s="337"/>
    </row>
    <row r="175" spans="1:28" x14ac:dyDescent="0.45">
      <c r="A175" s="337"/>
      <c r="D175" s="337"/>
      <c r="G175" s="337"/>
      <c r="J175" s="337"/>
      <c r="M175" s="337"/>
      <c r="P175" s="337"/>
      <c r="S175" s="337"/>
      <c r="V175" s="337"/>
      <c r="Y175" s="337"/>
      <c r="AB175" s="337"/>
    </row>
    <row r="176" spans="1:28" x14ac:dyDescent="0.45">
      <c r="A176" s="337"/>
      <c r="D176" s="337"/>
      <c r="G176" s="337"/>
      <c r="J176" s="337"/>
      <c r="M176" s="337"/>
      <c r="P176" s="337"/>
      <c r="S176" s="337"/>
      <c r="V176" s="337"/>
      <c r="Y176" s="337"/>
      <c r="AB176" s="337"/>
    </row>
    <row r="177" spans="1:28" x14ac:dyDescent="0.45">
      <c r="A177" s="337"/>
      <c r="D177" s="337"/>
      <c r="G177" s="337"/>
      <c r="J177" s="337"/>
      <c r="M177" s="337"/>
      <c r="P177" s="337"/>
      <c r="S177" s="337"/>
      <c r="V177" s="337"/>
      <c r="Y177" s="337"/>
      <c r="AB177" s="337"/>
    </row>
    <row r="178" spans="1:28" x14ac:dyDescent="0.45">
      <c r="A178" s="337"/>
      <c r="D178" s="337"/>
      <c r="G178" s="337"/>
      <c r="J178" s="337"/>
      <c r="M178" s="337"/>
      <c r="P178" s="337"/>
      <c r="S178" s="337"/>
      <c r="V178" s="337"/>
      <c r="Y178" s="337"/>
      <c r="AB178" s="337"/>
    </row>
    <row r="179" spans="1:28" x14ac:dyDescent="0.45">
      <c r="A179" s="337"/>
      <c r="D179" s="337"/>
      <c r="G179" s="337"/>
      <c r="J179" s="337"/>
      <c r="M179" s="337"/>
      <c r="P179" s="337"/>
      <c r="S179" s="337"/>
      <c r="V179" s="337"/>
      <c r="Y179" s="337"/>
      <c r="AB179" s="337"/>
    </row>
    <row r="180" spans="1:28" x14ac:dyDescent="0.45">
      <c r="A180" s="337"/>
      <c r="D180" s="337"/>
      <c r="G180" s="337"/>
      <c r="J180" s="337"/>
      <c r="M180" s="337"/>
      <c r="P180" s="337"/>
      <c r="S180" s="337"/>
      <c r="V180" s="337"/>
      <c r="Y180" s="337"/>
      <c r="AB180" s="337"/>
    </row>
    <row r="181" spans="1:28" x14ac:dyDescent="0.45">
      <c r="A181" s="337"/>
      <c r="D181" s="337"/>
      <c r="G181" s="337"/>
      <c r="J181" s="337"/>
      <c r="M181" s="337"/>
      <c r="P181" s="337"/>
      <c r="S181" s="337"/>
      <c r="V181" s="337"/>
      <c r="Y181" s="337"/>
      <c r="AB181" s="337"/>
    </row>
    <row r="182" spans="1:28" x14ac:dyDescent="0.45">
      <c r="A182" s="337"/>
      <c r="D182" s="337"/>
      <c r="G182" s="337"/>
      <c r="J182" s="337"/>
      <c r="M182" s="337"/>
      <c r="P182" s="337"/>
      <c r="S182" s="337"/>
      <c r="V182" s="337"/>
      <c r="Y182" s="337"/>
      <c r="AB182" s="337"/>
    </row>
    <row r="183" spans="1:28" x14ac:dyDescent="0.45">
      <c r="A183" s="337"/>
      <c r="D183" s="337"/>
      <c r="G183" s="337"/>
      <c r="J183" s="337"/>
      <c r="M183" s="337"/>
      <c r="P183" s="337"/>
      <c r="S183" s="337"/>
      <c r="V183" s="337"/>
      <c r="Y183" s="337"/>
      <c r="AB183" s="337"/>
    </row>
    <row r="184" spans="1:28" x14ac:dyDescent="0.45">
      <c r="A184" s="337"/>
      <c r="D184" s="337"/>
      <c r="G184" s="337"/>
      <c r="J184" s="337"/>
      <c r="M184" s="337"/>
      <c r="P184" s="337"/>
      <c r="S184" s="337"/>
      <c r="V184" s="337"/>
      <c r="Y184" s="337"/>
      <c r="AB184" s="337"/>
    </row>
    <row r="185" spans="1:28" x14ac:dyDescent="0.45">
      <c r="A185" s="337"/>
      <c r="D185" s="337"/>
      <c r="G185" s="337"/>
      <c r="J185" s="337"/>
      <c r="M185" s="337"/>
      <c r="P185" s="337"/>
      <c r="S185" s="337"/>
      <c r="V185" s="337"/>
      <c r="Y185" s="337"/>
      <c r="AB185" s="337"/>
    </row>
    <row r="186" spans="1:28" x14ac:dyDescent="0.45">
      <c r="A186" s="337"/>
      <c r="D186" s="337"/>
      <c r="G186" s="337"/>
      <c r="J186" s="337"/>
      <c r="M186" s="337"/>
      <c r="P186" s="337"/>
      <c r="S186" s="337"/>
      <c r="V186" s="337"/>
      <c r="Y186" s="337"/>
      <c r="AB186" s="337"/>
    </row>
    <row r="187" spans="1:28" x14ac:dyDescent="0.45">
      <c r="A187" s="337"/>
      <c r="D187" s="337"/>
      <c r="G187" s="337"/>
      <c r="J187" s="337"/>
      <c r="M187" s="337"/>
      <c r="P187" s="337"/>
      <c r="S187" s="337"/>
      <c r="V187" s="337"/>
      <c r="Y187" s="337"/>
      <c r="AB187" s="337"/>
    </row>
    <row r="188" spans="1:28" x14ac:dyDescent="0.45">
      <c r="A188" s="337"/>
      <c r="D188" s="337"/>
      <c r="G188" s="337"/>
      <c r="J188" s="337"/>
      <c r="M188" s="337"/>
      <c r="P188" s="337"/>
      <c r="S188" s="337"/>
      <c r="V188" s="337"/>
      <c r="Y188" s="337"/>
      <c r="AB188" s="337"/>
    </row>
    <row r="189" spans="1:28" x14ac:dyDescent="0.45">
      <c r="A189" s="337"/>
      <c r="D189" s="337"/>
      <c r="G189" s="337"/>
      <c r="J189" s="337"/>
      <c r="M189" s="337"/>
      <c r="P189" s="337"/>
      <c r="S189" s="337"/>
      <c r="V189" s="337"/>
      <c r="Y189" s="337"/>
      <c r="AB189" s="337"/>
    </row>
    <row r="190" spans="1:28" x14ac:dyDescent="0.45">
      <c r="A190" s="337"/>
      <c r="D190" s="337"/>
      <c r="G190" s="337"/>
      <c r="J190" s="337"/>
      <c r="M190" s="337"/>
      <c r="P190" s="337"/>
      <c r="S190" s="337"/>
      <c r="V190" s="337"/>
      <c r="Y190" s="337"/>
      <c r="AB190" s="337"/>
    </row>
    <row r="191" spans="1:28" x14ac:dyDescent="0.45">
      <c r="A191" s="337"/>
      <c r="D191" s="337"/>
      <c r="G191" s="337"/>
      <c r="J191" s="337"/>
      <c r="M191" s="337"/>
      <c r="P191" s="337"/>
      <c r="S191" s="337"/>
      <c r="V191" s="337"/>
      <c r="Y191" s="337"/>
      <c r="AB191" s="337"/>
    </row>
    <row r="192" spans="1:28" x14ac:dyDescent="0.45">
      <c r="A192" s="337"/>
      <c r="D192" s="337"/>
      <c r="G192" s="337"/>
      <c r="J192" s="337"/>
      <c r="M192" s="337"/>
      <c r="P192" s="337"/>
      <c r="S192" s="337"/>
      <c r="V192" s="337"/>
      <c r="Y192" s="337"/>
      <c r="AB192" s="337"/>
    </row>
    <row r="193" spans="1:28" x14ac:dyDescent="0.45">
      <c r="A193" s="337"/>
      <c r="D193" s="337"/>
      <c r="G193" s="337"/>
      <c r="J193" s="337"/>
      <c r="M193" s="337"/>
      <c r="P193" s="337"/>
      <c r="S193" s="337"/>
      <c r="V193" s="337"/>
      <c r="Y193" s="337"/>
      <c r="AB193" s="337"/>
    </row>
    <row r="194" spans="1:28" x14ac:dyDescent="0.45">
      <c r="A194" s="337"/>
      <c r="D194" s="337"/>
      <c r="G194" s="337"/>
      <c r="J194" s="337"/>
      <c r="M194" s="337"/>
      <c r="P194" s="337"/>
      <c r="S194" s="337"/>
      <c r="V194" s="337"/>
      <c r="Y194" s="337"/>
      <c r="AB194" s="337"/>
    </row>
    <row r="195" spans="1:28" x14ac:dyDescent="0.45">
      <c r="A195" s="337"/>
      <c r="D195" s="337"/>
      <c r="G195" s="337"/>
      <c r="J195" s="337"/>
      <c r="M195" s="337"/>
      <c r="P195" s="337"/>
      <c r="S195" s="337"/>
      <c r="V195" s="337"/>
      <c r="Y195" s="337"/>
      <c r="AB195" s="337"/>
    </row>
    <row r="196" spans="1:28" x14ac:dyDescent="0.45">
      <c r="A196" s="337"/>
      <c r="D196" s="337"/>
      <c r="G196" s="337"/>
      <c r="J196" s="337"/>
      <c r="M196" s="337"/>
      <c r="P196" s="337"/>
      <c r="S196" s="337"/>
      <c r="V196" s="337"/>
      <c r="Y196" s="337"/>
      <c r="AB196" s="337"/>
    </row>
    <row r="197" spans="1:28" x14ac:dyDescent="0.45">
      <c r="A197" s="337"/>
      <c r="D197" s="337"/>
      <c r="G197" s="337"/>
      <c r="J197" s="337"/>
      <c r="M197" s="337"/>
      <c r="P197" s="337"/>
      <c r="S197" s="337"/>
      <c r="V197" s="337"/>
      <c r="Y197" s="337"/>
      <c r="AB197" s="337"/>
    </row>
    <row r="198" spans="1:28" x14ac:dyDescent="0.45">
      <c r="A198" s="337"/>
      <c r="D198" s="337"/>
      <c r="G198" s="337"/>
      <c r="J198" s="337"/>
      <c r="M198" s="337"/>
      <c r="P198" s="337"/>
      <c r="S198" s="337"/>
      <c r="V198" s="337"/>
      <c r="Y198" s="337"/>
      <c r="AB198" s="337"/>
    </row>
    <row r="199" spans="1:28" x14ac:dyDescent="0.45">
      <c r="A199" s="337"/>
      <c r="D199" s="337"/>
      <c r="G199" s="337"/>
      <c r="J199" s="337"/>
      <c r="M199" s="337"/>
      <c r="P199" s="337"/>
      <c r="S199" s="337"/>
      <c r="V199" s="337"/>
      <c r="Y199" s="337"/>
      <c r="AB199" s="337"/>
    </row>
    <row r="200" spans="1:28" x14ac:dyDescent="0.45">
      <c r="A200" s="337"/>
      <c r="D200" s="337"/>
      <c r="G200" s="337"/>
      <c r="J200" s="337"/>
      <c r="M200" s="337"/>
      <c r="P200" s="337"/>
      <c r="S200" s="337"/>
      <c r="V200" s="337"/>
      <c r="Y200" s="337"/>
      <c r="AB200" s="337"/>
    </row>
    <row r="201" spans="1:28" x14ac:dyDescent="0.45">
      <c r="A201" s="337"/>
      <c r="D201" s="337"/>
      <c r="G201" s="337"/>
      <c r="J201" s="337"/>
      <c r="M201" s="337"/>
      <c r="P201" s="337"/>
      <c r="S201" s="337"/>
      <c r="V201" s="337"/>
      <c r="Y201" s="337"/>
      <c r="AB201" s="337"/>
    </row>
    <row r="202" spans="1:28" x14ac:dyDescent="0.45">
      <c r="A202" s="337"/>
      <c r="D202" s="337"/>
      <c r="G202" s="337"/>
      <c r="J202" s="337"/>
      <c r="M202" s="337"/>
      <c r="P202" s="337"/>
      <c r="S202" s="337"/>
      <c r="V202" s="337"/>
      <c r="Y202" s="337"/>
      <c r="AB202" s="337"/>
    </row>
    <row r="203" spans="1:28" x14ac:dyDescent="0.45">
      <c r="A203" s="337"/>
      <c r="D203" s="337"/>
      <c r="G203" s="337"/>
      <c r="J203" s="337"/>
      <c r="M203" s="337"/>
      <c r="P203" s="337"/>
      <c r="S203" s="337"/>
      <c r="V203" s="337"/>
      <c r="Y203" s="337"/>
      <c r="AB203" s="337"/>
    </row>
    <row r="204" spans="1:28" x14ac:dyDescent="0.45">
      <c r="A204" s="337"/>
      <c r="D204" s="337"/>
      <c r="G204" s="337"/>
      <c r="J204" s="337"/>
      <c r="M204" s="337"/>
      <c r="P204" s="337"/>
      <c r="S204" s="337"/>
      <c r="V204" s="337"/>
      <c r="Y204" s="337"/>
      <c r="AB204" s="337"/>
    </row>
    <row r="205" spans="1:28" x14ac:dyDescent="0.45">
      <c r="A205" s="337"/>
      <c r="D205" s="337"/>
      <c r="G205" s="337"/>
      <c r="J205" s="337"/>
      <c r="M205" s="337"/>
      <c r="P205" s="337"/>
      <c r="S205" s="337"/>
      <c r="V205" s="337"/>
      <c r="Y205" s="337"/>
      <c r="AB205" s="337"/>
    </row>
    <row r="206" spans="1:28" x14ac:dyDescent="0.45">
      <c r="A206" s="337"/>
      <c r="D206" s="337"/>
      <c r="G206" s="337"/>
      <c r="J206" s="337"/>
      <c r="M206" s="337"/>
      <c r="P206" s="337"/>
      <c r="S206" s="337"/>
      <c r="V206" s="337"/>
      <c r="Y206" s="337"/>
      <c r="AB206" s="337"/>
    </row>
    <row r="207" spans="1:28" x14ac:dyDescent="0.45">
      <c r="A207" s="337"/>
      <c r="D207" s="337"/>
      <c r="G207" s="337"/>
      <c r="J207" s="337"/>
      <c r="M207" s="337"/>
      <c r="P207" s="337"/>
      <c r="S207" s="337"/>
      <c r="V207" s="337"/>
      <c r="Y207" s="337"/>
      <c r="AB207" s="337"/>
    </row>
    <row r="208" spans="1:28" x14ac:dyDescent="0.45">
      <c r="A208" s="337"/>
      <c r="D208" s="337"/>
      <c r="G208" s="337"/>
      <c r="J208" s="337"/>
      <c r="M208" s="337"/>
      <c r="P208" s="337"/>
      <c r="S208" s="337"/>
      <c r="V208" s="337"/>
      <c r="Y208" s="337"/>
      <c r="AB208" s="337"/>
    </row>
    <row r="209" spans="1:28" x14ac:dyDescent="0.45">
      <c r="A209" s="337"/>
      <c r="D209" s="337"/>
      <c r="G209" s="337"/>
      <c r="J209" s="337"/>
      <c r="M209" s="337"/>
      <c r="P209" s="337"/>
      <c r="S209" s="337"/>
      <c r="V209" s="337"/>
      <c r="Y209" s="337"/>
      <c r="AB209" s="337"/>
    </row>
    <row r="210" spans="1:28" x14ac:dyDescent="0.45">
      <c r="A210" s="337"/>
      <c r="D210" s="337"/>
      <c r="G210" s="337"/>
      <c r="J210" s="337"/>
      <c r="M210" s="337"/>
      <c r="P210" s="337"/>
      <c r="S210" s="337"/>
      <c r="V210" s="337"/>
      <c r="Y210" s="337"/>
      <c r="AB210" s="337"/>
    </row>
    <row r="211" spans="1:28" x14ac:dyDescent="0.45">
      <c r="A211" s="337"/>
      <c r="D211" s="337"/>
      <c r="G211" s="337"/>
      <c r="J211" s="337"/>
      <c r="M211" s="337"/>
      <c r="P211" s="337"/>
      <c r="S211" s="337"/>
      <c r="V211" s="337"/>
      <c r="Y211" s="337"/>
      <c r="AB211" s="337"/>
    </row>
    <row r="212" spans="1:28" x14ac:dyDescent="0.45">
      <c r="A212" s="337"/>
      <c r="D212" s="337"/>
      <c r="G212" s="337"/>
      <c r="J212" s="337"/>
      <c r="M212" s="337"/>
      <c r="P212" s="337"/>
      <c r="S212" s="337"/>
      <c r="V212" s="337"/>
      <c r="Y212" s="337"/>
      <c r="AB212" s="337"/>
    </row>
    <row r="213" spans="1:28" x14ac:dyDescent="0.45">
      <c r="A213" s="337"/>
      <c r="D213" s="337"/>
      <c r="G213" s="337"/>
      <c r="J213" s="337"/>
      <c r="M213" s="337"/>
      <c r="P213" s="337"/>
      <c r="S213" s="337"/>
      <c r="V213" s="337"/>
      <c r="Y213" s="337"/>
      <c r="AB213" s="337"/>
    </row>
    <row r="214" spans="1:28" x14ac:dyDescent="0.45">
      <c r="A214" s="337"/>
      <c r="D214" s="337"/>
      <c r="G214" s="337"/>
      <c r="J214" s="337"/>
      <c r="M214" s="337"/>
      <c r="P214" s="337"/>
      <c r="S214" s="337"/>
      <c r="V214" s="337"/>
      <c r="Y214" s="337"/>
      <c r="AB214" s="337"/>
    </row>
    <row r="215" spans="1:28" x14ac:dyDescent="0.45">
      <c r="A215" s="337"/>
      <c r="D215" s="337"/>
      <c r="G215" s="337"/>
      <c r="J215" s="337"/>
      <c r="M215" s="337"/>
      <c r="P215" s="337"/>
      <c r="S215" s="337"/>
      <c r="V215" s="337"/>
      <c r="Y215" s="337"/>
      <c r="AB215" s="337"/>
    </row>
    <row r="216" spans="1:28" x14ac:dyDescent="0.45">
      <c r="A216" s="337"/>
      <c r="D216" s="337"/>
      <c r="G216" s="337"/>
      <c r="J216" s="337"/>
      <c r="M216" s="337"/>
      <c r="P216" s="337"/>
      <c r="S216" s="337"/>
      <c r="V216" s="337"/>
      <c r="Y216" s="337"/>
      <c r="AB216" s="337"/>
    </row>
    <row r="217" spans="1:28" x14ac:dyDescent="0.45">
      <c r="A217" s="337"/>
      <c r="D217" s="337"/>
      <c r="G217" s="337"/>
      <c r="J217" s="337"/>
      <c r="M217" s="337"/>
      <c r="P217" s="337"/>
      <c r="S217" s="337"/>
      <c r="V217" s="337"/>
      <c r="Y217" s="337"/>
      <c r="AB217" s="337"/>
    </row>
    <row r="218" spans="1:28" x14ac:dyDescent="0.45">
      <c r="A218" s="337"/>
      <c r="D218" s="337"/>
      <c r="G218" s="337"/>
      <c r="J218" s="337"/>
      <c r="M218" s="337"/>
      <c r="P218" s="337"/>
      <c r="S218" s="337"/>
      <c r="V218" s="337"/>
      <c r="Y218" s="337"/>
      <c r="AB218" s="337"/>
    </row>
    <row r="219" spans="1:28" x14ac:dyDescent="0.45">
      <c r="A219" s="337"/>
      <c r="D219" s="337"/>
      <c r="G219" s="337"/>
      <c r="J219" s="337"/>
      <c r="M219" s="337"/>
      <c r="P219" s="337"/>
      <c r="S219" s="337"/>
      <c r="V219" s="337"/>
      <c r="Y219" s="337"/>
      <c r="AB219" s="337"/>
    </row>
    <row r="220" spans="1:28" x14ac:dyDescent="0.45">
      <c r="A220" s="337"/>
      <c r="D220" s="337"/>
      <c r="G220" s="337"/>
      <c r="J220" s="337"/>
      <c r="M220" s="337"/>
      <c r="P220" s="337"/>
      <c r="S220" s="337"/>
      <c r="V220" s="337"/>
      <c r="Y220" s="337"/>
      <c r="AB220" s="337"/>
    </row>
    <row r="221" spans="1:28" x14ac:dyDescent="0.45">
      <c r="A221" s="337"/>
      <c r="D221" s="337"/>
      <c r="G221" s="337"/>
      <c r="J221" s="337"/>
      <c r="M221" s="337"/>
      <c r="P221" s="337"/>
      <c r="S221" s="337"/>
      <c r="V221" s="337"/>
      <c r="Y221" s="337"/>
      <c r="AB221" s="337"/>
    </row>
    <row r="222" spans="1:28" x14ac:dyDescent="0.45">
      <c r="A222" s="337"/>
      <c r="D222" s="337"/>
      <c r="G222" s="337"/>
      <c r="J222" s="337"/>
      <c r="M222" s="337"/>
      <c r="P222" s="337"/>
      <c r="S222" s="337"/>
      <c r="V222" s="337"/>
      <c r="Y222" s="337"/>
      <c r="AB222" s="337"/>
    </row>
    <row r="223" spans="1:28" x14ac:dyDescent="0.45">
      <c r="A223" s="337"/>
      <c r="D223" s="337"/>
      <c r="G223" s="337"/>
      <c r="J223" s="337"/>
      <c r="M223" s="337"/>
      <c r="P223" s="337"/>
      <c r="S223" s="337"/>
      <c r="V223" s="337"/>
      <c r="Y223" s="337"/>
      <c r="AB223" s="337"/>
    </row>
    <row r="224" spans="1:28" x14ac:dyDescent="0.45">
      <c r="A224" s="337"/>
      <c r="D224" s="337"/>
      <c r="G224" s="337"/>
      <c r="J224" s="337"/>
      <c r="M224" s="337"/>
      <c r="P224" s="337"/>
      <c r="S224" s="337"/>
      <c r="V224" s="337"/>
      <c r="Y224" s="337"/>
      <c r="AB224" s="337"/>
    </row>
    <row r="225" spans="1:28" x14ac:dyDescent="0.45">
      <c r="A225" s="337"/>
      <c r="D225" s="337"/>
      <c r="G225" s="337"/>
      <c r="J225" s="337"/>
      <c r="M225" s="337"/>
      <c r="P225" s="337"/>
      <c r="S225" s="337"/>
      <c r="V225" s="337"/>
      <c r="Y225" s="337"/>
      <c r="AB225" s="337"/>
    </row>
    <row r="226" spans="1:28" x14ac:dyDescent="0.45">
      <c r="A226" s="337"/>
      <c r="D226" s="337"/>
      <c r="G226" s="337"/>
      <c r="J226" s="337"/>
      <c r="M226" s="337"/>
      <c r="P226" s="337"/>
      <c r="S226" s="337"/>
      <c r="V226" s="337"/>
      <c r="Y226" s="337"/>
      <c r="AB226" s="337"/>
    </row>
    <row r="227" spans="1:28" x14ac:dyDescent="0.45">
      <c r="A227" s="337"/>
      <c r="D227" s="337"/>
      <c r="G227" s="337"/>
      <c r="J227" s="337"/>
      <c r="M227" s="337"/>
      <c r="P227" s="337"/>
      <c r="S227" s="337"/>
      <c r="V227" s="337"/>
      <c r="Y227" s="337"/>
      <c r="AB227" s="337"/>
    </row>
    <row r="228" spans="1:28" x14ac:dyDescent="0.45">
      <c r="A228" s="337"/>
      <c r="D228" s="337"/>
      <c r="G228" s="337"/>
      <c r="J228" s="337"/>
      <c r="M228" s="337"/>
      <c r="P228" s="337"/>
      <c r="S228" s="337"/>
      <c r="V228" s="337"/>
      <c r="Y228" s="337"/>
      <c r="AB228" s="337"/>
    </row>
    <row r="229" spans="1:28" x14ac:dyDescent="0.45">
      <c r="A229" s="337"/>
      <c r="D229" s="337"/>
      <c r="G229" s="337"/>
      <c r="J229" s="337"/>
      <c r="M229" s="337"/>
      <c r="P229" s="337"/>
      <c r="S229" s="337"/>
      <c r="V229" s="337"/>
      <c r="Y229" s="337"/>
      <c r="AB229" s="337"/>
    </row>
    <row r="230" spans="1:28" x14ac:dyDescent="0.45">
      <c r="A230" s="337"/>
      <c r="D230" s="337"/>
      <c r="G230" s="337"/>
      <c r="J230" s="337"/>
      <c r="M230" s="337"/>
      <c r="P230" s="337"/>
      <c r="S230" s="337"/>
      <c r="V230" s="337"/>
      <c r="Y230" s="337"/>
      <c r="AB230" s="337"/>
    </row>
    <row r="231" spans="1:28" x14ac:dyDescent="0.45">
      <c r="A231" s="337"/>
      <c r="D231" s="337"/>
      <c r="G231" s="337"/>
      <c r="J231" s="337"/>
      <c r="M231" s="337"/>
      <c r="P231" s="337"/>
      <c r="S231" s="337"/>
      <c r="V231" s="337"/>
      <c r="Y231" s="337"/>
      <c r="AB231" s="337"/>
    </row>
    <row r="232" spans="1:28" x14ac:dyDescent="0.45">
      <c r="A232" s="337"/>
      <c r="D232" s="337"/>
      <c r="G232" s="337"/>
      <c r="J232" s="337"/>
      <c r="M232" s="337"/>
      <c r="P232" s="337"/>
      <c r="S232" s="337"/>
      <c r="V232" s="337"/>
      <c r="Y232" s="337"/>
      <c r="AB232" s="337"/>
    </row>
    <row r="233" spans="1:28" x14ac:dyDescent="0.45">
      <c r="A233" s="337"/>
      <c r="D233" s="337"/>
      <c r="G233" s="337"/>
      <c r="J233" s="337"/>
      <c r="M233" s="337"/>
      <c r="P233" s="337"/>
      <c r="S233" s="337"/>
      <c r="V233" s="337"/>
      <c r="Y233" s="337"/>
      <c r="AB233" s="337"/>
    </row>
    <row r="234" spans="1:28" x14ac:dyDescent="0.45">
      <c r="A234" s="337"/>
      <c r="D234" s="337"/>
      <c r="G234" s="337"/>
      <c r="J234" s="337"/>
      <c r="M234" s="337"/>
      <c r="P234" s="337"/>
      <c r="S234" s="337"/>
      <c r="V234" s="337"/>
      <c r="Y234" s="337"/>
      <c r="AB234" s="337"/>
    </row>
    <row r="235" spans="1:28" x14ac:dyDescent="0.45">
      <c r="A235" s="337"/>
      <c r="D235" s="337"/>
      <c r="G235" s="337"/>
      <c r="J235" s="337"/>
      <c r="M235" s="337"/>
      <c r="P235" s="337"/>
      <c r="S235" s="337"/>
      <c r="V235" s="337"/>
      <c r="Y235" s="337"/>
      <c r="AB235" s="337"/>
    </row>
    <row r="236" spans="1:28" x14ac:dyDescent="0.45">
      <c r="A236" s="337"/>
      <c r="D236" s="337"/>
      <c r="G236" s="337"/>
      <c r="J236" s="337"/>
      <c r="M236" s="337"/>
      <c r="P236" s="337"/>
      <c r="S236" s="337"/>
      <c r="V236" s="337"/>
      <c r="Y236" s="337"/>
      <c r="AB236" s="337"/>
    </row>
    <row r="237" spans="1:28" x14ac:dyDescent="0.45">
      <c r="A237" s="337"/>
      <c r="D237" s="337"/>
      <c r="G237" s="337"/>
      <c r="J237" s="337"/>
      <c r="M237" s="337"/>
      <c r="P237" s="337"/>
      <c r="S237" s="337"/>
      <c r="V237" s="337"/>
      <c r="Y237" s="337"/>
      <c r="AB237" s="337"/>
    </row>
    <row r="238" spans="1:28" x14ac:dyDescent="0.45">
      <c r="A238" s="337"/>
      <c r="D238" s="337"/>
      <c r="G238" s="337"/>
      <c r="J238" s="337"/>
      <c r="M238" s="337"/>
      <c r="P238" s="337"/>
      <c r="S238" s="337"/>
      <c r="V238" s="337"/>
      <c r="Y238" s="337"/>
      <c r="AB238" s="337"/>
    </row>
    <row r="239" spans="1:28" x14ac:dyDescent="0.45">
      <c r="A239" s="337"/>
      <c r="D239" s="337"/>
      <c r="G239" s="337"/>
      <c r="J239" s="337"/>
      <c r="M239" s="337"/>
      <c r="P239" s="337"/>
      <c r="S239" s="337"/>
      <c r="V239" s="337"/>
      <c r="Y239" s="337"/>
      <c r="AB239" s="337"/>
    </row>
    <row r="240" spans="1:28" x14ac:dyDescent="0.45">
      <c r="A240" s="337"/>
      <c r="D240" s="337"/>
      <c r="G240" s="337"/>
      <c r="J240" s="337"/>
      <c r="M240" s="337"/>
      <c r="P240" s="337"/>
      <c r="S240" s="337"/>
      <c r="V240" s="337"/>
      <c r="Y240" s="337"/>
      <c r="AB240" s="337"/>
    </row>
    <row r="241" spans="1:28" x14ac:dyDescent="0.45">
      <c r="A241" s="337"/>
      <c r="D241" s="337"/>
      <c r="G241" s="337"/>
      <c r="J241" s="337"/>
      <c r="M241" s="337"/>
      <c r="P241" s="337"/>
      <c r="S241" s="337"/>
      <c r="V241" s="337"/>
      <c r="Y241" s="337"/>
      <c r="AB241" s="337"/>
    </row>
    <row r="242" spans="1:28" x14ac:dyDescent="0.45">
      <c r="A242" s="337"/>
      <c r="D242" s="337"/>
      <c r="G242" s="337"/>
      <c r="J242" s="337"/>
      <c r="M242" s="337"/>
      <c r="P242" s="337"/>
      <c r="S242" s="337"/>
      <c r="V242" s="337"/>
      <c r="Y242" s="337"/>
      <c r="AB242" s="337"/>
    </row>
    <row r="243" spans="1:28" x14ac:dyDescent="0.45">
      <c r="A243" s="337"/>
      <c r="D243" s="337"/>
      <c r="G243" s="337"/>
      <c r="J243" s="337"/>
      <c r="M243" s="337"/>
      <c r="P243" s="337"/>
      <c r="S243" s="337"/>
      <c r="V243" s="337"/>
      <c r="Y243" s="337"/>
      <c r="AB243" s="337"/>
    </row>
    <row r="244" spans="1:28" x14ac:dyDescent="0.45">
      <c r="A244" s="337"/>
      <c r="D244" s="337"/>
      <c r="G244" s="337"/>
      <c r="J244" s="337"/>
      <c r="M244" s="337"/>
      <c r="P244" s="337"/>
      <c r="S244" s="337"/>
      <c r="V244" s="337"/>
      <c r="Y244" s="337"/>
      <c r="AB244" s="337"/>
    </row>
    <row r="245" spans="1:28" x14ac:dyDescent="0.45">
      <c r="A245" s="337"/>
      <c r="D245" s="337"/>
      <c r="G245" s="337"/>
      <c r="J245" s="337"/>
      <c r="M245" s="337"/>
      <c r="P245" s="337"/>
      <c r="S245" s="337"/>
      <c r="V245" s="337"/>
      <c r="Y245" s="337"/>
      <c r="AB245" s="337"/>
    </row>
    <row r="246" spans="1:28" x14ac:dyDescent="0.45">
      <c r="A246" s="337"/>
      <c r="D246" s="337"/>
      <c r="G246" s="337"/>
      <c r="J246" s="337"/>
      <c r="M246" s="337"/>
      <c r="P246" s="337"/>
      <c r="S246" s="337"/>
      <c r="V246" s="337"/>
      <c r="Y246" s="337"/>
      <c r="AB246" s="337"/>
    </row>
    <row r="247" spans="1:28" x14ac:dyDescent="0.45">
      <c r="A247" s="337"/>
      <c r="D247" s="337"/>
      <c r="G247" s="337"/>
      <c r="J247" s="337"/>
      <c r="M247" s="337"/>
      <c r="P247" s="337"/>
      <c r="S247" s="337"/>
      <c r="V247" s="337"/>
      <c r="Y247" s="337"/>
      <c r="AB247" s="337"/>
    </row>
    <row r="248" spans="1:28" x14ac:dyDescent="0.45">
      <c r="A248" s="337"/>
      <c r="D248" s="337"/>
      <c r="G248" s="337"/>
      <c r="J248" s="337"/>
      <c r="M248" s="337"/>
      <c r="P248" s="337"/>
      <c r="S248" s="337"/>
      <c r="V248" s="337"/>
      <c r="Y248" s="337"/>
      <c r="AB248" s="337"/>
    </row>
    <row r="249" spans="1:28" x14ac:dyDescent="0.45">
      <c r="A249" s="337"/>
      <c r="D249" s="337"/>
      <c r="G249" s="337"/>
      <c r="J249" s="337"/>
      <c r="M249" s="337"/>
      <c r="P249" s="337"/>
      <c r="S249" s="337"/>
      <c r="V249" s="337"/>
      <c r="Y249" s="337"/>
      <c r="AB249" s="337"/>
    </row>
    <row r="250" spans="1:28" x14ac:dyDescent="0.45">
      <c r="A250" s="337"/>
      <c r="D250" s="337"/>
      <c r="G250" s="337"/>
      <c r="J250" s="337"/>
      <c r="M250" s="337"/>
      <c r="P250" s="337"/>
      <c r="S250" s="337"/>
      <c r="V250" s="337"/>
      <c r="Y250" s="337"/>
      <c r="AB250" s="337"/>
    </row>
    <row r="251" spans="1:28" x14ac:dyDescent="0.45">
      <c r="A251" s="337"/>
      <c r="D251" s="337"/>
      <c r="G251" s="337"/>
      <c r="J251" s="337"/>
      <c r="M251" s="337"/>
      <c r="P251" s="337"/>
      <c r="S251" s="337"/>
      <c r="V251" s="337"/>
      <c r="Y251" s="337"/>
      <c r="AB251" s="337"/>
    </row>
    <row r="252" spans="1:28" x14ac:dyDescent="0.45">
      <c r="A252" s="337"/>
      <c r="D252" s="337"/>
      <c r="G252" s="337"/>
      <c r="J252" s="337"/>
      <c r="M252" s="337"/>
      <c r="P252" s="337"/>
      <c r="S252" s="337"/>
      <c r="V252" s="337"/>
      <c r="Y252" s="337"/>
      <c r="AB252" s="337"/>
    </row>
    <row r="253" spans="1:28" x14ac:dyDescent="0.45">
      <c r="A253" s="337"/>
      <c r="D253" s="337"/>
      <c r="G253" s="337"/>
      <c r="J253" s="337"/>
      <c r="M253" s="337"/>
      <c r="P253" s="337"/>
      <c r="S253" s="337"/>
      <c r="V253" s="337"/>
      <c r="Y253" s="337"/>
      <c r="AB253" s="337"/>
    </row>
    <row r="254" spans="1:28" x14ac:dyDescent="0.45">
      <c r="A254" s="337"/>
      <c r="D254" s="337"/>
      <c r="G254" s="337"/>
      <c r="J254" s="337"/>
      <c r="M254" s="337"/>
      <c r="P254" s="337"/>
      <c r="S254" s="337"/>
      <c r="V254" s="337"/>
      <c r="Y254" s="337"/>
      <c r="AB254" s="337"/>
    </row>
    <row r="255" spans="1:28" x14ac:dyDescent="0.45">
      <c r="A255" s="337"/>
      <c r="D255" s="337"/>
      <c r="G255" s="337"/>
      <c r="J255" s="337"/>
      <c r="M255" s="337"/>
      <c r="P255" s="337"/>
      <c r="S255" s="337"/>
      <c r="V255" s="337"/>
      <c r="Y255" s="337"/>
      <c r="AB255" s="337"/>
    </row>
    <row r="256" spans="1:28" x14ac:dyDescent="0.45">
      <c r="A256" s="337"/>
      <c r="D256" s="337"/>
      <c r="G256" s="337"/>
      <c r="J256" s="337"/>
      <c r="M256" s="337"/>
      <c r="P256" s="337"/>
      <c r="S256" s="337"/>
      <c r="V256" s="337"/>
      <c r="Y256" s="337"/>
      <c r="AB256" s="337"/>
    </row>
    <row r="257" spans="1:28" x14ac:dyDescent="0.45">
      <c r="A257" s="337"/>
      <c r="D257" s="337"/>
      <c r="G257" s="337"/>
      <c r="J257" s="337"/>
      <c r="M257" s="337"/>
      <c r="P257" s="337"/>
      <c r="S257" s="337"/>
      <c r="V257" s="337"/>
      <c r="Y257" s="337"/>
      <c r="AB257" s="337"/>
    </row>
    <row r="258" spans="1:28" x14ac:dyDescent="0.45">
      <c r="A258" s="337"/>
      <c r="D258" s="337"/>
      <c r="G258" s="337"/>
      <c r="J258" s="337"/>
      <c r="M258" s="337"/>
      <c r="P258" s="337"/>
      <c r="S258" s="337"/>
      <c r="V258" s="337"/>
      <c r="Y258" s="337"/>
      <c r="AB258" s="337"/>
    </row>
    <row r="259" spans="1:28" x14ac:dyDescent="0.45">
      <c r="A259" s="337"/>
      <c r="D259" s="337"/>
      <c r="G259" s="337"/>
      <c r="J259" s="337"/>
      <c r="M259" s="337"/>
      <c r="P259" s="337"/>
      <c r="S259" s="337"/>
      <c r="V259" s="337"/>
      <c r="Y259" s="337"/>
      <c r="AB259" s="337"/>
    </row>
    <row r="260" spans="1:28" x14ac:dyDescent="0.45">
      <c r="A260" s="337"/>
      <c r="D260" s="337"/>
      <c r="G260" s="337"/>
      <c r="J260" s="337"/>
      <c r="M260" s="337"/>
      <c r="P260" s="337"/>
      <c r="S260" s="337"/>
      <c r="V260" s="337"/>
      <c r="Y260" s="337"/>
      <c r="AB260" s="337"/>
    </row>
    <row r="261" spans="1:28" x14ac:dyDescent="0.45">
      <c r="A261" s="337"/>
      <c r="D261" s="337"/>
      <c r="G261" s="337"/>
      <c r="J261" s="337"/>
      <c r="M261" s="337"/>
      <c r="P261" s="337"/>
      <c r="S261" s="337"/>
      <c r="V261" s="337"/>
      <c r="Y261" s="337"/>
      <c r="AB261" s="337"/>
    </row>
    <row r="262" spans="1:28" x14ac:dyDescent="0.45">
      <c r="A262" s="337"/>
      <c r="D262" s="337"/>
      <c r="G262" s="337"/>
      <c r="J262" s="337"/>
      <c r="M262" s="337"/>
      <c r="P262" s="337"/>
      <c r="S262" s="337"/>
      <c r="V262" s="337"/>
      <c r="Y262" s="337"/>
      <c r="AB262" s="337"/>
    </row>
    <row r="263" spans="1:28" x14ac:dyDescent="0.45">
      <c r="A263" s="337"/>
      <c r="D263" s="337"/>
      <c r="G263" s="337"/>
      <c r="J263" s="337"/>
      <c r="M263" s="337"/>
      <c r="P263" s="337"/>
      <c r="S263" s="337"/>
      <c r="V263" s="337"/>
      <c r="Y263" s="337"/>
      <c r="AB263" s="337"/>
    </row>
    <row r="264" spans="1:28" x14ac:dyDescent="0.45">
      <c r="A264" s="337"/>
      <c r="D264" s="337"/>
      <c r="G264" s="337"/>
      <c r="J264" s="337"/>
      <c r="M264" s="337"/>
      <c r="P264" s="337"/>
      <c r="S264" s="337"/>
      <c r="V264" s="337"/>
      <c r="Y264" s="337"/>
      <c r="AB264" s="337"/>
    </row>
    <row r="265" spans="1:28" x14ac:dyDescent="0.45">
      <c r="A265" s="337"/>
      <c r="D265" s="337"/>
      <c r="G265" s="337"/>
      <c r="J265" s="337"/>
      <c r="M265" s="337"/>
      <c r="P265" s="337"/>
      <c r="S265" s="337"/>
      <c r="V265" s="337"/>
      <c r="Y265" s="337"/>
      <c r="AB265" s="337"/>
    </row>
    <row r="266" spans="1:28" x14ac:dyDescent="0.45">
      <c r="A266" s="337"/>
      <c r="D266" s="337"/>
      <c r="G266" s="337"/>
      <c r="J266" s="337"/>
      <c r="M266" s="337"/>
      <c r="P266" s="337"/>
      <c r="S266" s="337"/>
      <c r="V266" s="337"/>
      <c r="Y266" s="337"/>
      <c r="AB266" s="337"/>
    </row>
    <row r="267" spans="1:28" x14ac:dyDescent="0.45">
      <c r="A267" s="337"/>
      <c r="D267" s="337"/>
      <c r="G267" s="337"/>
      <c r="J267" s="337"/>
      <c r="M267" s="337"/>
      <c r="P267" s="337"/>
      <c r="S267" s="337"/>
      <c r="V267" s="337"/>
      <c r="Y267" s="337"/>
      <c r="AB267" s="337"/>
    </row>
    <row r="268" spans="1:28" x14ac:dyDescent="0.45">
      <c r="A268" s="337"/>
      <c r="D268" s="337"/>
      <c r="G268" s="337"/>
      <c r="J268" s="337"/>
      <c r="M268" s="337"/>
      <c r="P268" s="337"/>
      <c r="S268" s="337"/>
      <c r="V268" s="337"/>
      <c r="Y268" s="337"/>
      <c r="AB268" s="337"/>
    </row>
    <row r="269" spans="1:28" x14ac:dyDescent="0.45">
      <c r="A269" s="337"/>
      <c r="D269" s="337"/>
      <c r="G269" s="337"/>
      <c r="J269" s="337"/>
      <c r="M269" s="337"/>
      <c r="P269" s="337"/>
      <c r="S269" s="337"/>
      <c r="V269" s="337"/>
      <c r="Y269" s="337"/>
      <c r="AB269" s="337"/>
    </row>
    <row r="270" spans="1:28" x14ac:dyDescent="0.45">
      <c r="A270" s="337"/>
      <c r="D270" s="337"/>
      <c r="G270" s="337"/>
      <c r="J270" s="337"/>
      <c r="M270" s="337"/>
      <c r="P270" s="337"/>
      <c r="S270" s="337"/>
      <c r="V270" s="337"/>
      <c r="Y270" s="337"/>
      <c r="AB270" s="337"/>
    </row>
    <row r="271" spans="1:28" x14ac:dyDescent="0.45">
      <c r="A271" s="337"/>
      <c r="D271" s="337"/>
      <c r="G271" s="337"/>
      <c r="J271" s="337"/>
      <c r="M271" s="337"/>
      <c r="P271" s="337"/>
      <c r="S271" s="337"/>
      <c r="V271" s="337"/>
      <c r="Y271" s="337"/>
      <c r="AB271" s="337"/>
    </row>
    <row r="272" spans="1:28" x14ac:dyDescent="0.45">
      <c r="A272" s="337"/>
      <c r="D272" s="337"/>
      <c r="G272" s="337"/>
      <c r="J272" s="337"/>
      <c r="M272" s="337"/>
      <c r="P272" s="337"/>
      <c r="S272" s="337"/>
      <c r="V272" s="337"/>
      <c r="Y272" s="337"/>
      <c r="AB272" s="337"/>
    </row>
    <row r="273" spans="1:28" x14ac:dyDescent="0.45">
      <c r="A273" s="337"/>
      <c r="D273" s="337"/>
      <c r="G273" s="337"/>
      <c r="J273" s="337"/>
      <c r="M273" s="337"/>
      <c r="P273" s="337"/>
      <c r="S273" s="337"/>
      <c r="V273" s="337"/>
      <c r="Y273" s="337"/>
      <c r="AB273" s="337"/>
    </row>
    <row r="274" spans="1:28" x14ac:dyDescent="0.45">
      <c r="A274" s="337"/>
      <c r="D274" s="337"/>
      <c r="G274" s="337"/>
      <c r="J274" s="337"/>
      <c r="M274" s="337"/>
      <c r="P274" s="337"/>
      <c r="S274" s="337"/>
      <c r="V274" s="337"/>
      <c r="Y274" s="337"/>
      <c r="AB274" s="337"/>
    </row>
    <row r="275" spans="1:28" x14ac:dyDescent="0.45">
      <c r="A275" s="337"/>
      <c r="D275" s="337"/>
      <c r="G275" s="337"/>
      <c r="J275" s="337"/>
      <c r="M275" s="337"/>
      <c r="P275" s="337"/>
      <c r="S275" s="337"/>
      <c r="V275" s="337"/>
      <c r="Y275" s="337"/>
      <c r="AB275" s="337"/>
    </row>
    <row r="276" spans="1:28" x14ac:dyDescent="0.45">
      <c r="A276" s="337"/>
      <c r="D276" s="337"/>
      <c r="G276" s="337"/>
      <c r="J276" s="337"/>
      <c r="M276" s="337"/>
      <c r="P276" s="337"/>
      <c r="S276" s="337"/>
      <c r="V276" s="337"/>
      <c r="Y276" s="337"/>
      <c r="AB276" s="337"/>
    </row>
    <row r="277" spans="1:28" x14ac:dyDescent="0.45">
      <c r="A277" s="337"/>
      <c r="D277" s="337"/>
      <c r="G277" s="337"/>
      <c r="J277" s="337"/>
      <c r="M277" s="337"/>
      <c r="P277" s="337"/>
      <c r="S277" s="337"/>
      <c r="V277" s="337"/>
      <c r="Y277" s="337"/>
      <c r="AB277" s="337"/>
    </row>
    <row r="278" spans="1:28" x14ac:dyDescent="0.45">
      <c r="A278" s="337"/>
      <c r="D278" s="337"/>
      <c r="G278" s="337"/>
      <c r="J278" s="337"/>
      <c r="M278" s="337"/>
      <c r="P278" s="337"/>
      <c r="S278" s="337"/>
      <c r="V278" s="337"/>
      <c r="Y278" s="337"/>
      <c r="AB278" s="337"/>
    </row>
    <row r="279" spans="1:28" x14ac:dyDescent="0.45">
      <c r="A279" s="337"/>
      <c r="D279" s="337"/>
      <c r="G279" s="337"/>
      <c r="J279" s="337"/>
      <c r="M279" s="337"/>
      <c r="P279" s="337"/>
      <c r="S279" s="337"/>
      <c r="V279" s="337"/>
      <c r="Y279" s="337"/>
      <c r="AB279" s="337"/>
    </row>
    <row r="280" spans="1:28" x14ac:dyDescent="0.45">
      <c r="A280" s="337"/>
      <c r="D280" s="337"/>
      <c r="G280" s="337"/>
      <c r="J280" s="337"/>
      <c r="M280" s="337"/>
      <c r="P280" s="337"/>
      <c r="S280" s="337"/>
      <c r="V280" s="337"/>
      <c r="Y280" s="337"/>
      <c r="AB280" s="337"/>
    </row>
    <row r="281" spans="1:28" x14ac:dyDescent="0.45">
      <c r="A281" s="337"/>
      <c r="D281" s="337"/>
      <c r="G281" s="337"/>
      <c r="J281" s="337"/>
      <c r="M281" s="337"/>
      <c r="P281" s="337"/>
      <c r="S281" s="337"/>
      <c r="V281" s="337"/>
      <c r="Y281" s="337"/>
      <c r="AB281" s="337"/>
    </row>
    <row r="282" spans="1:28" x14ac:dyDescent="0.45">
      <c r="A282" s="337"/>
      <c r="D282" s="337"/>
      <c r="G282" s="337"/>
      <c r="J282" s="337"/>
      <c r="M282" s="337"/>
      <c r="P282" s="337"/>
      <c r="S282" s="337"/>
      <c r="V282" s="337"/>
      <c r="Y282" s="337"/>
      <c r="AB282" s="337"/>
    </row>
    <row r="283" spans="1:28" x14ac:dyDescent="0.45">
      <c r="A283" s="337"/>
      <c r="D283" s="337"/>
      <c r="G283" s="337"/>
      <c r="J283" s="337"/>
      <c r="M283" s="337"/>
      <c r="P283" s="337"/>
      <c r="S283" s="337"/>
      <c r="V283" s="337"/>
      <c r="Y283" s="337"/>
      <c r="AB283" s="337"/>
    </row>
    <row r="284" spans="1:28" x14ac:dyDescent="0.45">
      <c r="A284" s="337"/>
      <c r="D284" s="337"/>
      <c r="G284" s="337"/>
      <c r="J284" s="337"/>
      <c r="M284" s="337"/>
      <c r="P284" s="337"/>
      <c r="S284" s="337"/>
      <c r="V284" s="337"/>
      <c r="Y284" s="337"/>
      <c r="AB284" s="337"/>
    </row>
    <row r="285" spans="1:28" x14ac:dyDescent="0.45">
      <c r="A285" s="337"/>
      <c r="D285" s="337"/>
      <c r="G285" s="337"/>
      <c r="J285" s="337"/>
      <c r="M285" s="337"/>
      <c r="P285" s="337"/>
      <c r="S285" s="337"/>
      <c r="V285" s="337"/>
      <c r="Y285" s="337"/>
      <c r="AB285" s="337"/>
    </row>
    <row r="286" spans="1:28" x14ac:dyDescent="0.45">
      <c r="A286" s="337"/>
      <c r="D286" s="337"/>
      <c r="G286" s="337"/>
      <c r="J286" s="337"/>
      <c r="M286" s="337"/>
      <c r="P286" s="337"/>
      <c r="S286" s="337"/>
      <c r="V286" s="337"/>
      <c r="Y286" s="337"/>
      <c r="AB286" s="337"/>
    </row>
    <row r="287" spans="1:28" x14ac:dyDescent="0.45">
      <c r="A287" s="337"/>
      <c r="D287" s="337"/>
      <c r="G287" s="337"/>
      <c r="J287" s="337"/>
      <c r="M287" s="337"/>
      <c r="P287" s="337"/>
      <c r="S287" s="337"/>
      <c r="V287" s="337"/>
      <c r="Y287" s="337"/>
      <c r="AB287" s="337"/>
    </row>
    <row r="288" spans="1:28" x14ac:dyDescent="0.45">
      <c r="A288" s="337"/>
      <c r="D288" s="337"/>
      <c r="G288" s="337"/>
      <c r="J288" s="337"/>
      <c r="M288" s="337"/>
      <c r="P288" s="337"/>
      <c r="S288" s="337"/>
      <c r="V288" s="337"/>
      <c r="Y288" s="337"/>
      <c r="AB288" s="337"/>
    </row>
    <row r="289" spans="1:28" x14ac:dyDescent="0.45">
      <c r="A289" s="337"/>
      <c r="D289" s="337"/>
      <c r="G289" s="337"/>
      <c r="J289" s="337"/>
      <c r="M289" s="337"/>
      <c r="P289" s="337"/>
      <c r="S289" s="337"/>
      <c r="V289" s="337"/>
      <c r="Y289" s="337"/>
      <c r="AB289" s="337"/>
    </row>
    <row r="290" spans="1:28" x14ac:dyDescent="0.45">
      <c r="A290" s="337"/>
      <c r="D290" s="337"/>
      <c r="G290" s="337"/>
      <c r="J290" s="337"/>
      <c r="M290" s="337"/>
      <c r="P290" s="337"/>
      <c r="S290" s="337"/>
      <c r="V290" s="337"/>
      <c r="Y290" s="337"/>
      <c r="AB290" s="337"/>
    </row>
    <row r="291" spans="1:28" x14ac:dyDescent="0.45">
      <c r="A291" s="337"/>
      <c r="D291" s="337"/>
      <c r="G291" s="337"/>
      <c r="J291" s="337"/>
      <c r="M291" s="337"/>
      <c r="P291" s="337"/>
      <c r="S291" s="337"/>
      <c r="V291" s="337"/>
      <c r="Y291" s="337"/>
      <c r="AB291" s="337"/>
    </row>
    <row r="292" spans="1:28" x14ac:dyDescent="0.45">
      <c r="A292" s="337"/>
      <c r="D292" s="337"/>
      <c r="G292" s="337"/>
      <c r="J292" s="337"/>
      <c r="M292" s="337"/>
      <c r="P292" s="337"/>
      <c r="S292" s="337"/>
      <c r="V292" s="337"/>
      <c r="Y292" s="337"/>
      <c r="AB292" s="337"/>
    </row>
    <row r="293" spans="1:28" x14ac:dyDescent="0.45">
      <c r="A293" s="337"/>
      <c r="D293" s="337"/>
      <c r="G293" s="337"/>
      <c r="J293" s="337"/>
      <c r="M293" s="337"/>
      <c r="P293" s="337"/>
      <c r="S293" s="337"/>
      <c r="V293" s="337"/>
      <c r="Y293" s="337"/>
      <c r="AB293" s="337"/>
    </row>
    <row r="294" spans="1:28" x14ac:dyDescent="0.45">
      <c r="A294" s="337"/>
      <c r="D294" s="337"/>
      <c r="G294" s="337"/>
      <c r="J294" s="337"/>
      <c r="M294" s="337"/>
      <c r="P294" s="337"/>
      <c r="S294" s="337"/>
      <c r="V294" s="337"/>
      <c r="Y294" s="337"/>
      <c r="AB294" s="337"/>
    </row>
    <row r="295" spans="1:28" x14ac:dyDescent="0.45">
      <c r="A295" s="337"/>
      <c r="D295" s="337"/>
      <c r="G295" s="337"/>
      <c r="J295" s="337"/>
      <c r="M295" s="337"/>
      <c r="P295" s="337"/>
      <c r="S295" s="337"/>
      <c r="V295" s="337"/>
      <c r="Y295" s="337"/>
      <c r="AB295" s="337"/>
    </row>
    <row r="296" spans="1:28" x14ac:dyDescent="0.45">
      <c r="A296" s="337"/>
      <c r="D296" s="337"/>
      <c r="G296" s="337"/>
      <c r="J296" s="337"/>
      <c r="M296" s="337"/>
      <c r="P296" s="337"/>
      <c r="S296" s="337"/>
      <c r="V296" s="337"/>
      <c r="Y296" s="337"/>
      <c r="AB296" s="337"/>
    </row>
    <row r="297" spans="1:28" x14ac:dyDescent="0.45">
      <c r="A297" s="337"/>
      <c r="D297" s="337"/>
      <c r="G297" s="337"/>
      <c r="J297" s="337"/>
      <c r="M297" s="337"/>
      <c r="P297" s="337"/>
      <c r="S297" s="337"/>
      <c r="V297" s="337"/>
      <c r="Y297" s="337"/>
      <c r="AB297" s="337"/>
    </row>
    <row r="298" spans="1:28" x14ac:dyDescent="0.45">
      <c r="A298" s="337"/>
      <c r="D298" s="337"/>
      <c r="G298" s="337"/>
      <c r="J298" s="337"/>
      <c r="M298" s="337"/>
      <c r="P298" s="337"/>
      <c r="S298" s="337"/>
      <c r="V298" s="337"/>
      <c r="Y298" s="337"/>
      <c r="AB298" s="337"/>
    </row>
    <row r="299" spans="1:28" x14ac:dyDescent="0.45">
      <c r="A299" s="337"/>
      <c r="D299" s="337"/>
      <c r="G299" s="337"/>
      <c r="J299" s="337"/>
      <c r="M299" s="337"/>
      <c r="P299" s="337"/>
      <c r="S299" s="337"/>
      <c r="V299" s="337"/>
      <c r="Y299" s="337"/>
      <c r="AB299" s="337"/>
    </row>
    <row r="300" spans="1:28" x14ac:dyDescent="0.45">
      <c r="A300" s="337"/>
      <c r="D300" s="337"/>
      <c r="G300" s="337"/>
      <c r="J300" s="337"/>
      <c r="M300" s="337"/>
      <c r="P300" s="337"/>
      <c r="S300" s="337"/>
      <c r="V300" s="337"/>
      <c r="Y300" s="337"/>
      <c r="AB300" s="337"/>
    </row>
    <row r="301" spans="1:28" x14ac:dyDescent="0.45">
      <c r="A301" s="337"/>
      <c r="D301" s="337"/>
      <c r="G301" s="337"/>
      <c r="J301" s="337"/>
      <c r="M301" s="337"/>
      <c r="P301" s="337"/>
      <c r="S301" s="337"/>
      <c r="V301" s="337"/>
      <c r="Y301" s="337"/>
      <c r="AB301" s="337"/>
    </row>
    <row r="302" spans="1:28" x14ac:dyDescent="0.45">
      <c r="A302" s="337"/>
      <c r="D302" s="337"/>
      <c r="G302" s="337"/>
      <c r="J302" s="337"/>
      <c r="M302" s="337"/>
      <c r="P302" s="337"/>
      <c r="S302" s="337"/>
      <c r="V302" s="337"/>
      <c r="Y302" s="337"/>
      <c r="AB302" s="337"/>
    </row>
    <row r="303" spans="1:28" x14ac:dyDescent="0.45">
      <c r="A303" s="337"/>
      <c r="D303" s="337"/>
      <c r="G303" s="337"/>
      <c r="J303" s="337"/>
      <c r="M303" s="337"/>
      <c r="P303" s="337"/>
      <c r="S303" s="337"/>
      <c r="V303" s="337"/>
      <c r="Y303" s="337"/>
      <c r="AB303" s="337"/>
    </row>
    <row r="304" spans="1:28" x14ac:dyDescent="0.45">
      <c r="A304" s="337"/>
      <c r="D304" s="337"/>
      <c r="G304" s="337"/>
      <c r="J304" s="337"/>
      <c r="M304" s="337"/>
      <c r="P304" s="337"/>
      <c r="S304" s="337"/>
      <c r="V304" s="337"/>
      <c r="Y304" s="337"/>
      <c r="AB304" s="337"/>
    </row>
    <row r="305" spans="1:28" x14ac:dyDescent="0.45">
      <c r="A305" s="337"/>
      <c r="D305" s="337"/>
      <c r="G305" s="337"/>
      <c r="J305" s="337"/>
      <c r="M305" s="337"/>
      <c r="P305" s="337"/>
      <c r="S305" s="337"/>
      <c r="V305" s="337"/>
      <c r="Y305" s="337"/>
      <c r="AB305" s="337"/>
    </row>
    <row r="306" spans="1:28" x14ac:dyDescent="0.45">
      <c r="A306" s="337"/>
      <c r="D306" s="337"/>
      <c r="G306" s="337"/>
      <c r="J306" s="337"/>
      <c r="M306" s="337"/>
      <c r="P306" s="337"/>
      <c r="S306" s="337"/>
      <c r="V306" s="337"/>
      <c r="Y306" s="337"/>
      <c r="AB306" s="337"/>
    </row>
    <row r="307" spans="1:28" x14ac:dyDescent="0.45">
      <c r="A307" s="337"/>
      <c r="D307" s="337"/>
      <c r="G307" s="337"/>
      <c r="J307" s="337"/>
      <c r="M307" s="337"/>
      <c r="P307" s="337"/>
      <c r="S307" s="337"/>
      <c r="V307" s="337"/>
      <c r="Y307" s="337"/>
      <c r="AB307" s="337"/>
    </row>
    <row r="308" spans="1:28" x14ac:dyDescent="0.45">
      <c r="A308" s="337"/>
      <c r="D308" s="337"/>
      <c r="G308" s="337"/>
      <c r="J308" s="337"/>
      <c r="M308" s="337"/>
      <c r="P308" s="337"/>
      <c r="S308" s="337"/>
      <c r="V308" s="337"/>
      <c r="Y308" s="337"/>
      <c r="AB308" s="337"/>
    </row>
    <row r="309" spans="1:28" x14ac:dyDescent="0.45">
      <c r="A309" s="337"/>
      <c r="D309" s="337"/>
      <c r="G309" s="337"/>
      <c r="J309" s="337"/>
      <c r="M309" s="337"/>
      <c r="P309" s="337"/>
      <c r="S309" s="337"/>
      <c r="V309" s="337"/>
      <c r="Y309" s="337"/>
      <c r="AB309" s="337"/>
    </row>
    <row r="310" spans="1:28" x14ac:dyDescent="0.45">
      <c r="A310" s="337"/>
      <c r="D310" s="337"/>
      <c r="G310" s="337"/>
      <c r="J310" s="337"/>
      <c r="M310" s="337"/>
      <c r="P310" s="337"/>
      <c r="S310" s="337"/>
      <c r="V310" s="337"/>
      <c r="Y310" s="337"/>
      <c r="AB310" s="337"/>
    </row>
    <row r="311" spans="1:28" x14ac:dyDescent="0.45">
      <c r="A311" s="337"/>
      <c r="D311" s="337"/>
      <c r="G311" s="337"/>
      <c r="J311" s="337"/>
      <c r="M311" s="337"/>
      <c r="P311" s="337"/>
      <c r="S311" s="337"/>
      <c r="V311" s="337"/>
      <c r="Y311" s="337"/>
      <c r="AB311" s="337"/>
    </row>
    <row r="312" spans="1:28" x14ac:dyDescent="0.45">
      <c r="A312" s="337"/>
      <c r="D312" s="337"/>
      <c r="G312" s="337"/>
      <c r="J312" s="337"/>
      <c r="M312" s="337"/>
      <c r="P312" s="337"/>
      <c r="S312" s="337"/>
      <c r="V312" s="337"/>
      <c r="Y312" s="337"/>
      <c r="AB312" s="337"/>
    </row>
    <row r="313" spans="1:28" x14ac:dyDescent="0.45">
      <c r="A313" s="337"/>
      <c r="D313" s="337"/>
      <c r="G313" s="337"/>
      <c r="J313" s="337"/>
      <c r="M313" s="337"/>
      <c r="P313" s="337"/>
      <c r="S313" s="337"/>
      <c r="V313" s="337"/>
      <c r="Y313" s="337"/>
      <c r="AB313" s="337"/>
    </row>
    <row r="314" spans="1:28" x14ac:dyDescent="0.45">
      <c r="A314" s="337"/>
      <c r="D314" s="337"/>
      <c r="G314" s="337"/>
      <c r="J314" s="337"/>
      <c r="M314" s="337"/>
      <c r="P314" s="337"/>
      <c r="S314" s="337"/>
      <c r="V314" s="337"/>
      <c r="Y314" s="337"/>
      <c r="AB314" s="337"/>
    </row>
    <row r="315" spans="1:28" x14ac:dyDescent="0.45">
      <c r="A315" s="337"/>
      <c r="D315" s="337"/>
      <c r="G315" s="337"/>
      <c r="J315" s="337"/>
      <c r="M315" s="337"/>
      <c r="P315" s="337"/>
      <c r="S315" s="337"/>
      <c r="V315" s="337"/>
      <c r="Y315" s="337"/>
      <c r="AB315" s="337"/>
    </row>
    <row r="316" spans="1:28" x14ac:dyDescent="0.45">
      <c r="A316" s="337"/>
      <c r="D316" s="337"/>
      <c r="G316" s="337"/>
      <c r="J316" s="337"/>
      <c r="M316" s="337"/>
      <c r="P316" s="337"/>
      <c r="S316" s="337"/>
      <c r="V316" s="337"/>
      <c r="Y316" s="337"/>
      <c r="AB316" s="337"/>
    </row>
    <row r="317" spans="1:28" x14ac:dyDescent="0.45">
      <c r="A317" s="337"/>
      <c r="D317" s="337"/>
      <c r="G317" s="337"/>
      <c r="J317" s="337"/>
      <c r="M317" s="337"/>
      <c r="P317" s="337"/>
      <c r="S317" s="337"/>
      <c r="V317" s="337"/>
      <c r="Y317" s="337"/>
      <c r="AB317" s="337"/>
    </row>
    <row r="318" spans="1:28" x14ac:dyDescent="0.45">
      <c r="A318" s="337"/>
      <c r="D318" s="337"/>
      <c r="G318" s="337"/>
      <c r="J318" s="337"/>
      <c r="M318" s="337"/>
      <c r="P318" s="337"/>
      <c r="S318" s="337"/>
      <c r="V318" s="337"/>
      <c r="Y318" s="337"/>
      <c r="AB318" s="337"/>
    </row>
    <row r="319" spans="1:28" x14ac:dyDescent="0.45">
      <c r="A319" s="337"/>
      <c r="D319" s="337"/>
      <c r="G319" s="337"/>
      <c r="J319" s="337"/>
      <c r="M319" s="337"/>
      <c r="P319" s="337"/>
      <c r="S319" s="337"/>
      <c r="V319" s="337"/>
      <c r="Y319" s="337"/>
      <c r="AB319" s="337"/>
    </row>
    <row r="320" spans="1:28" x14ac:dyDescent="0.45">
      <c r="A320" s="337"/>
      <c r="D320" s="337"/>
      <c r="G320" s="337"/>
      <c r="J320" s="337"/>
      <c r="M320" s="337"/>
      <c r="P320" s="337"/>
      <c r="S320" s="337"/>
      <c r="V320" s="337"/>
      <c r="Y320" s="337"/>
      <c r="AB320" s="337"/>
    </row>
    <row r="321" spans="1:28" x14ac:dyDescent="0.45">
      <c r="A321" s="337"/>
      <c r="D321" s="337"/>
      <c r="G321" s="337"/>
      <c r="J321" s="337"/>
      <c r="M321" s="337"/>
      <c r="P321" s="337"/>
      <c r="S321" s="337"/>
      <c r="V321" s="337"/>
      <c r="Y321" s="337"/>
      <c r="AB321" s="337"/>
    </row>
    <row r="322" spans="1:28" x14ac:dyDescent="0.45">
      <c r="A322" s="337"/>
      <c r="D322" s="337"/>
      <c r="G322" s="337"/>
      <c r="J322" s="337"/>
      <c r="M322" s="337"/>
      <c r="P322" s="337"/>
      <c r="S322" s="337"/>
      <c r="V322" s="337"/>
      <c r="Y322" s="337"/>
      <c r="AB322" s="337"/>
    </row>
    <row r="323" spans="1:28" x14ac:dyDescent="0.45">
      <c r="A323" s="337"/>
      <c r="D323" s="337"/>
      <c r="G323" s="337"/>
      <c r="J323" s="337"/>
      <c r="M323" s="337"/>
      <c r="P323" s="337"/>
      <c r="S323" s="337"/>
      <c r="V323" s="337"/>
      <c r="Y323" s="337"/>
      <c r="AB323" s="337"/>
    </row>
    <row r="324" spans="1:28" x14ac:dyDescent="0.45">
      <c r="A324" s="337"/>
      <c r="D324" s="337"/>
      <c r="G324" s="337"/>
      <c r="J324" s="337"/>
      <c r="M324" s="337"/>
      <c r="P324" s="337"/>
      <c r="S324" s="337"/>
      <c r="V324" s="337"/>
      <c r="Y324" s="337"/>
      <c r="AB324" s="337"/>
    </row>
    <row r="325" spans="1:28" x14ac:dyDescent="0.45">
      <c r="A325" s="337"/>
      <c r="D325" s="337"/>
      <c r="G325" s="337"/>
      <c r="J325" s="337"/>
      <c r="M325" s="337"/>
      <c r="P325" s="337"/>
      <c r="S325" s="337"/>
      <c r="V325" s="337"/>
      <c r="Y325" s="337"/>
      <c r="AB325" s="337"/>
    </row>
    <row r="326" spans="1:28" x14ac:dyDescent="0.45">
      <c r="A326" s="337"/>
      <c r="D326" s="337"/>
      <c r="G326" s="337"/>
      <c r="J326" s="337"/>
      <c r="M326" s="337"/>
      <c r="P326" s="337"/>
      <c r="S326" s="337"/>
      <c r="V326" s="337"/>
      <c r="Y326" s="337"/>
      <c r="AB326" s="337"/>
    </row>
    <row r="327" spans="1:28" x14ac:dyDescent="0.45">
      <c r="A327" s="337"/>
      <c r="D327" s="337"/>
      <c r="G327" s="337"/>
      <c r="J327" s="337"/>
      <c r="M327" s="337"/>
      <c r="P327" s="337"/>
      <c r="S327" s="337"/>
      <c r="V327" s="337"/>
      <c r="Y327" s="337"/>
      <c r="AB327" s="337"/>
    </row>
    <row r="328" spans="1:28" x14ac:dyDescent="0.45">
      <c r="A328" s="337"/>
      <c r="D328" s="337"/>
      <c r="G328" s="337"/>
      <c r="J328" s="337"/>
      <c r="M328" s="337"/>
      <c r="P328" s="337"/>
      <c r="S328" s="337"/>
      <c r="V328" s="337"/>
      <c r="Y328" s="337"/>
      <c r="AB328" s="337"/>
    </row>
    <row r="329" spans="1:28" x14ac:dyDescent="0.45">
      <c r="A329" s="337"/>
      <c r="D329" s="337"/>
      <c r="G329" s="337"/>
      <c r="J329" s="337"/>
      <c r="M329" s="337"/>
      <c r="P329" s="337"/>
      <c r="S329" s="337"/>
      <c r="V329" s="337"/>
      <c r="Y329" s="337"/>
      <c r="AB329" s="337"/>
    </row>
    <row r="330" spans="1:28" x14ac:dyDescent="0.45">
      <c r="A330" s="337"/>
      <c r="D330" s="337"/>
      <c r="G330" s="337"/>
      <c r="J330" s="337"/>
      <c r="M330" s="337"/>
      <c r="P330" s="337"/>
      <c r="S330" s="337"/>
      <c r="V330" s="337"/>
      <c r="Y330" s="337"/>
      <c r="AB330" s="337"/>
    </row>
    <row r="331" spans="1:28" x14ac:dyDescent="0.45">
      <c r="A331" s="337"/>
      <c r="D331" s="337"/>
      <c r="G331" s="337"/>
      <c r="J331" s="337"/>
      <c r="M331" s="337"/>
      <c r="P331" s="337"/>
      <c r="S331" s="337"/>
      <c r="V331" s="337"/>
      <c r="Y331" s="337"/>
      <c r="AB331" s="337"/>
    </row>
    <row r="332" spans="1:28" x14ac:dyDescent="0.45">
      <c r="A332" s="337"/>
      <c r="D332" s="337"/>
      <c r="G332" s="337"/>
      <c r="J332" s="337"/>
      <c r="M332" s="337"/>
      <c r="P332" s="337"/>
      <c r="S332" s="337"/>
      <c r="V332" s="337"/>
      <c r="Y332" s="337"/>
      <c r="AB332" s="337"/>
    </row>
    <row r="333" spans="1:28" x14ac:dyDescent="0.45">
      <c r="A333" s="337"/>
      <c r="D333" s="337"/>
      <c r="G333" s="337"/>
      <c r="J333" s="337"/>
      <c r="M333" s="337"/>
      <c r="P333" s="337"/>
      <c r="S333" s="337"/>
      <c r="V333" s="337"/>
      <c r="Y333" s="337"/>
      <c r="AB333" s="337"/>
    </row>
    <row r="334" spans="1:28" x14ac:dyDescent="0.45">
      <c r="A334" s="337"/>
      <c r="D334" s="337"/>
      <c r="G334" s="337"/>
      <c r="J334" s="337"/>
      <c r="M334" s="337"/>
      <c r="P334" s="337"/>
      <c r="S334" s="337"/>
      <c r="V334" s="337"/>
      <c r="Y334" s="337"/>
      <c r="AB334" s="337"/>
    </row>
    <row r="335" spans="1:28" x14ac:dyDescent="0.45">
      <c r="A335" s="337"/>
      <c r="D335" s="337"/>
      <c r="G335" s="337"/>
      <c r="J335" s="337"/>
      <c r="M335" s="337"/>
      <c r="P335" s="337"/>
      <c r="S335" s="337"/>
      <c r="V335" s="337"/>
      <c r="Y335" s="337"/>
      <c r="AB335" s="337"/>
    </row>
    <row r="336" spans="1:28" x14ac:dyDescent="0.45">
      <c r="A336" s="337"/>
      <c r="D336" s="337"/>
      <c r="G336" s="337"/>
      <c r="J336" s="337"/>
      <c r="M336" s="337"/>
      <c r="P336" s="337"/>
      <c r="S336" s="337"/>
      <c r="V336" s="337"/>
      <c r="Y336" s="337"/>
      <c r="AB336" s="337"/>
    </row>
    <row r="337" spans="1:28" x14ac:dyDescent="0.45">
      <c r="A337" s="337"/>
      <c r="D337" s="337"/>
      <c r="G337" s="337"/>
      <c r="J337" s="337"/>
      <c r="M337" s="337"/>
      <c r="P337" s="337"/>
      <c r="S337" s="337"/>
      <c r="V337" s="337"/>
      <c r="Y337" s="337"/>
      <c r="AB337" s="337"/>
    </row>
    <row r="338" spans="1:28" x14ac:dyDescent="0.45">
      <c r="A338" s="337"/>
      <c r="D338" s="337"/>
      <c r="G338" s="337"/>
      <c r="J338" s="337"/>
      <c r="M338" s="337"/>
      <c r="P338" s="337"/>
      <c r="S338" s="337"/>
      <c r="V338" s="337"/>
      <c r="Y338" s="337"/>
      <c r="AB338" s="337"/>
    </row>
    <row r="339" spans="1:28" x14ac:dyDescent="0.45">
      <c r="A339" s="337"/>
      <c r="D339" s="337"/>
      <c r="G339" s="337"/>
      <c r="J339" s="337"/>
      <c r="M339" s="337"/>
      <c r="P339" s="337"/>
      <c r="S339" s="337"/>
      <c r="V339" s="337"/>
      <c r="Y339" s="337"/>
      <c r="AB339" s="337"/>
    </row>
    <row r="340" spans="1:28" x14ac:dyDescent="0.45">
      <c r="A340" s="337"/>
      <c r="D340" s="337"/>
      <c r="G340" s="337"/>
      <c r="J340" s="337"/>
      <c r="M340" s="337"/>
      <c r="P340" s="337"/>
      <c r="S340" s="337"/>
      <c r="V340" s="337"/>
      <c r="Y340" s="337"/>
      <c r="AB340" s="337"/>
    </row>
    <row r="341" spans="1:28" x14ac:dyDescent="0.45">
      <c r="A341" s="337"/>
      <c r="D341" s="337"/>
      <c r="G341" s="337"/>
      <c r="J341" s="337"/>
      <c r="M341" s="337"/>
      <c r="P341" s="337"/>
      <c r="S341" s="337"/>
      <c r="V341" s="337"/>
      <c r="Y341" s="337"/>
      <c r="AB341" s="337"/>
    </row>
    <row r="342" spans="1:28" x14ac:dyDescent="0.45">
      <c r="A342" s="337"/>
      <c r="D342" s="337"/>
      <c r="G342" s="337"/>
      <c r="J342" s="337"/>
      <c r="M342" s="337"/>
      <c r="P342" s="337"/>
      <c r="S342" s="337"/>
      <c r="V342" s="337"/>
      <c r="Y342" s="337"/>
      <c r="AB342" s="337"/>
    </row>
    <row r="343" spans="1:28" x14ac:dyDescent="0.45">
      <c r="A343" s="337"/>
      <c r="D343" s="337"/>
      <c r="G343" s="337"/>
      <c r="J343" s="337"/>
      <c r="M343" s="337"/>
      <c r="P343" s="337"/>
      <c r="S343" s="337"/>
      <c r="V343" s="337"/>
      <c r="Y343" s="337"/>
      <c r="AB343" s="337"/>
    </row>
    <row r="344" spans="1:28" x14ac:dyDescent="0.45">
      <c r="A344" s="337"/>
      <c r="D344" s="337"/>
      <c r="G344" s="337"/>
      <c r="J344" s="337"/>
      <c r="M344" s="337"/>
      <c r="P344" s="337"/>
      <c r="S344" s="337"/>
      <c r="V344" s="337"/>
      <c r="Y344" s="337"/>
      <c r="AB344" s="337"/>
    </row>
    <row r="345" spans="1:28" x14ac:dyDescent="0.45">
      <c r="A345" s="337"/>
      <c r="D345" s="337"/>
      <c r="G345" s="337"/>
      <c r="J345" s="337"/>
      <c r="M345" s="337"/>
      <c r="P345" s="337"/>
      <c r="S345" s="337"/>
      <c r="V345" s="337"/>
      <c r="Y345" s="337"/>
      <c r="AB345" s="337"/>
    </row>
    <row r="346" spans="1:28" x14ac:dyDescent="0.45">
      <c r="A346" s="337"/>
      <c r="D346" s="337"/>
      <c r="G346" s="337"/>
      <c r="J346" s="337"/>
      <c r="M346" s="337"/>
      <c r="P346" s="337"/>
      <c r="S346" s="337"/>
      <c r="V346" s="337"/>
      <c r="Y346" s="337"/>
      <c r="AB346" s="337"/>
    </row>
    <row r="347" spans="1:28" x14ac:dyDescent="0.45">
      <c r="A347" s="337"/>
      <c r="D347" s="337"/>
      <c r="G347" s="337"/>
      <c r="J347" s="337"/>
      <c r="M347" s="337"/>
      <c r="P347" s="337"/>
      <c r="S347" s="337"/>
      <c r="V347" s="337"/>
      <c r="Y347" s="337"/>
      <c r="AB347" s="337"/>
    </row>
    <row r="348" spans="1:28" x14ac:dyDescent="0.45">
      <c r="A348" s="337"/>
      <c r="D348" s="337"/>
      <c r="G348" s="337"/>
      <c r="J348" s="337"/>
      <c r="M348" s="337"/>
      <c r="P348" s="337"/>
      <c r="S348" s="337"/>
      <c r="V348" s="337"/>
      <c r="Y348" s="337"/>
      <c r="AB348" s="337"/>
    </row>
    <row r="349" spans="1:28" x14ac:dyDescent="0.45">
      <c r="A349" s="337"/>
      <c r="D349" s="337"/>
      <c r="G349" s="337"/>
      <c r="J349" s="337"/>
      <c r="M349" s="337"/>
      <c r="P349" s="337"/>
      <c r="S349" s="337"/>
      <c r="V349" s="337"/>
      <c r="Y349" s="337"/>
      <c r="AB349" s="337"/>
    </row>
    <row r="350" spans="1:28" x14ac:dyDescent="0.45">
      <c r="A350" s="337"/>
      <c r="D350" s="337"/>
      <c r="G350" s="337"/>
      <c r="J350" s="337"/>
      <c r="M350" s="337"/>
      <c r="P350" s="337"/>
      <c r="S350" s="337"/>
      <c r="V350" s="337"/>
      <c r="Y350" s="337"/>
      <c r="AB350" s="337"/>
    </row>
    <row r="351" spans="1:28" x14ac:dyDescent="0.45">
      <c r="A351" s="337"/>
      <c r="D351" s="337"/>
      <c r="G351" s="337"/>
      <c r="J351" s="337"/>
      <c r="M351" s="337"/>
      <c r="P351" s="337"/>
      <c r="S351" s="337"/>
      <c r="V351" s="337"/>
      <c r="Y351" s="337"/>
      <c r="AB351" s="337"/>
    </row>
    <row r="352" spans="1:28" x14ac:dyDescent="0.45">
      <c r="A352" s="337"/>
      <c r="D352" s="337"/>
      <c r="G352" s="337"/>
      <c r="J352" s="337"/>
      <c r="M352" s="337"/>
      <c r="P352" s="337"/>
      <c r="S352" s="337"/>
      <c r="V352" s="337"/>
      <c r="Y352" s="337"/>
      <c r="AB352" s="337"/>
    </row>
    <row r="353" spans="1:28" x14ac:dyDescent="0.45">
      <c r="A353" s="337"/>
      <c r="D353" s="337"/>
      <c r="G353" s="337"/>
      <c r="J353" s="337"/>
      <c r="M353" s="337"/>
      <c r="P353" s="337"/>
      <c r="S353" s="337"/>
      <c r="V353" s="337"/>
      <c r="Y353" s="337"/>
      <c r="AB353" s="337"/>
    </row>
    <row r="354" spans="1:28" x14ac:dyDescent="0.45">
      <c r="A354" s="337"/>
      <c r="D354" s="337"/>
      <c r="G354" s="337"/>
      <c r="J354" s="337"/>
      <c r="M354" s="337"/>
      <c r="P354" s="337"/>
      <c r="S354" s="337"/>
      <c r="V354" s="337"/>
      <c r="Y354" s="337"/>
      <c r="AB354" s="337"/>
    </row>
    <row r="355" spans="1:28" x14ac:dyDescent="0.45">
      <c r="A355" s="337"/>
      <c r="D355" s="337"/>
      <c r="G355" s="337"/>
      <c r="J355" s="337"/>
      <c r="M355" s="337"/>
      <c r="P355" s="337"/>
      <c r="S355" s="337"/>
      <c r="V355" s="337"/>
      <c r="Y355" s="337"/>
      <c r="AB355" s="337"/>
    </row>
    <row r="356" spans="1:28" x14ac:dyDescent="0.45">
      <c r="A356" s="337"/>
      <c r="D356" s="337"/>
      <c r="G356" s="337"/>
      <c r="J356" s="337"/>
      <c r="M356" s="337"/>
      <c r="P356" s="337"/>
      <c r="S356" s="337"/>
      <c r="V356" s="337"/>
      <c r="Y356" s="337"/>
      <c r="AB356" s="337"/>
    </row>
    <row r="357" spans="1:28" x14ac:dyDescent="0.45">
      <c r="A357" s="337"/>
      <c r="D357" s="337"/>
      <c r="G357" s="337"/>
      <c r="J357" s="337"/>
      <c r="M357" s="337"/>
      <c r="P357" s="337"/>
      <c r="S357" s="337"/>
      <c r="V357" s="337"/>
      <c r="Y357" s="337"/>
      <c r="AB357" s="337"/>
    </row>
    <row r="358" spans="1:28" x14ac:dyDescent="0.45">
      <c r="A358" s="337"/>
      <c r="D358" s="337"/>
      <c r="G358" s="337"/>
      <c r="J358" s="337"/>
      <c r="M358" s="337"/>
      <c r="P358" s="337"/>
      <c r="S358" s="337"/>
      <c r="V358" s="337"/>
      <c r="Y358" s="337"/>
      <c r="AB358" s="337"/>
    </row>
    <row r="359" spans="1:28" x14ac:dyDescent="0.45">
      <c r="A359" s="337"/>
      <c r="D359" s="337"/>
      <c r="G359" s="337"/>
      <c r="J359" s="337"/>
      <c r="M359" s="337"/>
      <c r="P359" s="337"/>
      <c r="S359" s="337"/>
      <c r="V359" s="337"/>
      <c r="Y359" s="337"/>
      <c r="AB359" s="337"/>
    </row>
    <row r="360" spans="1:28" x14ac:dyDescent="0.45">
      <c r="A360" s="337"/>
      <c r="D360" s="337"/>
      <c r="G360" s="337"/>
      <c r="J360" s="337"/>
      <c r="M360" s="337"/>
      <c r="P360" s="337"/>
      <c r="S360" s="337"/>
      <c r="V360" s="337"/>
      <c r="Y360" s="337"/>
      <c r="AB360" s="337"/>
    </row>
    <row r="361" spans="1:28" x14ac:dyDescent="0.45">
      <c r="A361" s="337"/>
      <c r="D361" s="337"/>
      <c r="G361" s="337"/>
      <c r="J361" s="337"/>
      <c r="M361" s="337"/>
      <c r="P361" s="337"/>
      <c r="S361" s="337"/>
      <c r="V361" s="337"/>
      <c r="Y361" s="337"/>
      <c r="AB361" s="337"/>
    </row>
    <row r="362" spans="1:28" x14ac:dyDescent="0.45">
      <c r="A362" s="337"/>
      <c r="D362" s="337"/>
      <c r="G362" s="337"/>
      <c r="J362" s="337"/>
      <c r="M362" s="337"/>
      <c r="P362" s="337"/>
      <c r="S362" s="337"/>
      <c r="V362" s="337"/>
      <c r="Y362" s="337"/>
      <c r="AB362" s="337"/>
    </row>
    <row r="363" spans="1:28" x14ac:dyDescent="0.45">
      <c r="A363" s="337"/>
      <c r="D363" s="337"/>
      <c r="G363" s="337"/>
      <c r="J363" s="337"/>
      <c r="M363" s="337"/>
      <c r="P363" s="337"/>
      <c r="S363" s="337"/>
      <c r="V363" s="337"/>
      <c r="Y363" s="337"/>
      <c r="AB363" s="337"/>
    </row>
    <row r="364" spans="1:28" x14ac:dyDescent="0.45">
      <c r="A364" s="337"/>
      <c r="D364" s="337"/>
      <c r="G364" s="337"/>
      <c r="J364" s="337"/>
      <c r="M364" s="337"/>
      <c r="P364" s="337"/>
      <c r="S364" s="337"/>
      <c r="V364" s="337"/>
      <c r="Y364" s="337"/>
      <c r="AB364" s="337"/>
    </row>
    <row r="365" spans="1:28" x14ac:dyDescent="0.45">
      <c r="A365" s="337"/>
      <c r="D365" s="337"/>
      <c r="G365" s="337"/>
      <c r="J365" s="337"/>
      <c r="M365" s="337"/>
      <c r="P365" s="337"/>
      <c r="S365" s="337"/>
      <c r="V365" s="337"/>
      <c r="Y365" s="337"/>
      <c r="AB365" s="337"/>
    </row>
    <row r="366" spans="1:28" x14ac:dyDescent="0.45">
      <c r="A366" s="337"/>
      <c r="D366" s="337"/>
      <c r="G366" s="337"/>
      <c r="J366" s="337"/>
      <c r="M366" s="337"/>
      <c r="P366" s="337"/>
      <c r="S366" s="337"/>
      <c r="V366" s="337"/>
      <c r="Y366" s="337"/>
      <c r="AB366" s="337"/>
    </row>
    <row r="367" spans="1:28" x14ac:dyDescent="0.45">
      <c r="A367" s="337"/>
      <c r="D367" s="337"/>
      <c r="G367" s="337"/>
      <c r="J367" s="337"/>
      <c r="M367" s="337"/>
      <c r="P367" s="337"/>
      <c r="S367" s="337"/>
      <c r="V367" s="337"/>
      <c r="Y367" s="337"/>
      <c r="AB367" s="337"/>
    </row>
    <row r="368" spans="1:28" x14ac:dyDescent="0.45">
      <c r="A368" s="337"/>
      <c r="D368" s="337"/>
      <c r="G368" s="337"/>
      <c r="J368" s="337"/>
      <c r="M368" s="337"/>
      <c r="P368" s="337"/>
      <c r="S368" s="337"/>
      <c r="V368" s="337"/>
      <c r="Y368" s="337"/>
      <c r="AB368" s="337"/>
    </row>
    <row r="369" spans="1:28" x14ac:dyDescent="0.45">
      <c r="A369" s="337"/>
      <c r="D369" s="337"/>
      <c r="G369" s="337"/>
      <c r="J369" s="337"/>
      <c r="M369" s="337"/>
      <c r="P369" s="337"/>
      <c r="S369" s="337"/>
      <c r="V369" s="337"/>
      <c r="Y369" s="337"/>
      <c r="AB369" s="337"/>
    </row>
    <row r="370" spans="1:28" x14ac:dyDescent="0.45">
      <c r="A370" s="337"/>
      <c r="D370" s="337"/>
      <c r="G370" s="337"/>
      <c r="J370" s="337"/>
      <c r="M370" s="337"/>
      <c r="P370" s="337"/>
      <c r="S370" s="337"/>
      <c r="V370" s="337"/>
      <c r="Y370" s="337"/>
      <c r="AB370" s="337"/>
    </row>
    <row r="371" spans="1:28" x14ac:dyDescent="0.45">
      <c r="A371" s="337"/>
      <c r="D371" s="337"/>
      <c r="G371" s="337"/>
      <c r="J371" s="337"/>
      <c r="M371" s="337"/>
      <c r="P371" s="337"/>
      <c r="S371" s="337"/>
      <c r="V371" s="337"/>
      <c r="Y371" s="337"/>
      <c r="AB371" s="337"/>
    </row>
    <row r="372" spans="1:28" x14ac:dyDescent="0.45">
      <c r="A372" s="337"/>
      <c r="D372" s="337"/>
      <c r="G372" s="337"/>
      <c r="J372" s="337"/>
      <c r="M372" s="337"/>
      <c r="P372" s="337"/>
      <c r="S372" s="337"/>
      <c r="V372" s="337"/>
      <c r="Y372" s="337"/>
      <c r="AB372" s="337"/>
    </row>
    <row r="373" spans="1:28" x14ac:dyDescent="0.45">
      <c r="A373" s="337"/>
      <c r="D373" s="337"/>
      <c r="G373" s="337"/>
      <c r="J373" s="337"/>
      <c r="M373" s="337"/>
      <c r="P373" s="337"/>
      <c r="S373" s="337"/>
      <c r="V373" s="337"/>
      <c r="Y373" s="337"/>
      <c r="AB373" s="337"/>
    </row>
    <row r="374" spans="1:28" x14ac:dyDescent="0.45">
      <c r="A374" s="337"/>
      <c r="D374" s="337"/>
      <c r="G374" s="337"/>
      <c r="J374" s="337"/>
      <c r="M374" s="337"/>
      <c r="P374" s="337"/>
      <c r="S374" s="337"/>
      <c r="V374" s="337"/>
      <c r="Y374" s="337"/>
      <c r="AB374" s="337"/>
    </row>
    <row r="375" spans="1:28" x14ac:dyDescent="0.45">
      <c r="A375" s="337"/>
      <c r="D375" s="337"/>
      <c r="G375" s="337"/>
      <c r="J375" s="337"/>
      <c r="M375" s="337"/>
      <c r="P375" s="337"/>
      <c r="S375" s="337"/>
      <c r="V375" s="337"/>
      <c r="Y375" s="337"/>
      <c r="AB375" s="337"/>
    </row>
    <row r="376" spans="1:28" x14ac:dyDescent="0.45">
      <c r="A376" s="337"/>
      <c r="D376" s="337"/>
      <c r="G376" s="337"/>
      <c r="J376" s="337"/>
      <c r="M376" s="337"/>
      <c r="P376" s="337"/>
      <c r="S376" s="337"/>
      <c r="V376" s="337"/>
      <c r="Y376" s="337"/>
      <c r="AB376" s="337"/>
    </row>
    <row r="377" spans="1:28" x14ac:dyDescent="0.45">
      <c r="A377" s="337"/>
      <c r="D377" s="337"/>
      <c r="G377" s="337"/>
      <c r="J377" s="337"/>
      <c r="M377" s="337"/>
      <c r="P377" s="337"/>
      <c r="S377" s="337"/>
      <c r="V377" s="337"/>
      <c r="Y377" s="337"/>
      <c r="AB377" s="337"/>
    </row>
    <row r="378" spans="1:28" x14ac:dyDescent="0.45">
      <c r="A378" s="337"/>
      <c r="D378" s="337"/>
      <c r="G378" s="337"/>
      <c r="J378" s="337"/>
      <c r="M378" s="337"/>
      <c r="P378" s="337"/>
      <c r="S378" s="337"/>
      <c r="V378" s="337"/>
      <c r="Y378" s="337"/>
      <c r="AB378" s="337"/>
    </row>
    <row r="379" spans="1:28" x14ac:dyDescent="0.45">
      <c r="A379" s="337"/>
      <c r="D379" s="337"/>
      <c r="G379" s="337"/>
      <c r="J379" s="337"/>
      <c r="M379" s="337"/>
      <c r="P379" s="337"/>
      <c r="S379" s="337"/>
      <c r="V379" s="337"/>
      <c r="Y379" s="337"/>
      <c r="AB379" s="337"/>
    </row>
    <row r="380" spans="1:28" x14ac:dyDescent="0.45">
      <c r="A380" s="337"/>
      <c r="D380" s="337"/>
      <c r="G380" s="337"/>
      <c r="J380" s="337"/>
      <c r="M380" s="337"/>
      <c r="P380" s="337"/>
      <c r="S380" s="337"/>
      <c r="V380" s="337"/>
      <c r="Y380" s="337"/>
      <c r="AB380" s="337"/>
    </row>
    <row r="381" spans="1:28" x14ac:dyDescent="0.45">
      <c r="A381" s="337"/>
      <c r="D381" s="337"/>
      <c r="G381" s="337"/>
      <c r="J381" s="337"/>
      <c r="M381" s="337"/>
      <c r="P381" s="337"/>
      <c r="S381" s="337"/>
      <c r="V381" s="337"/>
      <c r="Y381" s="337"/>
      <c r="AB381" s="337"/>
    </row>
    <row r="382" spans="1:28" x14ac:dyDescent="0.45">
      <c r="A382" s="337"/>
      <c r="D382" s="337"/>
      <c r="G382" s="337"/>
      <c r="J382" s="337"/>
      <c r="M382" s="337"/>
      <c r="P382" s="337"/>
      <c r="S382" s="337"/>
      <c r="V382" s="337"/>
      <c r="Y382" s="337"/>
      <c r="AB382" s="337"/>
    </row>
    <row r="383" spans="1:28" x14ac:dyDescent="0.45">
      <c r="A383" s="337"/>
      <c r="D383" s="337"/>
      <c r="G383" s="337"/>
      <c r="J383" s="337"/>
      <c r="M383" s="337"/>
      <c r="P383" s="337"/>
      <c r="S383" s="337"/>
      <c r="V383" s="337"/>
      <c r="Y383" s="337"/>
      <c r="AB383" s="337"/>
    </row>
    <row r="384" spans="1:28" x14ac:dyDescent="0.45">
      <c r="A384" s="337"/>
      <c r="D384" s="337"/>
      <c r="G384" s="337"/>
      <c r="J384" s="337"/>
      <c r="M384" s="337"/>
      <c r="P384" s="337"/>
      <c r="S384" s="337"/>
      <c r="V384" s="337"/>
      <c r="Y384" s="337"/>
      <c r="AB384" s="337"/>
    </row>
    <row r="385" spans="1:28" x14ac:dyDescent="0.45">
      <c r="A385" s="337"/>
      <c r="D385" s="337"/>
      <c r="G385" s="337"/>
      <c r="J385" s="337"/>
      <c r="M385" s="337"/>
      <c r="P385" s="337"/>
      <c r="S385" s="337"/>
      <c r="V385" s="337"/>
      <c r="Y385" s="337"/>
      <c r="AB385" s="337"/>
    </row>
    <row r="386" spans="1:28" x14ac:dyDescent="0.45">
      <c r="A386" s="337"/>
      <c r="D386" s="337"/>
      <c r="G386" s="337"/>
      <c r="J386" s="337"/>
      <c r="M386" s="337"/>
      <c r="P386" s="337"/>
      <c r="S386" s="337"/>
      <c r="V386" s="337"/>
      <c r="Y386" s="337"/>
      <c r="AB386" s="337"/>
    </row>
    <row r="387" spans="1:28" x14ac:dyDescent="0.45">
      <c r="A387" s="337"/>
      <c r="D387" s="337"/>
      <c r="G387" s="337"/>
      <c r="J387" s="337"/>
      <c r="M387" s="337"/>
      <c r="P387" s="337"/>
      <c r="S387" s="337"/>
      <c r="V387" s="337"/>
      <c r="Y387" s="337"/>
      <c r="AB387" s="337"/>
    </row>
    <row r="388" spans="1:28" x14ac:dyDescent="0.45">
      <c r="A388" s="337"/>
      <c r="D388" s="337"/>
      <c r="G388" s="337"/>
      <c r="J388" s="337"/>
      <c r="M388" s="337"/>
      <c r="P388" s="337"/>
      <c r="S388" s="337"/>
      <c r="V388" s="337"/>
      <c r="Y388" s="337"/>
      <c r="AB388" s="337"/>
    </row>
    <row r="389" spans="1:28" x14ac:dyDescent="0.45">
      <c r="A389" s="337"/>
      <c r="D389" s="337"/>
      <c r="G389" s="337"/>
      <c r="J389" s="337"/>
      <c r="M389" s="337"/>
      <c r="P389" s="337"/>
      <c r="S389" s="337"/>
      <c r="V389" s="337"/>
      <c r="Y389" s="337"/>
      <c r="AB389" s="337"/>
    </row>
    <row r="390" spans="1:28" x14ac:dyDescent="0.45">
      <c r="A390" s="337"/>
      <c r="D390" s="337"/>
      <c r="G390" s="337"/>
      <c r="J390" s="337"/>
      <c r="M390" s="337"/>
      <c r="P390" s="337"/>
      <c r="S390" s="337"/>
      <c r="V390" s="337"/>
      <c r="Y390" s="337"/>
      <c r="AB390" s="337"/>
    </row>
    <row r="391" spans="1:28" x14ac:dyDescent="0.45">
      <c r="A391" s="337"/>
      <c r="D391" s="337"/>
      <c r="G391" s="337"/>
      <c r="J391" s="337"/>
      <c r="M391" s="337"/>
      <c r="P391" s="337"/>
      <c r="S391" s="337"/>
      <c r="V391" s="337"/>
      <c r="Y391" s="337"/>
      <c r="AB391" s="337"/>
    </row>
    <row r="392" spans="1:28" x14ac:dyDescent="0.45">
      <c r="A392" s="337"/>
      <c r="D392" s="337"/>
      <c r="G392" s="337"/>
      <c r="J392" s="337"/>
      <c r="M392" s="337"/>
      <c r="P392" s="337"/>
      <c r="S392" s="337"/>
      <c r="V392" s="337"/>
      <c r="Y392" s="337"/>
      <c r="AB392" s="337"/>
    </row>
    <row r="393" spans="1:28" x14ac:dyDescent="0.45">
      <c r="A393" s="337"/>
      <c r="D393" s="337"/>
      <c r="G393" s="337"/>
      <c r="J393" s="337"/>
      <c r="M393" s="337"/>
      <c r="P393" s="337"/>
      <c r="S393" s="337"/>
      <c r="V393" s="337"/>
      <c r="Y393" s="337"/>
      <c r="AB393" s="337"/>
    </row>
    <row r="394" spans="1:28" x14ac:dyDescent="0.45">
      <c r="A394" s="337"/>
      <c r="D394" s="337"/>
      <c r="G394" s="337"/>
      <c r="J394" s="337"/>
      <c r="M394" s="337"/>
      <c r="P394" s="337"/>
      <c r="S394" s="337"/>
      <c r="V394" s="337"/>
      <c r="Y394" s="337"/>
      <c r="AB394" s="337"/>
    </row>
    <row r="395" spans="1:28" x14ac:dyDescent="0.45">
      <c r="A395" s="337"/>
      <c r="D395" s="337"/>
      <c r="G395" s="337"/>
      <c r="J395" s="337"/>
      <c r="M395" s="337"/>
      <c r="P395" s="337"/>
      <c r="S395" s="337"/>
      <c r="V395" s="337"/>
      <c r="Y395" s="337"/>
      <c r="AB395" s="337"/>
    </row>
    <row r="396" spans="1:28" x14ac:dyDescent="0.45">
      <c r="A396" s="337"/>
      <c r="D396" s="337"/>
      <c r="G396" s="337"/>
      <c r="J396" s="337"/>
      <c r="M396" s="337"/>
      <c r="P396" s="337"/>
      <c r="S396" s="337"/>
      <c r="V396" s="337"/>
      <c r="Y396" s="337"/>
      <c r="AB396" s="337"/>
    </row>
    <row r="397" spans="1:28" x14ac:dyDescent="0.45">
      <c r="A397" s="337"/>
      <c r="D397" s="337"/>
      <c r="G397" s="337"/>
      <c r="J397" s="337"/>
      <c r="M397" s="337"/>
      <c r="P397" s="337"/>
      <c r="S397" s="337"/>
      <c r="V397" s="337"/>
      <c r="Y397" s="337"/>
      <c r="AB397" s="337"/>
    </row>
    <row r="398" spans="1:28" x14ac:dyDescent="0.45">
      <c r="A398" s="337"/>
      <c r="D398" s="337"/>
      <c r="G398" s="337"/>
      <c r="J398" s="337"/>
      <c r="M398" s="337"/>
      <c r="P398" s="337"/>
      <c r="S398" s="337"/>
      <c r="V398" s="337"/>
      <c r="Y398" s="337"/>
      <c r="AB398" s="337"/>
    </row>
    <row r="399" spans="1:28" x14ac:dyDescent="0.45">
      <c r="A399" s="337"/>
      <c r="D399" s="337"/>
      <c r="G399" s="337"/>
      <c r="J399" s="337"/>
      <c r="M399" s="337"/>
      <c r="P399" s="337"/>
      <c r="S399" s="337"/>
      <c r="V399" s="337"/>
      <c r="Y399" s="337"/>
      <c r="AB399" s="337"/>
    </row>
    <row r="400" spans="1:28" x14ac:dyDescent="0.45">
      <c r="A400" s="337"/>
      <c r="D400" s="337"/>
      <c r="G400" s="337"/>
      <c r="J400" s="337"/>
      <c r="M400" s="337"/>
      <c r="P400" s="337"/>
      <c r="S400" s="337"/>
      <c r="V400" s="337"/>
      <c r="Y400" s="337"/>
      <c r="AB400" s="337"/>
    </row>
    <row r="401" spans="1:28" x14ac:dyDescent="0.45">
      <c r="A401" s="337"/>
      <c r="D401" s="337"/>
      <c r="G401" s="337"/>
      <c r="J401" s="337"/>
      <c r="M401" s="337"/>
      <c r="P401" s="337"/>
      <c r="S401" s="337"/>
      <c r="V401" s="337"/>
      <c r="Y401" s="337"/>
      <c r="AB401" s="337"/>
    </row>
    <row r="402" spans="1:28" x14ac:dyDescent="0.45">
      <c r="A402" s="337"/>
      <c r="D402" s="337"/>
      <c r="G402" s="337"/>
      <c r="J402" s="337"/>
      <c r="M402" s="337"/>
      <c r="P402" s="337"/>
      <c r="S402" s="337"/>
      <c r="V402" s="337"/>
      <c r="Y402" s="337"/>
      <c r="AB402" s="337"/>
    </row>
    <row r="403" spans="1:28" x14ac:dyDescent="0.45">
      <c r="A403" s="337"/>
      <c r="D403" s="337"/>
      <c r="G403" s="337"/>
      <c r="J403" s="337"/>
      <c r="M403" s="337"/>
      <c r="P403" s="337"/>
      <c r="S403" s="337"/>
      <c r="V403" s="337"/>
      <c r="Y403" s="337"/>
      <c r="AB403" s="337"/>
    </row>
    <row r="404" spans="1:28" x14ac:dyDescent="0.45">
      <c r="A404" s="337"/>
      <c r="D404" s="337"/>
      <c r="G404" s="337"/>
      <c r="J404" s="337"/>
      <c r="M404" s="337"/>
      <c r="P404" s="337"/>
      <c r="S404" s="337"/>
      <c r="V404" s="337"/>
      <c r="Y404" s="337"/>
      <c r="AB404" s="337"/>
    </row>
    <row r="405" spans="1:28" x14ac:dyDescent="0.45">
      <c r="A405" s="337"/>
      <c r="D405" s="337"/>
      <c r="G405" s="337"/>
      <c r="J405" s="337"/>
      <c r="M405" s="337"/>
      <c r="P405" s="337"/>
      <c r="S405" s="337"/>
      <c r="V405" s="337"/>
      <c r="Y405" s="337"/>
      <c r="AB405" s="337"/>
    </row>
    <row r="406" spans="1:28" x14ac:dyDescent="0.45">
      <c r="A406" s="337"/>
      <c r="D406" s="337"/>
      <c r="G406" s="337"/>
      <c r="J406" s="337"/>
      <c r="M406" s="337"/>
      <c r="P406" s="337"/>
      <c r="S406" s="337"/>
      <c r="V406" s="337"/>
      <c r="Y406" s="337"/>
      <c r="AB406" s="337"/>
    </row>
    <row r="407" spans="1:28" x14ac:dyDescent="0.45">
      <c r="A407" s="337"/>
      <c r="D407" s="337"/>
      <c r="G407" s="337"/>
      <c r="J407" s="337"/>
      <c r="M407" s="337"/>
      <c r="P407" s="337"/>
      <c r="S407" s="337"/>
      <c r="V407" s="337"/>
      <c r="Y407" s="337"/>
      <c r="AB407" s="337"/>
    </row>
    <row r="408" spans="1:28" x14ac:dyDescent="0.45">
      <c r="A408" s="337"/>
      <c r="D408" s="337"/>
      <c r="G408" s="337"/>
      <c r="J408" s="337"/>
      <c r="M408" s="337"/>
      <c r="P408" s="337"/>
      <c r="S408" s="337"/>
      <c r="V408" s="337"/>
      <c r="Y408" s="337"/>
      <c r="AB408" s="337"/>
    </row>
    <row r="409" spans="1:28" x14ac:dyDescent="0.45">
      <c r="A409" s="337"/>
      <c r="D409" s="337"/>
      <c r="G409" s="337"/>
      <c r="J409" s="337"/>
      <c r="M409" s="337"/>
      <c r="P409" s="337"/>
      <c r="S409" s="337"/>
      <c r="V409" s="337"/>
      <c r="Y409" s="337"/>
      <c r="AB409" s="337"/>
    </row>
    <row r="410" spans="1:28" x14ac:dyDescent="0.45">
      <c r="A410" s="337"/>
      <c r="D410" s="337"/>
      <c r="G410" s="337"/>
      <c r="J410" s="337"/>
      <c r="M410" s="337"/>
      <c r="P410" s="337"/>
      <c r="S410" s="337"/>
      <c r="V410" s="337"/>
      <c r="Y410" s="337"/>
      <c r="AB410" s="337"/>
    </row>
    <row r="411" spans="1:28" x14ac:dyDescent="0.45">
      <c r="A411" s="337"/>
      <c r="D411" s="337"/>
      <c r="G411" s="337"/>
      <c r="J411" s="337"/>
      <c r="M411" s="337"/>
      <c r="P411" s="337"/>
      <c r="S411" s="337"/>
      <c r="V411" s="337"/>
      <c r="Y411" s="337"/>
      <c r="AB411" s="337"/>
    </row>
    <row r="412" spans="1:28" x14ac:dyDescent="0.45">
      <c r="A412" s="337"/>
      <c r="D412" s="337"/>
      <c r="G412" s="337"/>
      <c r="J412" s="337"/>
      <c r="M412" s="337"/>
      <c r="P412" s="337"/>
      <c r="S412" s="337"/>
      <c r="V412" s="337"/>
      <c r="Y412" s="337"/>
      <c r="AB412" s="337"/>
    </row>
    <row r="413" spans="1:28" x14ac:dyDescent="0.45">
      <c r="A413" s="337"/>
      <c r="D413" s="337"/>
      <c r="G413" s="337"/>
      <c r="J413" s="337"/>
      <c r="M413" s="337"/>
      <c r="P413" s="337"/>
      <c r="S413" s="337"/>
      <c r="V413" s="337"/>
      <c r="Y413" s="337"/>
      <c r="AB413" s="337"/>
    </row>
    <row r="414" spans="1:28" x14ac:dyDescent="0.45">
      <c r="A414" s="337"/>
      <c r="D414" s="337"/>
      <c r="G414" s="337"/>
      <c r="J414" s="337"/>
      <c r="M414" s="337"/>
      <c r="P414" s="337"/>
      <c r="S414" s="337"/>
      <c r="V414" s="337"/>
      <c r="Y414" s="337"/>
      <c r="AB414" s="337"/>
    </row>
    <row r="415" spans="1:28" x14ac:dyDescent="0.45">
      <c r="A415" s="337"/>
      <c r="D415" s="337"/>
      <c r="G415" s="337"/>
      <c r="J415" s="337"/>
      <c r="M415" s="337"/>
      <c r="P415" s="337"/>
      <c r="S415" s="337"/>
      <c r="V415" s="337"/>
      <c r="Y415" s="337"/>
      <c r="AB415" s="337"/>
    </row>
    <row r="416" spans="1:28" x14ac:dyDescent="0.45">
      <c r="A416" s="337"/>
      <c r="D416" s="337"/>
      <c r="G416" s="337"/>
      <c r="J416" s="337"/>
      <c r="M416" s="337"/>
      <c r="P416" s="337"/>
      <c r="S416" s="337"/>
      <c r="V416" s="337"/>
      <c r="Y416" s="337"/>
      <c r="AB416" s="337"/>
    </row>
    <row r="417" spans="1:28" x14ac:dyDescent="0.45">
      <c r="A417" s="337"/>
      <c r="D417" s="337"/>
      <c r="G417" s="337"/>
      <c r="J417" s="337"/>
      <c r="M417" s="337"/>
      <c r="P417" s="337"/>
      <c r="S417" s="337"/>
      <c r="V417" s="337"/>
      <c r="Y417" s="337"/>
      <c r="AB417" s="337"/>
    </row>
    <row r="418" spans="1:28" x14ac:dyDescent="0.45">
      <c r="A418" s="337"/>
      <c r="D418" s="337"/>
      <c r="G418" s="337"/>
      <c r="J418" s="337"/>
      <c r="M418" s="337"/>
      <c r="P418" s="337"/>
      <c r="S418" s="337"/>
      <c r="V418" s="337"/>
      <c r="Y418" s="337"/>
      <c r="AB418" s="337"/>
    </row>
    <row r="419" spans="1:28" x14ac:dyDescent="0.45">
      <c r="A419" s="337"/>
      <c r="D419" s="337"/>
      <c r="G419" s="337"/>
      <c r="J419" s="337"/>
      <c r="M419" s="337"/>
      <c r="P419" s="337"/>
      <c r="S419" s="337"/>
      <c r="V419" s="337"/>
      <c r="Y419" s="337"/>
      <c r="AB419" s="337"/>
    </row>
    <row r="420" spans="1:28" x14ac:dyDescent="0.45">
      <c r="A420" s="337"/>
      <c r="D420" s="337"/>
      <c r="G420" s="337"/>
      <c r="J420" s="337"/>
      <c r="M420" s="337"/>
      <c r="P420" s="337"/>
      <c r="S420" s="337"/>
      <c r="V420" s="337"/>
      <c r="Y420" s="337"/>
      <c r="AB420" s="337"/>
    </row>
    <row r="421" spans="1:28" x14ac:dyDescent="0.45">
      <c r="A421" s="337"/>
      <c r="D421" s="337"/>
      <c r="G421" s="337"/>
      <c r="J421" s="337"/>
      <c r="M421" s="337"/>
      <c r="P421" s="337"/>
      <c r="S421" s="337"/>
      <c r="V421" s="337"/>
      <c r="Y421" s="337"/>
      <c r="AB421" s="337"/>
    </row>
    <row r="422" spans="1:28" x14ac:dyDescent="0.45">
      <c r="A422" s="337"/>
      <c r="D422" s="337"/>
      <c r="G422" s="337"/>
      <c r="J422" s="337"/>
      <c r="M422" s="337"/>
      <c r="P422" s="337"/>
      <c r="S422" s="337"/>
      <c r="V422" s="337"/>
      <c r="Y422" s="337"/>
      <c r="AB422" s="337"/>
    </row>
    <row r="423" spans="1:28" x14ac:dyDescent="0.45">
      <c r="A423" s="337"/>
      <c r="D423" s="337"/>
      <c r="G423" s="337"/>
      <c r="J423" s="337"/>
      <c r="M423" s="337"/>
      <c r="P423" s="337"/>
      <c r="S423" s="337"/>
      <c r="V423" s="337"/>
      <c r="Y423" s="337"/>
      <c r="AB423" s="337"/>
    </row>
    <row r="424" spans="1:28" x14ac:dyDescent="0.45">
      <c r="A424" s="337"/>
      <c r="D424" s="337"/>
      <c r="G424" s="337"/>
      <c r="J424" s="337"/>
      <c r="M424" s="337"/>
      <c r="P424" s="337"/>
      <c r="S424" s="337"/>
      <c r="V424" s="337"/>
      <c r="Y424" s="337"/>
      <c r="AB424" s="337"/>
    </row>
    <row r="425" spans="1:28" x14ac:dyDescent="0.45">
      <c r="A425" s="337"/>
      <c r="D425" s="337"/>
      <c r="G425" s="337"/>
      <c r="J425" s="337"/>
      <c r="M425" s="337"/>
      <c r="P425" s="337"/>
      <c r="S425" s="337"/>
      <c r="V425" s="337"/>
      <c r="Y425" s="337"/>
      <c r="AB425" s="337"/>
    </row>
    <row r="426" spans="1:28" x14ac:dyDescent="0.45">
      <c r="A426" s="337"/>
      <c r="D426" s="337"/>
      <c r="G426" s="337"/>
      <c r="J426" s="337"/>
      <c r="M426" s="337"/>
      <c r="P426" s="337"/>
      <c r="S426" s="337"/>
      <c r="V426" s="337"/>
      <c r="Y426" s="337"/>
      <c r="AB426" s="337"/>
    </row>
    <row r="427" spans="1:28" x14ac:dyDescent="0.45">
      <c r="A427" s="337"/>
      <c r="D427" s="337"/>
      <c r="G427" s="337"/>
      <c r="J427" s="337"/>
      <c r="M427" s="337"/>
      <c r="P427" s="337"/>
      <c r="S427" s="337"/>
      <c r="V427" s="337"/>
      <c r="Y427" s="337"/>
      <c r="AB427" s="337"/>
    </row>
    <row r="428" spans="1:28" x14ac:dyDescent="0.45">
      <c r="A428" s="337"/>
      <c r="D428" s="337"/>
      <c r="G428" s="337"/>
      <c r="J428" s="337"/>
      <c r="M428" s="337"/>
      <c r="P428" s="337"/>
      <c r="S428" s="337"/>
      <c r="V428" s="337"/>
      <c r="Y428" s="337"/>
      <c r="AB428" s="337"/>
    </row>
    <row r="429" spans="1:28" x14ac:dyDescent="0.45">
      <c r="A429" s="337"/>
      <c r="D429" s="337"/>
      <c r="G429" s="337"/>
      <c r="J429" s="337"/>
      <c r="M429" s="337"/>
      <c r="P429" s="337"/>
      <c r="S429" s="337"/>
      <c r="V429" s="337"/>
      <c r="Y429" s="337"/>
      <c r="AB429" s="337"/>
    </row>
    <row r="430" spans="1:28" x14ac:dyDescent="0.45">
      <c r="A430" s="337"/>
      <c r="D430" s="337"/>
      <c r="G430" s="337"/>
      <c r="J430" s="337"/>
      <c r="M430" s="337"/>
      <c r="P430" s="337"/>
      <c r="S430" s="337"/>
      <c r="V430" s="337"/>
      <c r="Y430" s="337"/>
      <c r="AB430" s="337"/>
    </row>
    <row r="431" spans="1:28" x14ac:dyDescent="0.45">
      <c r="A431" s="337"/>
      <c r="D431" s="337"/>
      <c r="G431" s="337"/>
      <c r="J431" s="337"/>
      <c r="M431" s="337"/>
      <c r="P431" s="337"/>
      <c r="S431" s="337"/>
      <c r="V431" s="337"/>
      <c r="Y431" s="337"/>
      <c r="AB431" s="337"/>
    </row>
    <row r="432" spans="1:28" x14ac:dyDescent="0.45">
      <c r="A432" s="337"/>
      <c r="D432" s="337"/>
      <c r="G432" s="337"/>
      <c r="J432" s="337"/>
      <c r="M432" s="337"/>
      <c r="P432" s="337"/>
      <c r="S432" s="337"/>
      <c r="V432" s="337"/>
      <c r="Y432" s="337"/>
      <c r="AB432" s="337"/>
    </row>
    <row r="433" spans="1:28" x14ac:dyDescent="0.45">
      <c r="A433" s="337"/>
      <c r="D433" s="337"/>
      <c r="G433" s="337"/>
      <c r="J433" s="337"/>
      <c r="M433" s="337"/>
      <c r="P433" s="337"/>
      <c r="S433" s="337"/>
      <c r="V433" s="337"/>
      <c r="Y433" s="337"/>
      <c r="AB433" s="337"/>
    </row>
    <row r="434" spans="1:28" x14ac:dyDescent="0.45">
      <c r="A434" s="337"/>
      <c r="D434" s="337"/>
      <c r="G434" s="337"/>
      <c r="J434" s="337"/>
      <c r="M434" s="337"/>
      <c r="P434" s="337"/>
      <c r="S434" s="337"/>
      <c r="V434" s="337"/>
      <c r="Y434" s="337"/>
      <c r="AB434" s="337"/>
    </row>
    <row r="435" spans="1:28" x14ac:dyDescent="0.45">
      <c r="A435" s="337"/>
      <c r="D435" s="337"/>
      <c r="G435" s="337"/>
      <c r="J435" s="337"/>
      <c r="M435" s="337"/>
      <c r="P435" s="337"/>
      <c r="S435" s="337"/>
      <c r="V435" s="337"/>
      <c r="Y435" s="337"/>
      <c r="AB435" s="337"/>
    </row>
    <row r="436" spans="1:28" x14ac:dyDescent="0.45">
      <c r="A436" s="337"/>
      <c r="D436" s="337"/>
      <c r="G436" s="337"/>
      <c r="J436" s="337"/>
      <c r="M436" s="337"/>
      <c r="P436" s="337"/>
      <c r="S436" s="337"/>
      <c r="V436" s="337"/>
      <c r="Y436" s="337"/>
      <c r="AB436" s="337"/>
    </row>
    <row r="437" spans="1:28" x14ac:dyDescent="0.45">
      <c r="A437" s="337"/>
      <c r="D437" s="337"/>
      <c r="G437" s="337"/>
      <c r="J437" s="337"/>
      <c r="M437" s="337"/>
      <c r="P437" s="337"/>
      <c r="S437" s="337"/>
      <c r="V437" s="337"/>
      <c r="Y437" s="337"/>
      <c r="AB437" s="337"/>
    </row>
    <row r="438" spans="1:28" x14ac:dyDescent="0.45">
      <c r="A438" s="337"/>
      <c r="D438" s="337"/>
      <c r="G438" s="337"/>
      <c r="J438" s="337"/>
      <c r="M438" s="337"/>
      <c r="P438" s="337"/>
      <c r="S438" s="337"/>
      <c r="V438" s="337"/>
      <c r="Y438" s="337"/>
      <c r="AB438" s="337"/>
    </row>
    <row r="439" spans="1:28" x14ac:dyDescent="0.45">
      <c r="A439" s="337"/>
      <c r="D439" s="337"/>
      <c r="G439" s="337"/>
      <c r="J439" s="337"/>
      <c r="M439" s="337"/>
      <c r="P439" s="337"/>
      <c r="S439" s="337"/>
      <c r="V439" s="337"/>
      <c r="Y439" s="337"/>
      <c r="AB439" s="337"/>
    </row>
    <row r="440" spans="1:28" x14ac:dyDescent="0.45">
      <c r="A440" s="337"/>
      <c r="D440" s="337"/>
      <c r="G440" s="337"/>
      <c r="J440" s="337"/>
      <c r="M440" s="337"/>
      <c r="P440" s="337"/>
      <c r="S440" s="337"/>
      <c r="V440" s="337"/>
      <c r="Y440" s="337"/>
      <c r="AB440" s="337"/>
    </row>
    <row r="441" spans="1:28" x14ac:dyDescent="0.45">
      <c r="A441" s="337"/>
      <c r="D441" s="337"/>
      <c r="G441" s="337"/>
      <c r="J441" s="337"/>
      <c r="M441" s="337"/>
      <c r="P441" s="337"/>
      <c r="S441" s="337"/>
      <c r="V441" s="337"/>
      <c r="Y441" s="337"/>
      <c r="AB441" s="337"/>
    </row>
    <row r="442" spans="1:28" x14ac:dyDescent="0.45">
      <c r="A442" s="337"/>
      <c r="D442" s="337"/>
      <c r="G442" s="337"/>
      <c r="J442" s="337"/>
      <c r="M442" s="337"/>
      <c r="P442" s="337"/>
      <c r="S442" s="337"/>
      <c r="V442" s="337"/>
      <c r="Y442" s="337"/>
      <c r="AB442" s="337"/>
    </row>
    <row r="443" spans="1:28" x14ac:dyDescent="0.45">
      <c r="A443" s="337"/>
      <c r="D443" s="337"/>
      <c r="G443" s="337"/>
      <c r="J443" s="337"/>
      <c r="M443" s="337"/>
      <c r="P443" s="337"/>
      <c r="S443" s="337"/>
      <c r="V443" s="337"/>
      <c r="Y443" s="337"/>
      <c r="AB443" s="337"/>
    </row>
    <row r="444" spans="1:28" x14ac:dyDescent="0.45">
      <c r="A444" s="337"/>
      <c r="D444" s="337"/>
      <c r="G444" s="337"/>
      <c r="J444" s="337"/>
      <c r="M444" s="337"/>
      <c r="P444" s="337"/>
      <c r="S444" s="337"/>
      <c r="V444" s="337"/>
      <c r="Y444" s="337"/>
      <c r="AB444" s="337"/>
    </row>
    <row r="445" spans="1:28" x14ac:dyDescent="0.45">
      <c r="A445" s="337"/>
      <c r="D445" s="337"/>
      <c r="G445" s="337"/>
      <c r="J445" s="337"/>
      <c r="M445" s="337"/>
      <c r="P445" s="337"/>
      <c r="S445" s="337"/>
      <c r="V445" s="337"/>
      <c r="Y445" s="337"/>
      <c r="AB445" s="337"/>
    </row>
    <row r="446" spans="1:28" x14ac:dyDescent="0.45">
      <c r="A446" s="337"/>
      <c r="D446" s="337"/>
      <c r="G446" s="337"/>
      <c r="J446" s="337"/>
      <c r="M446" s="337"/>
      <c r="P446" s="337"/>
      <c r="S446" s="337"/>
      <c r="V446" s="337"/>
      <c r="Y446" s="337"/>
      <c r="AB446" s="337"/>
    </row>
    <row r="447" spans="1:28" x14ac:dyDescent="0.45">
      <c r="A447" s="337"/>
      <c r="D447" s="337"/>
      <c r="G447" s="337"/>
      <c r="J447" s="337"/>
      <c r="M447" s="337"/>
      <c r="P447" s="337"/>
      <c r="S447" s="337"/>
      <c r="V447" s="337"/>
      <c r="Y447" s="337"/>
      <c r="AB447" s="337"/>
    </row>
    <row r="448" spans="1:28" x14ac:dyDescent="0.45">
      <c r="A448" s="337"/>
      <c r="D448" s="337"/>
      <c r="G448" s="337"/>
      <c r="J448" s="337"/>
      <c r="M448" s="337"/>
      <c r="P448" s="337"/>
      <c r="S448" s="337"/>
      <c r="V448" s="337"/>
      <c r="Y448" s="337"/>
      <c r="AB448" s="337"/>
    </row>
    <row r="449" spans="1:28" x14ac:dyDescent="0.45">
      <c r="A449" s="337"/>
      <c r="D449" s="337"/>
      <c r="G449" s="337"/>
      <c r="J449" s="337"/>
      <c r="M449" s="337"/>
      <c r="P449" s="337"/>
      <c r="S449" s="337"/>
      <c r="V449" s="337"/>
      <c r="Y449" s="337"/>
      <c r="AB449" s="337"/>
    </row>
    <row r="450" spans="1:28" x14ac:dyDescent="0.45">
      <c r="A450" s="337"/>
      <c r="D450" s="337"/>
      <c r="G450" s="337"/>
      <c r="J450" s="337"/>
      <c r="M450" s="337"/>
      <c r="P450" s="337"/>
      <c r="S450" s="337"/>
      <c r="V450" s="337"/>
      <c r="Y450" s="337"/>
      <c r="AB450" s="337"/>
    </row>
    <row r="451" spans="1:28" x14ac:dyDescent="0.45">
      <c r="A451" s="337"/>
      <c r="D451" s="337"/>
      <c r="G451" s="337"/>
      <c r="J451" s="337"/>
      <c r="M451" s="337"/>
      <c r="P451" s="337"/>
      <c r="S451" s="337"/>
      <c r="V451" s="337"/>
      <c r="Y451" s="337"/>
      <c r="AB451" s="337"/>
    </row>
    <row r="452" spans="1:28" x14ac:dyDescent="0.45">
      <c r="A452" s="337"/>
      <c r="D452" s="337"/>
      <c r="G452" s="337"/>
      <c r="J452" s="337"/>
      <c r="M452" s="337"/>
      <c r="P452" s="337"/>
      <c r="S452" s="337"/>
      <c r="V452" s="337"/>
      <c r="Y452" s="337"/>
      <c r="AB452" s="337"/>
    </row>
    <row r="453" spans="1:28" x14ac:dyDescent="0.45">
      <c r="A453" s="337"/>
      <c r="D453" s="337"/>
      <c r="G453" s="337"/>
      <c r="J453" s="337"/>
      <c r="M453" s="337"/>
      <c r="P453" s="337"/>
      <c r="S453" s="337"/>
      <c r="V453" s="337"/>
      <c r="Y453" s="337"/>
      <c r="AB453" s="337"/>
    </row>
    <row r="454" spans="1:28" x14ac:dyDescent="0.45">
      <c r="A454" s="337"/>
      <c r="D454" s="337"/>
      <c r="G454" s="337"/>
      <c r="J454" s="337"/>
      <c r="M454" s="337"/>
      <c r="P454" s="337"/>
      <c r="S454" s="337"/>
      <c r="V454" s="337"/>
      <c r="Y454" s="337"/>
      <c r="AB454" s="337"/>
    </row>
    <row r="455" spans="1:28" x14ac:dyDescent="0.45">
      <c r="A455" s="337"/>
      <c r="D455" s="337"/>
      <c r="G455" s="337"/>
      <c r="J455" s="337"/>
      <c r="M455" s="337"/>
      <c r="P455" s="337"/>
      <c r="S455" s="337"/>
      <c r="V455" s="337"/>
      <c r="Y455" s="337"/>
      <c r="AB455" s="337"/>
    </row>
    <row r="456" spans="1:28" x14ac:dyDescent="0.45">
      <c r="A456" s="337"/>
      <c r="D456" s="337"/>
      <c r="G456" s="337"/>
      <c r="J456" s="337"/>
      <c r="M456" s="337"/>
      <c r="P456" s="337"/>
      <c r="S456" s="337"/>
      <c r="V456" s="337"/>
      <c r="Y456" s="337"/>
      <c r="AB456" s="337"/>
    </row>
    <row r="457" spans="1:28" x14ac:dyDescent="0.45">
      <c r="A457" s="337"/>
      <c r="D457" s="337"/>
      <c r="G457" s="337"/>
      <c r="J457" s="337"/>
      <c r="M457" s="337"/>
      <c r="P457" s="337"/>
      <c r="S457" s="337"/>
      <c r="V457" s="337"/>
      <c r="Y457" s="337"/>
      <c r="AB457" s="337"/>
    </row>
    <row r="458" spans="1:28" x14ac:dyDescent="0.45">
      <c r="A458" s="337"/>
      <c r="D458" s="337"/>
      <c r="G458" s="337"/>
      <c r="J458" s="337"/>
      <c r="M458" s="337"/>
      <c r="P458" s="337"/>
      <c r="S458" s="337"/>
      <c r="V458" s="337"/>
      <c r="Y458" s="337"/>
      <c r="AB458" s="337"/>
    </row>
    <row r="459" spans="1:28" x14ac:dyDescent="0.45">
      <c r="A459" s="337"/>
      <c r="D459" s="337"/>
      <c r="G459" s="337"/>
      <c r="J459" s="337"/>
      <c r="M459" s="337"/>
      <c r="P459" s="337"/>
      <c r="S459" s="337"/>
      <c r="V459" s="337"/>
      <c r="Y459" s="337"/>
      <c r="AB459" s="337"/>
    </row>
    <row r="460" spans="1:28" x14ac:dyDescent="0.45">
      <c r="A460" s="337"/>
      <c r="D460" s="337"/>
      <c r="G460" s="337"/>
      <c r="J460" s="337"/>
      <c r="M460" s="337"/>
      <c r="P460" s="337"/>
      <c r="S460" s="337"/>
      <c r="V460" s="337"/>
      <c r="Y460" s="337"/>
      <c r="AB460" s="337"/>
    </row>
    <row r="461" spans="1:28" x14ac:dyDescent="0.45">
      <c r="A461" s="337"/>
      <c r="D461" s="337"/>
      <c r="G461" s="337"/>
      <c r="J461" s="337"/>
      <c r="M461" s="337"/>
      <c r="P461" s="337"/>
      <c r="S461" s="337"/>
      <c r="V461" s="337"/>
      <c r="Y461" s="337"/>
      <c r="AB461" s="337"/>
    </row>
    <row r="462" spans="1:28" x14ac:dyDescent="0.45">
      <c r="A462" s="337"/>
      <c r="D462" s="337"/>
      <c r="G462" s="337"/>
      <c r="J462" s="337"/>
      <c r="M462" s="337"/>
      <c r="P462" s="337"/>
      <c r="S462" s="337"/>
      <c r="V462" s="337"/>
      <c r="Y462" s="337"/>
      <c r="AB462" s="337"/>
    </row>
    <row r="463" spans="1:28" x14ac:dyDescent="0.45">
      <c r="A463" s="337"/>
      <c r="D463" s="337"/>
      <c r="G463" s="337"/>
      <c r="J463" s="337"/>
      <c r="M463" s="337"/>
      <c r="P463" s="337"/>
      <c r="S463" s="337"/>
      <c r="V463" s="337"/>
      <c r="Y463" s="337"/>
      <c r="AB463" s="337"/>
    </row>
    <row r="464" spans="1:28" x14ac:dyDescent="0.45">
      <c r="A464" s="337"/>
      <c r="D464" s="337"/>
      <c r="G464" s="337"/>
      <c r="J464" s="337"/>
      <c r="M464" s="337"/>
      <c r="P464" s="337"/>
      <c r="S464" s="337"/>
      <c r="V464" s="337"/>
      <c r="Y464" s="337"/>
      <c r="AB464" s="337"/>
    </row>
    <row r="465" spans="1:28" x14ac:dyDescent="0.45">
      <c r="A465" s="337"/>
      <c r="D465" s="337"/>
      <c r="G465" s="337"/>
      <c r="J465" s="337"/>
      <c r="M465" s="337"/>
      <c r="P465" s="337"/>
      <c r="S465" s="337"/>
      <c r="V465" s="337"/>
      <c r="Y465" s="337"/>
      <c r="AB465" s="337"/>
    </row>
    <row r="466" spans="1:28" x14ac:dyDescent="0.45">
      <c r="A466" s="337"/>
      <c r="D466" s="337"/>
      <c r="G466" s="337"/>
      <c r="J466" s="337"/>
      <c r="M466" s="337"/>
      <c r="P466" s="337"/>
      <c r="S466" s="337"/>
      <c r="V466" s="337"/>
      <c r="Y466" s="337"/>
      <c r="AB466" s="337"/>
    </row>
    <row r="467" spans="1:28" x14ac:dyDescent="0.45">
      <c r="A467" s="337"/>
      <c r="D467" s="337"/>
      <c r="G467" s="337"/>
      <c r="J467" s="337"/>
      <c r="M467" s="337"/>
      <c r="P467" s="337"/>
      <c r="S467" s="337"/>
      <c r="V467" s="337"/>
      <c r="Y467" s="337"/>
      <c r="AB467" s="337"/>
    </row>
    <row r="468" spans="1:28" x14ac:dyDescent="0.45">
      <c r="A468" s="337"/>
      <c r="D468" s="337"/>
      <c r="G468" s="337"/>
      <c r="J468" s="337"/>
      <c r="M468" s="337"/>
      <c r="P468" s="337"/>
      <c r="S468" s="337"/>
      <c r="V468" s="337"/>
      <c r="Y468" s="337"/>
      <c r="AB468" s="337"/>
    </row>
    <row r="469" spans="1:28" x14ac:dyDescent="0.45">
      <c r="A469" s="337"/>
      <c r="D469" s="337"/>
      <c r="G469" s="337"/>
      <c r="J469" s="337"/>
      <c r="M469" s="337"/>
      <c r="P469" s="337"/>
      <c r="S469" s="337"/>
      <c r="V469" s="337"/>
      <c r="Y469" s="337"/>
      <c r="AB469" s="337"/>
    </row>
    <row r="470" spans="1:28" x14ac:dyDescent="0.45">
      <c r="A470" s="337"/>
      <c r="D470" s="337"/>
      <c r="G470" s="337"/>
      <c r="J470" s="337"/>
      <c r="M470" s="337"/>
      <c r="P470" s="337"/>
      <c r="S470" s="337"/>
      <c r="V470" s="337"/>
      <c r="Y470" s="337"/>
      <c r="AB470" s="337"/>
    </row>
    <row r="471" spans="1:28" x14ac:dyDescent="0.45">
      <c r="A471" s="337"/>
      <c r="D471" s="337"/>
      <c r="G471" s="337"/>
      <c r="J471" s="337"/>
      <c r="M471" s="337"/>
      <c r="P471" s="337"/>
      <c r="S471" s="337"/>
      <c r="V471" s="337"/>
      <c r="Y471" s="337"/>
      <c r="AB471" s="337"/>
    </row>
    <row r="472" spans="1:28" x14ac:dyDescent="0.45">
      <c r="A472" s="337"/>
      <c r="D472" s="337"/>
      <c r="G472" s="337"/>
      <c r="J472" s="337"/>
      <c r="M472" s="337"/>
      <c r="P472" s="337"/>
      <c r="S472" s="337"/>
      <c r="V472" s="337"/>
      <c r="Y472" s="337"/>
      <c r="AB472" s="337"/>
    </row>
    <row r="473" spans="1:28" x14ac:dyDescent="0.45">
      <c r="A473" s="337"/>
      <c r="D473" s="337"/>
      <c r="G473" s="337"/>
      <c r="J473" s="337"/>
      <c r="M473" s="337"/>
      <c r="P473" s="337"/>
      <c r="S473" s="337"/>
      <c r="V473" s="337"/>
      <c r="Y473" s="337"/>
      <c r="AB473" s="337"/>
    </row>
    <row r="474" spans="1:28" x14ac:dyDescent="0.45">
      <c r="A474" s="337"/>
      <c r="D474" s="337"/>
      <c r="G474" s="337"/>
      <c r="J474" s="337"/>
      <c r="M474" s="337"/>
      <c r="P474" s="337"/>
      <c r="S474" s="337"/>
      <c r="V474" s="337"/>
      <c r="Y474" s="337"/>
      <c r="AB474" s="337"/>
    </row>
    <row r="475" spans="1:28" x14ac:dyDescent="0.45">
      <c r="A475" s="337"/>
      <c r="D475" s="337"/>
      <c r="G475" s="337"/>
      <c r="J475" s="337"/>
      <c r="M475" s="337"/>
      <c r="P475" s="337"/>
      <c r="S475" s="337"/>
      <c r="V475" s="337"/>
      <c r="Y475" s="337"/>
      <c r="AB475" s="337"/>
    </row>
    <row r="476" spans="1:28" x14ac:dyDescent="0.45">
      <c r="A476" s="337"/>
      <c r="D476" s="337"/>
      <c r="G476" s="337"/>
      <c r="J476" s="337"/>
      <c r="M476" s="337"/>
      <c r="P476" s="337"/>
      <c r="S476" s="337"/>
      <c r="V476" s="337"/>
      <c r="Y476" s="337"/>
      <c r="AB476" s="337"/>
    </row>
    <row r="477" spans="1:28" x14ac:dyDescent="0.45">
      <c r="A477" s="337"/>
      <c r="D477" s="337"/>
      <c r="G477" s="337"/>
      <c r="J477" s="337"/>
      <c r="M477" s="337"/>
      <c r="P477" s="337"/>
      <c r="S477" s="337"/>
      <c r="V477" s="337"/>
      <c r="Y477" s="337"/>
      <c r="AB477" s="337"/>
    </row>
    <row r="478" spans="1:28" x14ac:dyDescent="0.45">
      <c r="A478" s="337"/>
      <c r="D478" s="337"/>
      <c r="G478" s="337"/>
      <c r="J478" s="337"/>
      <c r="M478" s="337"/>
      <c r="P478" s="337"/>
      <c r="S478" s="337"/>
      <c r="V478" s="337"/>
      <c r="Y478" s="337"/>
      <c r="AB478" s="337"/>
    </row>
    <row r="479" spans="1:28" x14ac:dyDescent="0.45">
      <c r="A479" s="337"/>
      <c r="D479" s="337"/>
      <c r="G479" s="337"/>
      <c r="J479" s="337"/>
      <c r="M479" s="337"/>
      <c r="P479" s="337"/>
      <c r="S479" s="337"/>
      <c r="V479" s="337"/>
      <c r="Y479" s="337"/>
      <c r="AB479" s="337"/>
    </row>
    <row r="480" spans="1:28" x14ac:dyDescent="0.45">
      <c r="A480" s="337"/>
      <c r="D480" s="337"/>
      <c r="G480" s="337"/>
      <c r="J480" s="337"/>
      <c r="M480" s="337"/>
      <c r="P480" s="337"/>
      <c r="S480" s="337"/>
      <c r="V480" s="337"/>
      <c r="Y480" s="337"/>
      <c r="AB480" s="337"/>
    </row>
    <row r="481" spans="1:28" x14ac:dyDescent="0.45">
      <c r="A481" s="337"/>
      <c r="D481" s="337"/>
      <c r="G481" s="337"/>
      <c r="J481" s="337"/>
      <c r="M481" s="337"/>
      <c r="P481" s="337"/>
      <c r="S481" s="337"/>
      <c r="V481" s="337"/>
      <c r="Y481" s="337"/>
      <c r="AB481" s="337"/>
    </row>
    <row r="482" spans="1:28" x14ac:dyDescent="0.45">
      <c r="A482" s="337"/>
      <c r="D482" s="337"/>
      <c r="G482" s="337"/>
      <c r="J482" s="337"/>
      <c r="M482" s="337"/>
      <c r="P482" s="337"/>
      <c r="S482" s="337"/>
      <c r="V482" s="337"/>
      <c r="Y482" s="337"/>
      <c r="AB482" s="337"/>
    </row>
    <row r="483" spans="1:28" x14ac:dyDescent="0.45">
      <c r="A483" s="337"/>
      <c r="D483" s="337"/>
      <c r="G483" s="337"/>
      <c r="J483" s="337"/>
      <c r="M483" s="337"/>
      <c r="P483" s="337"/>
      <c r="S483" s="337"/>
      <c r="V483" s="337"/>
      <c r="Y483" s="337"/>
      <c r="AB483" s="337"/>
    </row>
    <row r="484" spans="1:28" x14ac:dyDescent="0.45">
      <c r="A484" s="337"/>
      <c r="D484" s="337"/>
      <c r="G484" s="337"/>
      <c r="J484" s="337"/>
      <c r="M484" s="337"/>
      <c r="P484" s="337"/>
      <c r="S484" s="337"/>
      <c r="V484" s="337"/>
      <c r="Y484" s="337"/>
      <c r="AB484" s="337"/>
    </row>
    <row r="485" spans="1:28" x14ac:dyDescent="0.45">
      <c r="A485" s="337"/>
      <c r="D485" s="337"/>
      <c r="G485" s="337"/>
      <c r="J485" s="337"/>
      <c r="M485" s="337"/>
      <c r="P485" s="337"/>
      <c r="S485" s="337"/>
      <c r="V485" s="337"/>
      <c r="Y485" s="337"/>
      <c r="AB485" s="337"/>
    </row>
    <row r="486" spans="1:28" x14ac:dyDescent="0.45">
      <c r="A486" s="337"/>
      <c r="D486" s="337"/>
      <c r="G486" s="337"/>
      <c r="J486" s="337"/>
      <c r="M486" s="337"/>
      <c r="P486" s="337"/>
      <c r="S486" s="337"/>
      <c r="V486" s="337"/>
      <c r="Y486" s="337"/>
      <c r="AB486" s="337"/>
    </row>
    <row r="487" spans="1:28" x14ac:dyDescent="0.45">
      <c r="A487" s="337"/>
      <c r="D487" s="337"/>
      <c r="G487" s="337"/>
      <c r="J487" s="337"/>
      <c r="M487" s="337"/>
      <c r="P487" s="337"/>
      <c r="S487" s="337"/>
      <c r="V487" s="337"/>
      <c r="Y487" s="337"/>
      <c r="AB487" s="337"/>
    </row>
    <row r="488" spans="1:28" x14ac:dyDescent="0.45">
      <c r="A488" s="337"/>
      <c r="D488" s="337"/>
      <c r="G488" s="337"/>
      <c r="J488" s="337"/>
      <c r="M488" s="337"/>
      <c r="P488" s="337"/>
      <c r="S488" s="337"/>
      <c r="V488" s="337"/>
      <c r="Y488" s="337"/>
      <c r="AB488" s="337"/>
    </row>
    <row r="489" spans="1:28" x14ac:dyDescent="0.45">
      <c r="A489" s="337"/>
      <c r="D489" s="337"/>
      <c r="G489" s="337"/>
      <c r="J489" s="337"/>
      <c r="M489" s="337"/>
      <c r="P489" s="337"/>
      <c r="S489" s="337"/>
      <c r="V489" s="337"/>
      <c r="Y489" s="337"/>
      <c r="AB489" s="337"/>
    </row>
    <row r="490" spans="1:28" x14ac:dyDescent="0.45">
      <c r="A490" s="337"/>
      <c r="D490" s="337"/>
      <c r="G490" s="337"/>
      <c r="J490" s="337"/>
      <c r="M490" s="337"/>
      <c r="P490" s="337"/>
      <c r="S490" s="337"/>
      <c r="V490" s="337"/>
      <c r="Y490" s="337"/>
      <c r="AB490" s="337"/>
    </row>
    <row r="491" spans="1:28" x14ac:dyDescent="0.45">
      <c r="A491" s="337"/>
      <c r="D491" s="337"/>
      <c r="G491" s="337"/>
      <c r="J491" s="337"/>
      <c r="M491" s="337"/>
      <c r="P491" s="337"/>
      <c r="S491" s="337"/>
      <c r="V491" s="337"/>
      <c r="Y491" s="337"/>
      <c r="AB491" s="337"/>
    </row>
    <row r="492" spans="1:28" x14ac:dyDescent="0.45">
      <c r="A492" s="337"/>
      <c r="D492" s="337"/>
      <c r="G492" s="337"/>
      <c r="J492" s="337"/>
      <c r="M492" s="337"/>
      <c r="P492" s="337"/>
      <c r="S492" s="337"/>
      <c r="V492" s="337"/>
      <c r="Y492" s="337"/>
      <c r="AB492" s="337"/>
    </row>
    <row r="493" spans="1:28" x14ac:dyDescent="0.45">
      <c r="A493" s="337"/>
      <c r="D493" s="337"/>
      <c r="G493" s="337"/>
      <c r="J493" s="337"/>
      <c r="M493" s="337"/>
      <c r="P493" s="337"/>
      <c r="S493" s="337"/>
      <c r="V493" s="337"/>
      <c r="Y493" s="337"/>
      <c r="AB493" s="337"/>
    </row>
    <row r="494" spans="1:28" x14ac:dyDescent="0.45">
      <c r="A494" s="337"/>
      <c r="D494" s="337"/>
      <c r="G494" s="337"/>
      <c r="J494" s="337"/>
      <c r="M494" s="337"/>
      <c r="P494" s="337"/>
      <c r="S494" s="337"/>
      <c r="V494" s="337"/>
      <c r="Y494" s="337"/>
      <c r="AB494" s="337"/>
    </row>
    <row r="495" spans="1:28" x14ac:dyDescent="0.45">
      <c r="A495" s="337"/>
      <c r="D495" s="337"/>
      <c r="G495" s="337"/>
      <c r="J495" s="337"/>
      <c r="M495" s="337"/>
      <c r="P495" s="337"/>
      <c r="S495" s="337"/>
      <c r="V495" s="337"/>
      <c r="Y495" s="337"/>
      <c r="AB495" s="337"/>
    </row>
    <row r="496" spans="1:28" x14ac:dyDescent="0.45">
      <c r="A496" s="337"/>
      <c r="D496" s="337"/>
      <c r="G496" s="337"/>
      <c r="J496" s="337"/>
      <c r="M496" s="337"/>
      <c r="P496" s="337"/>
      <c r="S496" s="337"/>
      <c r="V496" s="337"/>
      <c r="Y496" s="337"/>
      <c r="AB496" s="337"/>
    </row>
    <row r="497" spans="1:28" x14ac:dyDescent="0.45">
      <c r="A497" s="337"/>
      <c r="D497" s="337"/>
      <c r="G497" s="337"/>
      <c r="J497" s="337"/>
      <c r="M497" s="337"/>
      <c r="P497" s="337"/>
      <c r="S497" s="337"/>
      <c r="V497" s="337"/>
      <c r="Y497" s="337"/>
      <c r="AB497" s="337"/>
    </row>
    <row r="498" spans="1:28" x14ac:dyDescent="0.45">
      <c r="A498" s="337"/>
      <c r="D498" s="337"/>
      <c r="G498" s="337"/>
      <c r="J498" s="337"/>
      <c r="M498" s="337"/>
      <c r="P498" s="337"/>
      <c r="S498" s="337"/>
      <c r="V498" s="337"/>
      <c r="Y498" s="337"/>
      <c r="AB498" s="337"/>
    </row>
    <row r="499" spans="1:28" x14ac:dyDescent="0.45">
      <c r="A499" s="337"/>
      <c r="D499" s="337"/>
      <c r="G499" s="337"/>
      <c r="J499" s="337"/>
      <c r="M499" s="337"/>
      <c r="P499" s="337"/>
      <c r="S499" s="337"/>
      <c r="V499" s="337"/>
      <c r="Y499" s="337"/>
      <c r="AB499" s="337"/>
    </row>
    <row r="500" spans="1:28" x14ac:dyDescent="0.45">
      <c r="A500" s="337"/>
      <c r="D500" s="337"/>
      <c r="G500" s="337"/>
      <c r="J500" s="337"/>
      <c r="M500" s="337"/>
      <c r="P500" s="337"/>
      <c r="S500" s="337"/>
      <c r="V500" s="337"/>
      <c r="Y500" s="337"/>
      <c r="AB500" s="337"/>
    </row>
    <row r="501" spans="1:28" x14ac:dyDescent="0.45">
      <c r="A501" s="337"/>
      <c r="D501" s="337"/>
      <c r="G501" s="337"/>
      <c r="J501" s="337"/>
      <c r="M501" s="337"/>
      <c r="P501" s="337"/>
      <c r="S501" s="337"/>
      <c r="V501" s="337"/>
      <c r="Y501" s="337"/>
      <c r="AB501" s="337"/>
    </row>
    <row r="502" spans="1:28" x14ac:dyDescent="0.45">
      <c r="A502" s="337"/>
      <c r="D502" s="337"/>
      <c r="G502" s="337"/>
      <c r="J502" s="337"/>
      <c r="M502" s="337"/>
      <c r="P502" s="337"/>
      <c r="S502" s="337"/>
      <c r="V502" s="337"/>
      <c r="Y502" s="337"/>
      <c r="AB502" s="337"/>
    </row>
    <row r="503" spans="1:28" x14ac:dyDescent="0.45">
      <c r="A503" s="337"/>
      <c r="D503" s="337"/>
      <c r="G503" s="337"/>
      <c r="J503" s="337"/>
      <c r="M503" s="337"/>
      <c r="P503" s="337"/>
      <c r="S503" s="337"/>
      <c r="V503" s="337"/>
      <c r="Y503" s="337"/>
      <c r="AB503" s="337"/>
    </row>
    <row r="504" spans="1:28" x14ac:dyDescent="0.45">
      <c r="A504" s="337"/>
      <c r="D504" s="337"/>
      <c r="G504" s="337"/>
      <c r="J504" s="337"/>
      <c r="M504" s="337"/>
      <c r="P504" s="337"/>
      <c r="S504" s="337"/>
      <c r="V504" s="337"/>
      <c r="Y504" s="337"/>
      <c r="AB504" s="337"/>
    </row>
    <row r="505" spans="1:28" x14ac:dyDescent="0.45">
      <c r="A505" s="337"/>
      <c r="D505" s="337"/>
      <c r="G505" s="337"/>
      <c r="J505" s="337"/>
      <c r="M505" s="337"/>
      <c r="P505" s="337"/>
      <c r="S505" s="337"/>
      <c r="V505" s="337"/>
      <c r="Y505" s="337"/>
      <c r="AB505" s="337"/>
    </row>
    <row r="506" spans="1:28" x14ac:dyDescent="0.45">
      <c r="A506" s="337"/>
      <c r="D506" s="337"/>
      <c r="G506" s="337"/>
      <c r="J506" s="337"/>
      <c r="M506" s="337"/>
      <c r="P506" s="337"/>
      <c r="S506" s="337"/>
      <c r="V506" s="337"/>
      <c r="Y506" s="337"/>
      <c r="AB506" s="337"/>
    </row>
    <row r="507" spans="1:28" x14ac:dyDescent="0.45">
      <c r="A507" s="337"/>
      <c r="D507" s="337"/>
      <c r="G507" s="337"/>
      <c r="J507" s="337"/>
      <c r="M507" s="337"/>
      <c r="P507" s="337"/>
      <c r="S507" s="337"/>
      <c r="V507" s="337"/>
      <c r="Y507" s="337"/>
      <c r="AB507" s="337"/>
    </row>
    <row r="508" spans="1:28" x14ac:dyDescent="0.45">
      <c r="A508" s="337"/>
      <c r="D508" s="337"/>
      <c r="G508" s="337"/>
      <c r="J508" s="337"/>
      <c r="M508" s="337"/>
      <c r="P508" s="337"/>
      <c r="S508" s="337"/>
      <c r="V508" s="337"/>
      <c r="Y508" s="337"/>
      <c r="AB508" s="337"/>
    </row>
    <row r="509" spans="1:28" x14ac:dyDescent="0.45">
      <c r="A509" s="337"/>
      <c r="D509" s="337"/>
      <c r="G509" s="337"/>
      <c r="J509" s="337"/>
      <c r="M509" s="337"/>
      <c r="P509" s="337"/>
      <c r="S509" s="337"/>
      <c r="V509" s="337"/>
      <c r="Y509" s="337"/>
      <c r="AB509" s="337"/>
    </row>
    <row r="510" spans="1:28" x14ac:dyDescent="0.45">
      <c r="A510" s="337"/>
      <c r="D510" s="337"/>
      <c r="G510" s="337"/>
      <c r="J510" s="337"/>
      <c r="M510" s="337"/>
      <c r="P510" s="337"/>
      <c r="S510" s="337"/>
      <c r="V510" s="337"/>
      <c r="Y510" s="337"/>
      <c r="AB510" s="337"/>
    </row>
    <row r="511" spans="1:28" x14ac:dyDescent="0.45">
      <c r="A511" s="337"/>
      <c r="D511" s="337"/>
      <c r="G511" s="337"/>
      <c r="J511" s="337"/>
      <c r="M511" s="337"/>
      <c r="P511" s="337"/>
      <c r="S511" s="337"/>
      <c r="V511" s="337"/>
      <c r="Y511" s="337"/>
      <c r="AB511" s="337"/>
    </row>
    <row r="512" spans="1:28" x14ac:dyDescent="0.45">
      <c r="A512" s="337"/>
      <c r="D512" s="337"/>
      <c r="G512" s="337"/>
      <c r="J512" s="337"/>
      <c r="M512" s="337"/>
      <c r="P512" s="337"/>
      <c r="S512" s="337"/>
      <c r="V512" s="337"/>
      <c r="Y512" s="337"/>
      <c r="AB512" s="337"/>
    </row>
    <row r="513" spans="1:28" x14ac:dyDescent="0.45">
      <c r="A513" s="337"/>
      <c r="D513" s="337"/>
      <c r="G513" s="337"/>
      <c r="J513" s="337"/>
      <c r="M513" s="337"/>
      <c r="P513" s="337"/>
      <c r="S513" s="337"/>
      <c r="V513" s="337"/>
      <c r="Y513" s="337"/>
      <c r="AB513" s="337"/>
    </row>
    <row r="514" spans="1:28" x14ac:dyDescent="0.45">
      <c r="A514" s="337"/>
      <c r="D514" s="337"/>
      <c r="G514" s="337"/>
      <c r="J514" s="337"/>
      <c r="M514" s="337"/>
      <c r="P514" s="337"/>
      <c r="S514" s="337"/>
      <c r="V514" s="337"/>
      <c r="Y514" s="337"/>
      <c r="AB514" s="337"/>
    </row>
    <row r="515" spans="1:28" x14ac:dyDescent="0.45">
      <c r="A515" s="337"/>
      <c r="D515" s="337"/>
      <c r="G515" s="337"/>
      <c r="J515" s="337"/>
      <c r="M515" s="337"/>
      <c r="P515" s="337"/>
      <c r="S515" s="337"/>
      <c r="V515" s="337"/>
      <c r="Y515" s="337"/>
      <c r="AB515" s="337"/>
    </row>
    <row r="516" spans="1:28" x14ac:dyDescent="0.45">
      <c r="A516" s="337"/>
      <c r="D516" s="337"/>
      <c r="G516" s="337"/>
      <c r="J516" s="337"/>
      <c r="M516" s="337"/>
      <c r="P516" s="337"/>
      <c r="S516" s="337"/>
      <c r="V516" s="337"/>
      <c r="Y516" s="337"/>
      <c r="AB516" s="337"/>
    </row>
    <row r="517" spans="1:28" x14ac:dyDescent="0.45">
      <c r="A517" s="337"/>
      <c r="D517" s="337"/>
      <c r="G517" s="337"/>
      <c r="J517" s="337"/>
      <c r="M517" s="337"/>
      <c r="P517" s="337"/>
      <c r="S517" s="337"/>
      <c r="V517" s="337"/>
      <c r="Y517" s="337"/>
      <c r="AB517" s="337"/>
    </row>
    <row r="518" spans="1:28" x14ac:dyDescent="0.45">
      <c r="A518" s="337"/>
      <c r="D518" s="337"/>
      <c r="G518" s="337"/>
      <c r="J518" s="337"/>
      <c r="M518" s="337"/>
      <c r="P518" s="337"/>
      <c r="S518" s="337"/>
      <c r="V518" s="337"/>
      <c r="Y518" s="337"/>
      <c r="AB518" s="337"/>
    </row>
    <row r="519" spans="1:28" x14ac:dyDescent="0.45">
      <c r="A519" s="337"/>
      <c r="D519" s="337"/>
      <c r="G519" s="337"/>
      <c r="J519" s="337"/>
      <c r="M519" s="337"/>
      <c r="P519" s="337"/>
      <c r="S519" s="337"/>
      <c r="V519" s="337"/>
      <c r="Y519" s="337"/>
      <c r="AB519" s="337"/>
    </row>
    <row r="520" spans="1:28" x14ac:dyDescent="0.45">
      <c r="A520" s="337"/>
      <c r="D520" s="337"/>
      <c r="G520" s="337"/>
      <c r="J520" s="337"/>
      <c r="M520" s="337"/>
      <c r="P520" s="337"/>
      <c r="S520" s="337"/>
      <c r="V520" s="337"/>
      <c r="Y520" s="337"/>
      <c r="AB520" s="337"/>
    </row>
    <row r="521" spans="1:28" x14ac:dyDescent="0.45">
      <c r="A521" s="337"/>
      <c r="D521" s="337"/>
      <c r="G521" s="337"/>
      <c r="J521" s="337"/>
      <c r="M521" s="337"/>
      <c r="P521" s="337"/>
      <c r="S521" s="337"/>
      <c r="V521" s="337"/>
      <c r="Y521" s="337"/>
      <c r="AB521" s="337"/>
    </row>
    <row r="522" spans="1:28" x14ac:dyDescent="0.45">
      <c r="A522" s="337"/>
      <c r="D522" s="337"/>
      <c r="G522" s="337"/>
      <c r="J522" s="337"/>
      <c r="M522" s="337"/>
      <c r="P522" s="337"/>
      <c r="S522" s="337"/>
      <c r="V522" s="337"/>
      <c r="Y522" s="337"/>
      <c r="AB522" s="337"/>
    </row>
    <row r="523" spans="1:28" x14ac:dyDescent="0.45">
      <c r="A523" s="337"/>
      <c r="D523" s="337"/>
      <c r="G523" s="337"/>
      <c r="J523" s="337"/>
      <c r="M523" s="337"/>
      <c r="P523" s="337"/>
      <c r="S523" s="337"/>
      <c r="V523" s="337"/>
      <c r="Y523" s="337"/>
      <c r="AB523" s="337"/>
    </row>
    <row r="524" spans="1:28" x14ac:dyDescent="0.45">
      <c r="A524" s="337"/>
      <c r="D524" s="337"/>
      <c r="G524" s="337"/>
      <c r="J524" s="337"/>
      <c r="M524" s="337"/>
      <c r="P524" s="337"/>
      <c r="S524" s="337"/>
      <c r="V524" s="337"/>
      <c r="Y524" s="337"/>
      <c r="AB524" s="337"/>
    </row>
    <row r="525" spans="1:28" x14ac:dyDescent="0.45">
      <c r="A525" s="337"/>
      <c r="D525" s="337"/>
      <c r="G525" s="337"/>
      <c r="J525" s="337"/>
      <c r="M525" s="337"/>
      <c r="P525" s="337"/>
      <c r="S525" s="337"/>
      <c r="V525" s="337"/>
      <c r="Y525" s="337"/>
      <c r="AB525" s="337"/>
    </row>
    <row r="526" spans="1:28" x14ac:dyDescent="0.45">
      <c r="A526" s="337"/>
      <c r="D526" s="337"/>
      <c r="G526" s="337"/>
      <c r="J526" s="337"/>
      <c r="M526" s="337"/>
      <c r="P526" s="337"/>
      <c r="S526" s="337"/>
      <c r="V526" s="337"/>
      <c r="Y526" s="337"/>
      <c r="AB526" s="337"/>
    </row>
    <row r="527" spans="1:28" x14ac:dyDescent="0.45">
      <c r="A527" s="337"/>
      <c r="D527" s="337"/>
      <c r="G527" s="337"/>
      <c r="J527" s="337"/>
      <c r="M527" s="337"/>
      <c r="P527" s="337"/>
      <c r="S527" s="337"/>
      <c r="V527" s="337"/>
      <c r="Y527" s="337"/>
      <c r="AB527" s="337"/>
    </row>
    <row r="528" spans="1:28" x14ac:dyDescent="0.45">
      <c r="A528" s="337"/>
      <c r="D528" s="337"/>
      <c r="G528" s="337"/>
      <c r="J528" s="337"/>
      <c r="M528" s="337"/>
      <c r="P528" s="337"/>
      <c r="S528" s="337"/>
      <c r="V528" s="337"/>
      <c r="Y528" s="337"/>
      <c r="AB528" s="337"/>
    </row>
    <row r="529" spans="1:28" x14ac:dyDescent="0.45">
      <c r="A529" s="337"/>
      <c r="D529" s="337"/>
      <c r="G529" s="337"/>
      <c r="J529" s="337"/>
      <c r="M529" s="337"/>
      <c r="P529" s="337"/>
      <c r="S529" s="337"/>
      <c r="V529" s="337"/>
      <c r="Y529" s="337"/>
      <c r="AB529" s="337"/>
    </row>
    <row r="530" spans="1:28" x14ac:dyDescent="0.45">
      <c r="A530" s="337"/>
      <c r="D530" s="337"/>
      <c r="G530" s="337"/>
      <c r="J530" s="337"/>
      <c r="M530" s="337"/>
      <c r="P530" s="337"/>
      <c r="S530" s="337"/>
      <c r="V530" s="337"/>
      <c r="Y530" s="337"/>
      <c r="AB530" s="337"/>
    </row>
    <row r="531" spans="1:28" x14ac:dyDescent="0.45">
      <c r="A531" s="337"/>
      <c r="D531" s="337"/>
      <c r="G531" s="337"/>
      <c r="J531" s="337"/>
      <c r="M531" s="337"/>
      <c r="P531" s="337"/>
      <c r="S531" s="337"/>
      <c r="V531" s="337"/>
      <c r="Y531" s="337"/>
      <c r="AB531" s="337"/>
    </row>
    <row r="532" spans="1:28" x14ac:dyDescent="0.45">
      <c r="A532" s="337"/>
      <c r="D532" s="337"/>
      <c r="G532" s="337"/>
      <c r="J532" s="337"/>
      <c r="M532" s="337"/>
      <c r="P532" s="337"/>
      <c r="S532" s="337"/>
      <c r="V532" s="337"/>
      <c r="Y532" s="337"/>
      <c r="AB532" s="337"/>
    </row>
    <row r="533" spans="1:28" x14ac:dyDescent="0.45">
      <c r="A533" s="337"/>
      <c r="D533" s="337"/>
      <c r="G533" s="337"/>
      <c r="J533" s="337"/>
      <c r="M533" s="337"/>
      <c r="P533" s="337"/>
      <c r="S533" s="337"/>
      <c r="V533" s="337"/>
      <c r="Y533" s="337"/>
      <c r="AB533" s="337"/>
    </row>
    <row r="534" spans="1:28" x14ac:dyDescent="0.45">
      <c r="A534" s="337"/>
      <c r="D534" s="337"/>
      <c r="G534" s="337"/>
      <c r="J534" s="337"/>
      <c r="M534" s="337"/>
      <c r="P534" s="337"/>
      <c r="S534" s="337"/>
      <c r="V534" s="337"/>
      <c r="Y534" s="337"/>
      <c r="AB534" s="337"/>
    </row>
    <row r="535" spans="1:28" x14ac:dyDescent="0.45">
      <c r="A535" s="337"/>
      <c r="D535" s="337"/>
      <c r="G535" s="337"/>
      <c r="J535" s="337"/>
      <c r="M535" s="337"/>
      <c r="P535" s="337"/>
      <c r="S535" s="337"/>
      <c r="V535" s="337"/>
      <c r="Y535" s="337"/>
      <c r="AB535" s="337"/>
    </row>
    <row r="536" spans="1:28" x14ac:dyDescent="0.45">
      <c r="A536" s="337"/>
      <c r="D536" s="337"/>
      <c r="G536" s="337"/>
      <c r="J536" s="337"/>
      <c r="M536" s="337"/>
      <c r="P536" s="337"/>
      <c r="S536" s="337"/>
      <c r="V536" s="337"/>
      <c r="Y536" s="337"/>
      <c r="AB536" s="337"/>
    </row>
    <row r="537" spans="1:28" x14ac:dyDescent="0.45">
      <c r="A537" s="337"/>
      <c r="D537" s="337"/>
      <c r="G537" s="337"/>
      <c r="J537" s="337"/>
      <c r="M537" s="337"/>
      <c r="P537" s="337"/>
      <c r="S537" s="337"/>
      <c r="V537" s="337"/>
      <c r="Y537" s="337"/>
      <c r="AB537" s="337"/>
    </row>
    <row r="538" spans="1:28" x14ac:dyDescent="0.45">
      <c r="A538" s="337"/>
      <c r="D538" s="337"/>
      <c r="G538" s="337"/>
      <c r="J538" s="337"/>
      <c r="M538" s="337"/>
      <c r="P538" s="337"/>
      <c r="S538" s="337"/>
      <c r="V538" s="337"/>
      <c r="Y538" s="337"/>
      <c r="AB538" s="337"/>
    </row>
    <row r="539" spans="1:28" x14ac:dyDescent="0.45">
      <c r="A539" s="337"/>
      <c r="D539" s="337"/>
      <c r="G539" s="337"/>
      <c r="J539" s="337"/>
      <c r="M539" s="337"/>
      <c r="P539" s="337"/>
      <c r="S539" s="337"/>
      <c r="V539" s="337"/>
      <c r="Y539" s="337"/>
      <c r="AB539" s="337"/>
    </row>
    <row r="540" spans="1:28" x14ac:dyDescent="0.45">
      <c r="A540" s="337"/>
      <c r="D540" s="337"/>
      <c r="G540" s="337"/>
      <c r="J540" s="337"/>
      <c r="M540" s="337"/>
      <c r="P540" s="337"/>
      <c r="S540" s="337"/>
      <c r="V540" s="337"/>
      <c r="Y540" s="337"/>
      <c r="AB540" s="337"/>
    </row>
    <row r="541" spans="1:28" x14ac:dyDescent="0.45">
      <c r="A541" s="337"/>
      <c r="D541" s="337"/>
      <c r="G541" s="337"/>
      <c r="J541" s="337"/>
      <c r="M541" s="337"/>
      <c r="P541" s="337"/>
      <c r="S541" s="337"/>
      <c r="V541" s="337"/>
      <c r="Y541" s="337"/>
      <c r="AB541" s="337"/>
    </row>
    <row r="542" spans="1:28" x14ac:dyDescent="0.45">
      <c r="A542" s="337"/>
      <c r="D542" s="337"/>
      <c r="G542" s="337"/>
      <c r="J542" s="337"/>
      <c r="M542" s="337"/>
      <c r="P542" s="337"/>
      <c r="S542" s="337"/>
      <c r="V542" s="337"/>
      <c r="Y542" s="337"/>
      <c r="AB542" s="337"/>
    </row>
    <row r="543" spans="1:28" x14ac:dyDescent="0.45">
      <c r="A543" s="337"/>
      <c r="D543" s="337"/>
      <c r="G543" s="337"/>
      <c r="J543" s="337"/>
      <c r="M543" s="337"/>
      <c r="P543" s="337"/>
      <c r="S543" s="337"/>
      <c r="V543" s="337"/>
      <c r="Y543" s="337"/>
      <c r="AB543" s="337"/>
    </row>
    <row r="544" spans="1:28" x14ac:dyDescent="0.45">
      <c r="A544" s="337"/>
      <c r="D544" s="337"/>
      <c r="G544" s="337"/>
      <c r="J544" s="337"/>
      <c r="M544" s="337"/>
      <c r="P544" s="337"/>
      <c r="S544" s="337"/>
      <c r="V544" s="337"/>
      <c r="Y544" s="337"/>
      <c r="AB544" s="337"/>
    </row>
    <row r="545" spans="1:28" x14ac:dyDescent="0.45">
      <c r="A545" s="337"/>
      <c r="D545" s="337"/>
      <c r="G545" s="337"/>
      <c r="J545" s="337"/>
      <c r="M545" s="337"/>
      <c r="P545" s="337"/>
      <c r="S545" s="337"/>
      <c r="V545" s="337"/>
      <c r="Y545" s="337"/>
      <c r="AB545" s="337"/>
    </row>
    <row r="546" spans="1:28" x14ac:dyDescent="0.45">
      <c r="A546" s="337"/>
      <c r="D546" s="337"/>
      <c r="G546" s="337"/>
      <c r="J546" s="337"/>
      <c r="M546" s="337"/>
      <c r="P546" s="337"/>
      <c r="S546" s="337"/>
      <c r="V546" s="337"/>
      <c r="Y546" s="337"/>
      <c r="AB546" s="337"/>
    </row>
    <row r="547" spans="1:28" x14ac:dyDescent="0.45">
      <c r="A547" s="337"/>
      <c r="D547" s="337"/>
      <c r="G547" s="337"/>
      <c r="J547" s="337"/>
      <c r="M547" s="337"/>
      <c r="P547" s="337"/>
      <c r="S547" s="337"/>
      <c r="V547" s="337"/>
      <c r="Y547" s="337"/>
      <c r="AB547" s="337"/>
    </row>
    <row r="548" spans="1:28" x14ac:dyDescent="0.45">
      <c r="A548" s="337"/>
      <c r="D548" s="337"/>
      <c r="G548" s="337"/>
      <c r="J548" s="337"/>
      <c r="M548" s="337"/>
      <c r="P548" s="337"/>
      <c r="S548" s="337"/>
      <c r="V548" s="337"/>
      <c r="Y548" s="337"/>
      <c r="AB548" s="337"/>
    </row>
    <row r="549" spans="1:28" x14ac:dyDescent="0.45">
      <c r="A549" s="337"/>
      <c r="D549" s="337"/>
      <c r="G549" s="337"/>
      <c r="J549" s="337"/>
      <c r="M549" s="337"/>
      <c r="P549" s="337"/>
      <c r="S549" s="337"/>
      <c r="V549" s="337"/>
      <c r="Y549" s="337"/>
      <c r="AB549" s="337"/>
    </row>
    <row r="550" spans="1:28" x14ac:dyDescent="0.45">
      <c r="A550" s="337"/>
      <c r="D550" s="337"/>
      <c r="G550" s="337"/>
      <c r="J550" s="337"/>
      <c r="M550" s="337"/>
      <c r="P550" s="337"/>
      <c r="S550" s="337"/>
      <c r="V550" s="337"/>
      <c r="Y550" s="337"/>
      <c r="AB550" s="337"/>
    </row>
    <row r="551" spans="1:28" x14ac:dyDescent="0.45">
      <c r="A551" s="337"/>
      <c r="D551" s="337"/>
      <c r="G551" s="337"/>
      <c r="J551" s="337"/>
      <c r="M551" s="337"/>
      <c r="P551" s="337"/>
      <c r="S551" s="337"/>
      <c r="V551" s="337"/>
      <c r="Y551" s="337"/>
      <c r="AB551" s="337"/>
    </row>
    <row r="552" spans="1:28" x14ac:dyDescent="0.45">
      <c r="A552" s="337"/>
      <c r="D552" s="337"/>
      <c r="G552" s="337"/>
      <c r="J552" s="337"/>
      <c r="M552" s="337"/>
      <c r="P552" s="337"/>
      <c r="S552" s="337"/>
      <c r="V552" s="337"/>
      <c r="Y552" s="337"/>
      <c r="AB552" s="337"/>
    </row>
    <row r="553" spans="1:28" x14ac:dyDescent="0.45">
      <c r="A553" s="337"/>
      <c r="D553" s="337"/>
      <c r="G553" s="337"/>
      <c r="J553" s="337"/>
      <c r="M553" s="337"/>
      <c r="P553" s="337"/>
      <c r="S553" s="337"/>
      <c r="V553" s="337"/>
      <c r="Y553" s="337"/>
      <c r="AB553" s="337"/>
    </row>
    <row r="554" spans="1:28" x14ac:dyDescent="0.45">
      <c r="A554" s="337"/>
      <c r="D554" s="337"/>
      <c r="G554" s="337"/>
      <c r="J554" s="337"/>
      <c r="M554" s="337"/>
      <c r="P554" s="337"/>
      <c r="S554" s="337"/>
      <c r="V554" s="337"/>
      <c r="Y554" s="337"/>
      <c r="AB554" s="337"/>
    </row>
    <row r="555" spans="1:28" x14ac:dyDescent="0.45">
      <c r="A555" s="337"/>
      <c r="D555" s="337"/>
      <c r="G555" s="337"/>
      <c r="J555" s="337"/>
      <c r="M555" s="337"/>
      <c r="P555" s="337"/>
      <c r="S555" s="337"/>
      <c r="V555" s="337"/>
      <c r="Y555" s="337"/>
      <c r="AB555" s="337"/>
    </row>
    <row r="556" spans="1:28" x14ac:dyDescent="0.45">
      <c r="A556" s="337"/>
      <c r="D556" s="337"/>
      <c r="G556" s="337"/>
      <c r="J556" s="337"/>
      <c r="M556" s="337"/>
      <c r="P556" s="337"/>
      <c r="S556" s="337"/>
      <c r="V556" s="337"/>
      <c r="Y556" s="337"/>
      <c r="AB556" s="337"/>
    </row>
    <row r="557" spans="1:28" x14ac:dyDescent="0.45">
      <c r="A557" s="337"/>
      <c r="D557" s="337"/>
      <c r="G557" s="337"/>
      <c r="J557" s="337"/>
      <c r="M557" s="337"/>
      <c r="P557" s="337"/>
      <c r="S557" s="337"/>
      <c r="V557" s="337"/>
      <c r="Y557" s="337"/>
      <c r="AB557" s="337"/>
    </row>
    <row r="558" spans="1:28" x14ac:dyDescent="0.45">
      <c r="A558" s="337"/>
      <c r="D558" s="337"/>
      <c r="G558" s="337"/>
      <c r="J558" s="337"/>
      <c r="M558" s="337"/>
      <c r="P558" s="337"/>
      <c r="S558" s="337"/>
      <c r="V558" s="337"/>
      <c r="Y558" s="337"/>
      <c r="AB558" s="337"/>
    </row>
    <row r="559" spans="1:28" x14ac:dyDescent="0.45">
      <c r="A559" s="337"/>
      <c r="D559" s="337"/>
      <c r="G559" s="337"/>
      <c r="J559" s="337"/>
      <c r="M559" s="337"/>
      <c r="P559" s="337"/>
      <c r="S559" s="337"/>
      <c r="V559" s="337"/>
      <c r="Y559" s="337"/>
      <c r="AB559" s="337"/>
    </row>
    <row r="560" spans="1:28" x14ac:dyDescent="0.45">
      <c r="A560" s="337"/>
      <c r="D560" s="337"/>
      <c r="G560" s="337"/>
      <c r="J560" s="337"/>
      <c r="M560" s="337"/>
      <c r="P560" s="337"/>
      <c r="S560" s="337"/>
      <c r="V560" s="337"/>
      <c r="Y560" s="337"/>
      <c r="AB560" s="337"/>
    </row>
    <row r="561" spans="1:28" x14ac:dyDescent="0.45">
      <c r="A561" s="337"/>
      <c r="D561" s="337"/>
      <c r="G561" s="337"/>
      <c r="J561" s="337"/>
      <c r="M561" s="337"/>
      <c r="P561" s="337"/>
      <c r="S561" s="337"/>
      <c r="V561" s="337"/>
      <c r="Y561" s="337"/>
      <c r="AB561" s="337"/>
    </row>
    <row r="562" spans="1:28" x14ac:dyDescent="0.45">
      <c r="A562" s="337"/>
      <c r="D562" s="337"/>
      <c r="G562" s="337"/>
      <c r="J562" s="337"/>
      <c r="M562" s="337"/>
      <c r="P562" s="337"/>
      <c r="S562" s="337"/>
      <c r="V562" s="337"/>
      <c r="Y562" s="337"/>
      <c r="AB562" s="337"/>
    </row>
    <row r="563" spans="1:28" x14ac:dyDescent="0.45">
      <c r="A563" s="337"/>
      <c r="D563" s="337"/>
      <c r="G563" s="337"/>
      <c r="J563" s="337"/>
      <c r="M563" s="337"/>
      <c r="P563" s="337"/>
      <c r="S563" s="337"/>
      <c r="V563" s="337"/>
      <c r="Y563" s="337"/>
      <c r="AB563" s="337"/>
    </row>
    <row r="564" spans="1:28" x14ac:dyDescent="0.45">
      <c r="A564" s="337"/>
      <c r="D564" s="337"/>
      <c r="G564" s="337"/>
      <c r="J564" s="337"/>
      <c r="M564" s="337"/>
      <c r="P564" s="337"/>
      <c r="S564" s="337"/>
      <c r="V564" s="337"/>
      <c r="Y564" s="337"/>
      <c r="AB564" s="337"/>
    </row>
    <row r="565" spans="1:28" x14ac:dyDescent="0.45">
      <c r="A565" s="337"/>
      <c r="D565" s="337"/>
      <c r="G565" s="337"/>
      <c r="J565" s="337"/>
      <c r="M565" s="337"/>
      <c r="P565" s="337"/>
      <c r="S565" s="337"/>
      <c r="V565" s="337"/>
      <c r="Y565" s="337"/>
      <c r="AB565" s="337"/>
    </row>
    <row r="566" spans="1:28" x14ac:dyDescent="0.45">
      <c r="A566" s="337"/>
      <c r="D566" s="337"/>
      <c r="G566" s="337"/>
      <c r="J566" s="337"/>
      <c r="M566" s="337"/>
      <c r="P566" s="337"/>
      <c r="S566" s="337"/>
      <c r="V566" s="337"/>
      <c r="Y566" s="337"/>
      <c r="AB566" s="337"/>
    </row>
    <row r="567" spans="1:28" x14ac:dyDescent="0.45">
      <c r="A567" s="337"/>
      <c r="D567" s="337"/>
      <c r="G567" s="337"/>
      <c r="J567" s="337"/>
      <c r="M567" s="337"/>
      <c r="P567" s="337"/>
      <c r="S567" s="337"/>
      <c r="V567" s="337"/>
      <c r="Y567" s="337"/>
      <c r="AB567" s="337"/>
    </row>
    <row r="568" spans="1:28" x14ac:dyDescent="0.45">
      <c r="A568" s="337"/>
      <c r="D568" s="337"/>
      <c r="G568" s="337"/>
      <c r="J568" s="337"/>
      <c r="M568" s="337"/>
      <c r="P568" s="337"/>
      <c r="S568" s="337"/>
      <c r="V568" s="337"/>
      <c r="Y568" s="337"/>
      <c r="AB568" s="337"/>
    </row>
    <row r="569" spans="1:28" x14ac:dyDescent="0.45">
      <c r="A569" s="337"/>
      <c r="D569" s="337"/>
      <c r="G569" s="337"/>
      <c r="J569" s="337"/>
      <c r="M569" s="337"/>
      <c r="P569" s="337"/>
      <c r="S569" s="337"/>
      <c r="V569" s="337"/>
      <c r="Y569" s="337"/>
      <c r="AB569" s="337"/>
    </row>
    <row r="570" spans="1:28" x14ac:dyDescent="0.45">
      <c r="A570" s="337"/>
      <c r="D570" s="337"/>
      <c r="G570" s="337"/>
      <c r="J570" s="337"/>
      <c r="M570" s="337"/>
      <c r="P570" s="337"/>
      <c r="S570" s="337"/>
      <c r="V570" s="337"/>
      <c r="Y570" s="337"/>
      <c r="AB570" s="337"/>
    </row>
    <row r="571" spans="1:28" x14ac:dyDescent="0.45">
      <c r="A571" s="337"/>
      <c r="D571" s="337"/>
      <c r="G571" s="337"/>
      <c r="J571" s="337"/>
      <c r="M571" s="337"/>
      <c r="P571" s="337"/>
      <c r="S571" s="337"/>
      <c r="V571" s="337"/>
      <c r="Y571" s="337"/>
      <c r="AB571" s="337"/>
    </row>
    <row r="572" spans="1:28" x14ac:dyDescent="0.45">
      <c r="A572" s="337"/>
      <c r="D572" s="337"/>
      <c r="G572" s="337"/>
      <c r="J572" s="337"/>
      <c r="M572" s="337"/>
      <c r="P572" s="337"/>
      <c r="S572" s="337"/>
      <c r="V572" s="337"/>
      <c r="Y572" s="337"/>
      <c r="AB572" s="337"/>
    </row>
    <row r="573" spans="1:28" x14ac:dyDescent="0.45">
      <c r="A573" s="337"/>
      <c r="D573" s="337"/>
      <c r="G573" s="337"/>
      <c r="J573" s="337"/>
      <c r="M573" s="337"/>
      <c r="P573" s="337"/>
      <c r="S573" s="337"/>
      <c r="V573" s="337"/>
      <c r="Y573" s="337"/>
      <c r="AB573" s="337"/>
    </row>
    <row r="574" spans="1:28" x14ac:dyDescent="0.45">
      <c r="A574" s="337"/>
      <c r="D574" s="337"/>
      <c r="G574" s="337"/>
      <c r="J574" s="337"/>
      <c r="M574" s="337"/>
      <c r="P574" s="337"/>
      <c r="S574" s="337"/>
      <c r="V574" s="337"/>
      <c r="Y574" s="337"/>
      <c r="AB574" s="337"/>
    </row>
    <row r="575" spans="1:28" x14ac:dyDescent="0.45">
      <c r="A575" s="337"/>
      <c r="D575" s="337"/>
      <c r="G575" s="337"/>
      <c r="J575" s="337"/>
      <c r="M575" s="337"/>
      <c r="P575" s="337"/>
      <c r="S575" s="337"/>
      <c r="V575" s="337"/>
      <c r="Y575" s="337"/>
      <c r="AB575" s="337"/>
    </row>
    <row r="576" spans="1:28" x14ac:dyDescent="0.45">
      <c r="A576" s="337"/>
      <c r="D576" s="337"/>
      <c r="G576" s="337"/>
      <c r="J576" s="337"/>
      <c r="M576" s="337"/>
      <c r="P576" s="337"/>
      <c r="S576" s="337"/>
      <c r="V576" s="337"/>
      <c r="Y576" s="337"/>
      <c r="AB576" s="337"/>
    </row>
    <row r="577" spans="1:28" x14ac:dyDescent="0.45">
      <c r="A577" s="337"/>
      <c r="D577" s="337"/>
      <c r="G577" s="337"/>
      <c r="J577" s="337"/>
      <c r="M577" s="337"/>
      <c r="P577" s="337"/>
      <c r="S577" s="337"/>
      <c r="V577" s="337"/>
      <c r="Y577" s="337"/>
      <c r="AB577" s="337"/>
    </row>
    <row r="578" spans="1:28" x14ac:dyDescent="0.45">
      <c r="A578" s="337"/>
      <c r="D578" s="337"/>
      <c r="G578" s="337"/>
      <c r="J578" s="337"/>
      <c r="M578" s="337"/>
      <c r="P578" s="337"/>
      <c r="S578" s="337"/>
      <c r="V578" s="337"/>
      <c r="Y578" s="337"/>
      <c r="AB578" s="337"/>
    </row>
    <row r="579" spans="1:28" x14ac:dyDescent="0.45">
      <c r="A579" s="337"/>
      <c r="D579" s="337"/>
      <c r="G579" s="337"/>
      <c r="J579" s="337"/>
      <c r="M579" s="337"/>
      <c r="P579" s="337"/>
      <c r="S579" s="337"/>
      <c r="V579" s="337"/>
      <c r="Y579" s="337"/>
      <c r="AB579" s="337"/>
    </row>
    <row r="580" spans="1:28" x14ac:dyDescent="0.45">
      <c r="A580" s="337"/>
      <c r="D580" s="337"/>
      <c r="G580" s="337"/>
      <c r="J580" s="337"/>
      <c r="M580" s="337"/>
      <c r="P580" s="337"/>
      <c r="S580" s="337"/>
      <c r="V580" s="337"/>
      <c r="Y580" s="337"/>
      <c r="AB580" s="337"/>
    </row>
    <row r="581" spans="1:28" x14ac:dyDescent="0.45">
      <c r="A581" s="337"/>
      <c r="D581" s="337"/>
      <c r="G581" s="337"/>
      <c r="J581" s="337"/>
      <c r="M581" s="337"/>
      <c r="P581" s="337"/>
      <c r="S581" s="337"/>
      <c r="V581" s="337"/>
      <c r="Y581" s="337"/>
      <c r="AB581" s="337"/>
    </row>
    <row r="582" spans="1:28" x14ac:dyDescent="0.45">
      <c r="A582" s="337"/>
      <c r="D582" s="337"/>
      <c r="G582" s="337"/>
      <c r="J582" s="337"/>
      <c r="M582" s="337"/>
      <c r="P582" s="337"/>
      <c r="S582" s="337"/>
      <c r="V582" s="337"/>
      <c r="Y582" s="337"/>
      <c r="AB582" s="337"/>
    </row>
    <row r="583" spans="1:28" x14ac:dyDescent="0.45">
      <c r="A583" s="337"/>
      <c r="D583" s="337"/>
      <c r="G583" s="337"/>
      <c r="J583" s="337"/>
      <c r="M583" s="337"/>
      <c r="P583" s="337"/>
      <c r="S583" s="337"/>
      <c r="V583" s="337"/>
      <c r="Y583" s="337"/>
      <c r="AB583" s="337"/>
    </row>
    <row r="584" spans="1:28" x14ac:dyDescent="0.45">
      <c r="A584" s="337"/>
      <c r="D584" s="337"/>
      <c r="G584" s="337"/>
      <c r="J584" s="337"/>
      <c r="M584" s="337"/>
      <c r="P584" s="337"/>
      <c r="S584" s="337"/>
      <c r="V584" s="337"/>
      <c r="Y584" s="337"/>
      <c r="AB584" s="337"/>
    </row>
    <row r="585" spans="1:28" x14ac:dyDescent="0.45">
      <c r="A585" s="337"/>
      <c r="D585" s="337"/>
      <c r="G585" s="337"/>
      <c r="J585" s="337"/>
      <c r="M585" s="337"/>
      <c r="P585" s="337"/>
      <c r="S585" s="337"/>
      <c r="V585" s="337"/>
      <c r="Y585" s="337"/>
      <c r="AB585" s="337"/>
    </row>
    <row r="586" spans="1:28" x14ac:dyDescent="0.45">
      <c r="A586" s="337"/>
      <c r="D586" s="337"/>
      <c r="G586" s="337"/>
      <c r="J586" s="337"/>
      <c r="M586" s="337"/>
      <c r="P586" s="337"/>
      <c r="S586" s="337"/>
      <c r="V586" s="337"/>
      <c r="Y586" s="337"/>
      <c r="AB586" s="337"/>
    </row>
    <row r="587" spans="1:28" x14ac:dyDescent="0.45">
      <c r="A587" s="337"/>
      <c r="D587" s="337"/>
      <c r="G587" s="337"/>
      <c r="J587" s="337"/>
      <c r="M587" s="337"/>
      <c r="P587" s="337"/>
      <c r="S587" s="337"/>
      <c r="V587" s="337"/>
      <c r="Y587" s="337"/>
      <c r="AB587" s="337"/>
    </row>
    <row r="588" spans="1:28" x14ac:dyDescent="0.45">
      <c r="A588" s="337"/>
      <c r="D588" s="337"/>
      <c r="G588" s="337"/>
      <c r="J588" s="337"/>
      <c r="M588" s="337"/>
      <c r="P588" s="337"/>
      <c r="S588" s="337"/>
      <c r="V588" s="337"/>
      <c r="Y588" s="337"/>
      <c r="AB588" s="337"/>
    </row>
    <row r="589" spans="1:28" x14ac:dyDescent="0.45">
      <c r="A589" s="337"/>
      <c r="D589" s="337"/>
      <c r="G589" s="337"/>
      <c r="J589" s="337"/>
      <c r="M589" s="337"/>
      <c r="P589" s="337"/>
      <c r="S589" s="337"/>
      <c r="V589" s="337"/>
      <c r="Y589" s="337"/>
      <c r="AB589" s="337"/>
    </row>
    <row r="590" spans="1:28" x14ac:dyDescent="0.45">
      <c r="A590" s="337"/>
      <c r="D590" s="337"/>
      <c r="G590" s="337"/>
      <c r="J590" s="337"/>
      <c r="M590" s="337"/>
      <c r="P590" s="337"/>
      <c r="S590" s="337"/>
      <c r="V590" s="337"/>
      <c r="Y590" s="337"/>
      <c r="AB590" s="337"/>
    </row>
    <row r="591" spans="1:28" x14ac:dyDescent="0.45">
      <c r="A591" s="337"/>
      <c r="D591" s="337"/>
      <c r="G591" s="337"/>
      <c r="J591" s="337"/>
      <c r="M591" s="337"/>
      <c r="P591" s="337"/>
      <c r="S591" s="337"/>
      <c r="V591" s="337"/>
      <c r="Y591" s="337"/>
      <c r="AB591" s="337"/>
    </row>
    <row r="592" spans="1:28" x14ac:dyDescent="0.45">
      <c r="A592" s="337"/>
      <c r="D592" s="337"/>
      <c r="G592" s="337"/>
      <c r="J592" s="337"/>
      <c r="M592" s="337"/>
      <c r="P592" s="337"/>
      <c r="S592" s="337"/>
      <c r="V592" s="337"/>
      <c r="Y592" s="337"/>
      <c r="AB592" s="337"/>
    </row>
    <row r="593" spans="1:28" x14ac:dyDescent="0.45">
      <c r="A593" s="337"/>
      <c r="D593" s="337"/>
      <c r="G593" s="337"/>
      <c r="J593" s="337"/>
      <c r="M593" s="337"/>
      <c r="P593" s="337"/>
      <c r="S593" s="337"/>
      <c r="V593" s="337"/>
      <c r="Y593" s="337"/>
      <c r="AB593" s="337"/>
    </row>
    <row r="594" spans="1:28" x14ac:dyDescent="0.45">
      <c r="A594" s="337"/>
      <c r="D594" s="337"/>
      <c r="G594" s="337"/>
      <c r="J594" s="337"/>
      <c r="M594" s="337"/>
      <c r="P594" s="337"/>
      <c r="S594" s="337"/>
      <c r="V594" s="337"/>
      <c r="Y594" s="337"/>
      <c r="AB594" s="337"/>
    </row>
    <row r="595" spans="1:28" x14ac:dyDescent="0.45">
      <c r="A595" s="337"/>
      <c r="D595" s="337"/>
      <c r="G595" s="337"/>
      <c r="J595" s="337"/>
      <c r="M595" s="337"/>
      <c r="P595" s="337"/>
      <c r="S595" s="337"/>
      <c r="V595" s="337"/>
      <c r="Y595" s="337"/>
      <c r="AB595" s="337"/>
    </row>
    <row r="596" spans="1:28" x14ac:dyDescent="0.45">
      <c r="A596" s="337"/>
      <c r="D596" s="337"/>
      <c r="G596" s="337"/>
      <c r="J596" s="337"/>
      <c r="M596" s="337"/>
      <c r="P596" s="337"/>
      <c r="S596" s="337"/>
      <c r="V596" s="337"/>
      <c r="Y596" s="337"/>
      <c r="AB596" s="337"/>
    </row>
    <row r="597" spans="1:28" x14ac:dyDescent="0.45">
      <c r="A597" s="337"/>
      <c r="D597" s="337"/>
      <c r="G597" s="337"/>
      <c r="J597" s="337"/>
      <c r="M597" s="337"/>
      <c r="P597" s="337"/>
      <c r="S597" s="337"/>
      <c r="V597" s="337"/>
      <c r="Y597" s="337"/>
      <c r="AB597" s="337"/>
    </row>
    <row r="598" spans="1:28" x14ac:dyDescent="0.45">
      <c r="A598" s="337"/>
      <c r="D598" s="337"/>
      <c r="G598" s="337"/>
      <c r="J598" s="337"/>
      <c r="M598" s="337"/>
      <c r="P598" s="337"/>
      <c r="S598" s="337"/>
      <c r="V598" s="337"/>
      <c r="Y598" s="337"/>
      <c r="AB598" s="337"/>
    </row>
    <row r="599" spans="1:28" x14ac:dyDescent="0.45">
      <c r="A599" s="337"/>
      <c r="D599" s="337"/>
      <c r="G599" s="337"/>
      <c r="J599" s="337"/>
      <c r="M599" s="337"/>
      <c r="P599" s="337"/>
      <c r="S599" s="337"/>
      <c r="V599" s="337"/>
      <c r="Y599" s="337"/>
      <c r="AB599" s="337"/>
    </row>
    <row r="600" spans="1:28" x14ac:dyDescent="0.45">
      <c r="A600" s="337"/>
      <c r="D600" s="337"/>
      <c r="G600" s="337"/>
      <c r="J600" s="337"/>
      <c r="M600" s="337"/>
      <c r="P600" s="337"/>
      <c r="S600" s="337"/>
      <c r="V600" s="337"/>
      <c r="Y600" s="337"/>
      <c r="AB600" s="337"/>
    </row>
    <row r="601" spans="1:28" x14ac:dyDescent="0.45">
      <c r="A601" s="337"/>
      <c r="D601" s="337"/>
      <c r="G601" s="337"/>
      <c r="J601" s="337"/>
      <c r="M601" s="337"/>
      <c r="P601" s="337"/>
      <c r="S601" s="337"/>
      <c r="V601" s="337"/>
      <c r="Y601" s="337"/>
      <c r="AB601" s="337"/>
    </row>
    <row r="602" spans="1:28" x14ac:dyDescent="0.45">
      <c r="A602" s="337"/>
      <c r="D602" s="337"/>
      <c r="G602" s="337"/>
      <c r="J602" s="337"/>
      <c r="M602" s="337"/>
      <c r="P602" s="337"/>
      <c r="S602" s="337"/>
      <c r="V602" s="337"/>
      <c r="Y602" s="337"/>
      <c r="AB602" s="337"/>
    </row>
    <row r="603" spans="1:28" x14ac:dyDescent="0.45">
      <c r="A603" s="337"/>
      <c r="D603" s="337"/>
      <c r="G603" s="337"/>
      <c r="J603" s="337"/>
      <c r="M603" s="337"/>
      <c r="P603" s="337"/>
      <c r="S603" s="337"/>
      <c r="V603" s="337"/>
      <c r="Y603" s="337"/>
      <c r="AB603" s="337"/>
    </row>
    <row r="604" spans="1:28" x14ac:dyDescent="0.45">
      <c r="A604" s="337"/>
      <c r="D604" s="337"/>
      <c r="G604" s="337"/>
      <c r="J604" s="337"/>
      <c r="M604" s="337"/>
      <c r="P604" s="337"/>
      <c r="S604" s="337"/>
      <c r="V604" s="337"/>
      <c r="Y604" s="337"/>
      <c r="AB604" s="337"/>
    </row>
    <row r="605" spans="1:28" x14ac:dyDescent="0.45">
      <c r="A605" s="337"/>
      <c r="D605" s="337"/>
      <c r="G605" s="337"/>
      <c r="J605" s="337"/>
      <c r="M605" s="337"/>
      <c r="P605" s="337"/>
      <c r="S605" s="337"/>
      <c r="V605" s="337"/>
      <c r="Y605" s="337"/>
      <c r="AB605" s="337"/>
    </row>
    <row r="606" spans="1:28" x14ac:dyDescent="0.45">
      <c r="A606" s="337"/>
      <c r="D606" s="337"/>
      <c r="G606" s="337"/>
      <c r="J606" s="337"/>
      <c r="M606" s="337"/>
      <c r="P606" s="337"/>
      <c r="S606" s="337"/>
      <c r="V606" s="337"/>
      <c r="Y606" s="337"/>
      <c r="AB606" s="337"/>
    </row>
    <row r="607" spans="1:28" x14ac:dyDescent="0.45">
      <c r="A607" s="337"/>
      <c r="D607" s="337"/>
      <c r="G607" s="337"/>
      <c r="J607" s="337"/>
      <c r="M607" s="337"/>
      <c r="P607" s="337"/>
      <c r="S607" s="337"/>
      <c r="V607" s="337"/>
      <c r="Y607" s="337"/>
      <c r="AB607" s="337"/>
    </row>
    <row r="608" spans="1:28" x14ac:dyDescent="0.45">
      <c r="A608" s="337"/>
      <c r="D608" s="337"/>
      <c r="G608" s="337"/>
      <c r="J608" s="337"/>
      <c r="M608" s="337"/>
      <c r="P608" s="337"/>
      <c r="S608" s="337"/>
      <c r="V608" s="337"/>
      <c r="Y608" s="337"/>
      <c r="AB608" s="337"/>
    </row>
    <row r="609" spans="1:28" x14ac:dyDescent="0.45">
      <c r="A609" s="337"/>
      <c r="D609" s="337"/>
      <c r="G609" s="337"/>
      <c r="J609" s="337"/>
      <c r="M609" s="337"/>
      <c r="P609" s="337"/>
      <c r="S609" s="337"/>
      <c r="V609" s="337"/>
      <c r="Y609" s="337"/>
      <c r="AB609" s="337"/>
    </row>
    <row r="610" spans="1:28" x14ac:dyDescent="0.45">
      <c r="A610" s="337"/>
      <c r="D610" s="337"/>
      <c r="G610" s="337"/>
      <c r="J610" s="337"/>
      <c r="M610" s="337"/>
      <c r="P610" s="337"/>
      <c r="S610" s="337"/>
      <c r="V610" s="337"/>
      <c r="Y610" s="337"/>
      <c r="AB610" s="337"/>
    </row>
    <row r="611" spans="1:28" x14ac:dyDescent="0.45">
      <c r="A611" s="337"/>
      <c r="D611" s="337"/>
      <c r="G611" s="337"/>
      <c r="J611" s="337"/>
      <c r="M611" s="337"/>
      <c r="P611" s="337"/>
      <c r="S611" s="337"/>
      <c r="V611" s="337"/>
      <c r="Y611" s="337"/>
      <c r="AB611" s="337"/>
    </row>
    <row r="612" spans="1:28" x14ac:dyDescent="0.45">
      <c r="A612" s="337"/>
      <c r="D612" s="337"/>
      <c r="G612" s="337"/>
      <c r="J612" s="337"/>
      <c r="M612" s="337"/>
      <c r="P612" s="337"/>
      <c r="S612" s="337"/>
      <c r="V612" s="337"/>
      <c r="Y612" s="337"/>
      <c r="AB612" s="337"/>
    </row>
    <row r="613" spans="1:28" x14ac:dyDescent="0.45">
      <c r="A613" s="337"/>
      <c r="D613" s="337"/>
      <c r="G613" s="337"/>
      <c r="J613" s="337"/>
      <c r="M613" s="337"/>
      <c r="P613" s="337"/>
      <c r="S613" s="337"/>
      <c r="V613" s="337"/>
      <c r="Y613" s="337"/>
      <c r="AB613" s="337"/>
    </row>
    <row r="614" spans="1:28" x14ac:dyDescent="0.45">
      <c r="A614" s="337"/>
      <c r="D614" s="337"/>
      <c r="G614" s="337"/>
      <c r="J614" s="337"/>
      <c r="M614" s="337"/>
      <c r="P614" s="337"/>
      <c r="S614" s="337"/>
      <c r="V614" s="337"/>
      <c r="Y614" s="337"/>
      <c r="AB614" s="337"/>
    </row>
    <row r="615" spans="1:28" x14ac:dyDescent="0.45">
      <c r="A615" s="337"/>
      <c r="D615" s="337"/>
      <c r="G615" s="337"/>
      <c r="J615" s="337"/>
      <c r="M615" s="337"/>
      <c r="P615" s="337"/>
      <c r="S615" s="337"/>
      <c r="V615" s="337"/>
      <c r="Y615" s="337"/>
      <c r="AB615" s="337"/>
    </row>
    <row r="616" spans="1:28" x14ac:dyDescent="0.45">
      <c r="A616" s="337"/>
      <c r="D616" s="337"/>
      <c r="G616" s="337"/>
      <c r="J616" s="337"/>
      <c r="M616" s="337"/>
      <c r="P616" s="337"/>
      <c r="S616" s="337"/>
      <c r="V616" s="337"/>
      <c r="Y616" s="337"/>
      <c r="AB616" s="337"/>
    </row>
    <row r="617" spans="1:28" x14ac:dyDescent="0.45">
      <c r="A617" s="337"/>
      <c r="D617" s="337"/>
      <c r="G617" s="337"/>
      <c r="J617" s="337"/>
      <c r="M617" s="337"/>
      <c r="P617" s="337"/>
      <c r="S617" s="337"/>
      <c r="V617" s="337"/>
      <c r="Y617" s="337"/>
      <c r="AB617" s="337"/>
    </row>
    <row r="618" spans="1:28" x14ac:dyDescent="0.45">
      <c r="A618" s="337"/>
      <c r="D618" s="337"/>
      <c r="G618" s="337"/>
      <c r="J618" s="337"/>
      <c r="M618" s="337"/>
      <c r="P618" s="337"/>
      <c r="S618" s="337"/>
      <c r="V618" s="337"/>
      <c r="Y618" s="337"/>
      <c r="AB618" s="337"/>
    </row>
    <row r="619" spans="1:28" x14ac:dyDescent="0.45">
      <c r="A619" s="337"/>
      <c r="D619" s="337"/>
      <c r="G619" s="337"/>
      <c r="J619" s="337"/>
      <c r="M619" s="337"/>
      <c r="P619" s="337"/>
      <c r="S619" s="337"/>
      <c r="V619" s="337"/>
      <c r="Y619" s="337"/>
      <c r="AB619" s="337"/>
    </row>
    <row r="620" spans="1:28" x14ac:dyDescent="0.45">
      <c r="A620" s="337"/>
      <c r="D620" s="337"/>
      <c r="G620" s="337"/>
      <c r="J620" s="337"/>
      <c r="M620" s="337"/>
      <c r="P620" s="337"/>
      <c r="S620" s="337"/>
      <c r="V620" s="337"/>
      <c r="Y620" s="337"/>
      <c r="AB620" s="337"/>
    </row>
    <row r="621" spans="1:28" x14ac:dyDescent="0.45">
      <c r="A621" s="337"/>
      <c r="D621" s="337"/>
      <c r="G621" s="337"/>
      <c r="J621" s="337"/>
      <c r="M621" s="337"/>
      <c r="P621" s="337"/>
      <c r="S621" s="337"/>
      <c r="V621" s="337"/>
      <c r="Y621" s="337"/>
      <c r="AB621" s="337"/>
    </row>
    <row r="622" spans="1:28" x14ac:dyDescent="0.45">
      <c r="A622" s="337"/>
      <c r="D622" s="337"/>
      <c r="G622" s="337"/>
      <c r="J622" s="337"/>
      <c r="M622" s="337"/>
      <c r="P622" s="337"/>
      <c r="S622" s="337"/>
      <c r="V622" s="337"/>
      <c r="Y622" s="337"/>
      <c r="AB622" s="337"/>
    </row>
    <row r="623" spans="1:28" x14ac:dyDescent="0.45">
      <c r="A623" s="337"/>
      <c r="D623" s="337"/>
      <c r="G623" s="337"/>
      <c r="J623" s="337"/>
      <c r="M623" s="337"/>
      <c r="P623" s="337"/>
      <c r="S623" s="337"/>
      <c r="V623" s="337"/>
      <c r="Y623" s="337"/>
      <c r="AB623" s="337"/>
    </row>
    <row r="624" spans="1:28" x14ac:dyDescent="0.45">
      <c r="A624" s="337"/>
      <c r="D624" s="337"/>
      <c r="G624" s="337"/>
      <c r="J624" s="337"/>
      <c r="M624" s="337"/>
      <c r="P624" s="337"/>
      <c r="S624" s="337"/>
      <c r="V624" s="337"/>
      <c r="Y624" s="337"/>
      <c r="AB624" s="337"/>
    </row>
    <row r="625" spans="1:28" x14ac:dyDescent="0.45">
      <c r="A625" s="337"/>
      <c r="D625" s="337"/>
      <c r="G625" s="337"/>
      <c r="J625" s="337"/>
      <c r="M625" s="337"/>
      <c r="P625" s="337"/>
      <c r="S625" s="337"/>
      <c r="V625" s="337"/>
      <c r="Y625" s="337"/>
      <c r="AB625" s="337"/>
    </row>
    <row r="626" spans="1:28" x14ac:dyDescent="0.45">
      <c r="A626" s="337"/>
      <c r="D626" s="337"/>
      <c r="G626" s="337"/>
      <c r="J626" s="337"/>
      <c r="M626" s="337"/>
      <c r="P626" s="337"/>
      <c r="S626" s="337"/>
      <c r="V626" s="337"/>
      <c r="Y626" s="337"/>
      <c r="AB626" s="337"/>
    </row>
    <row r="627" spans="1:28" x14ac:dyDescent="0.45">
      <c r="A627" s="337"/>
      <c r="D627" s="337"/>
      <c r="G627" s="337"/>
      <c r="J627" s="337"/>
      <c r="M627" s="337"/>
      <c r="P627" s="337"/>
      <c r="S627" s="337"/>
      <c r="V627" s="337"/>
      <c r="Y627" s="337"/>
      <c r="AB627" s="337"/>
    </row>
    <row r="628" spans="1:28" x14ac:dyDescent="0.45">
      <c r="A628" s="337"/>
      <c r="D628" s="337"/>
      <c r="G628" s="337"/>
      <c r="J628" s="337"/>
      <c r="M628" s="337"/>
      <c r="P628" s="337"/>
      <c r="S628" s="337"/>
      <c r="V628" s="337"/>
      <c r="Y628" s="337"/>
      <c r="AB628" s="337"/>
    </row>
    <row r="629" spans="1:28" x14ac:dyDescent="0.45">
      <c r="A629" s="337"/>
      <c r="D629" s="337"/>
      <c r="G629" s="337"/>
      <c r="J629" s="337"/>
      <c r="M629" s="337"/>
      <c r="P629" s="337"/>
      <c r="S629" s="337"/>
      <c r="V629" s="337"/>
      <c r="Y629" s="337"/>
      <c r="AB629" s="337"/>
    </row>
    <row r="630" spans="1:28" x14ac:dyDescent="0.45">
      <c r="A630" s="337"/>
      <c r="D630" s="337"/>
      <c r="G630" s="337"/>
      <c r="J630" s="337"/>
      <c r="M630" s="337"/>
      <c r="P630" s="337"/>
      <c r="S630" s="337"/>
      <c r="V630" s="337"/>
      <c r="Y630" s="337"/>
      <c r="AB630" s="337"/>
    </row>
    <row r="631" spans="1:28" x14ac:dyDescent="0.45">
      <c r="A631" s="337"/>
      <c r="D631" s="337"/>
      <c r="G631" s="337"/>
      <c r="J631" s="337"/>
      <c r="M631" s="337"/>
      <c r="P631" s="337"/>
      <c r="S631" s="337"/>
      <c r="V631" s="337"/>
      <c r="Y631" s="337"/>
      <c r="AB631" s="337"/>
    </row>
    <row r="632" spans="1:28" x14ac:dyDescent="0.45">
      <c r="A632" s="337"/>
      <c r="D632" s="337"/>
      <c r="G632" s="337"/>
      <c r="J632" s="337"/>
      <c r="M632" s="337"/>
      <c r="P632" s="337"/>
      <c r="S632" s="337"/>
      <c r="V632" s="337"/>
      <c r="Y632" s="337"/>
      <c r="AB632" s="337"/>
    </row>
    <row r="633" spans="1:28" x14ac:dyDescent="0.45">
      <c r="A633" s="337"/>
      <c r="D633" s="337"/>
      <c r="G633" s="337"/>
      <c r="J633" s="337"/>
      <c r="M633" s="337"/>
      <c r="P633" s="337"/>
      <c r="S633" s="337"/>
      <c r="V633" s="337"/>
      <c r="Y633" s="337"/>
      <c r="AB633" s="337"/>
    </row>
    <row r="634" spans="1:28" x14ac:dyDescent="0.45">
      <c r="A634" s="337"/>
      <c r="D634" s="337"/>
      <c r="G634" s="337"/>
      <c r="J634" s="337"/>
      <c r="M634" s="337"/>
      <c r="P634" s="337"/>
      <c r="S634" s="337"/>
      <c r="V634" s="337"/>
      <c r="Y634" s="337"/>
      <c r="AB634" s="337"/>
    </row>
    <row r="635" spans="1:28" x14ac:dyDescent="0.45">
      <c r="A635" s="337"/>
      <c r="D635" s="337"/>
      <c r="G635" s="337"/>
      <c r="J635" s="337"/>
      <c r="M635" s="337"/>
      <c r="P635" s="337"/>
      <c r="S635" s="337"/>
      <c r="V635" s="337"/>
      <c r="Y635" s="337"/>
      <c r="AB635" s="337"/>
    </row>
    <row r="636" spans="1:28" x14ac:dyDescent="0.45">
      <c r="A636" s="337"/>
      <c r="D636" s="337"/>
      <c r="G636" s="337"/>
      <c r="J636" s="337"/>
      <c r="M636" s="337"/>
      <c r="P636" s="337"/>
      <c r="S636" s="337"/>
      <c r="V636" s="337"/>
      <c r="Y636" s="337"/>
      <c r="AB636" s="337"/>
    </row>
    <row r="637" spans="1:28" x14ac:dyDescent="0.45">
      <c r="A637" s="337"/>
      <c r="D637" s="337"/>
      <c r="G637" s="337"/>
      <c r="J637" s="337"/>
      <c r="M637" s="337"/>
      <c r="P637" s="337"/>
      <c r="S637" s="337"/>
      <c r="V637" s="337"/>
      <c r="Y637" s="337"/>
      <c r="AB637" s="337"/>
    </row>
    <row r="638" spans="1:28" x14ac:dyDescent="0.45">
      <c r="A638" s="337"/>
      <c r="D638" s="337"/>
      <c r="G638" s="337"/>
      <c r="J638" s="337"/>
      <c r="M638" s="337"/>
      <c r="P638" s="337"/>
      <c r="S638" s="337"/>
      <c r="V638" s="337"/>
      <c r="Y638" s="337"/>
      <c r="AB638" s="337"/>
    </row>
    <row r="639" spans="1:28" x14ac:dyDescent="0.45">
      <c r="A639" s="337"/>
      <c r="D639" s="337"/>
      <c r="G639" s="337"/>
      <c r="J639" s="337"/>
      <c r="M639" s="337"/>
      <c r="P639" s="337"/>
      <c r="S639" s="337"/>
      <c r="V639" s="337"/>
      <c r="Y639" s="337"/>
      <c r="AB639" s="337"/>
    </row>
    <row r="640" spans="1:28" x14ac:dyDescent="0.45">
      <c r="A640" s="337"/>
      <c r="D640" s="337"/>
      <c r="G640" s="337"/>
      <c r="J640" s="337"/>
      <c r="M640" s="337"/>
      <c r="P640" s="337"/>
      <c r="S640" s="337"/>
      <c r="V640" s="337"/>
      <c r="Y640" s="337"/>
      <c r="AB640" s="337"/>
    </row>
    <row r="641" spans="1:28" x14ac:dyDescent="0.45">
      <c r="A641" s="337"/>
      <c r="D641" s="337"/>
      <c r="G641" s="337"/>
      <c r="J641" s="337"/>
      <c r="M641" s="337"/>
      <c r="P641" s="337"/>
      <c r="S641" s="337"/>
      <c r="V641" s="337"/>
      <c r="Y641" s="337"/>
      <c r="AB641" s="337"/>
    </row>
    <row r="642" spans="1:28" x14ac:dyDescent="0.45">
      <c r="A642" s="337"/>
      <c r="D642" s="337"/>
      <c r="G642" s="337"/>
      <c r="J642" s="337"/>
      <c r="M642" s="337"/>
      <c r="P642" s="337"/>
      <c r="S642" s="337"/>
      <c r="V642" s="337"/>
      <c r="Y642" s="337"/>
      <c r="AB642" s="337"/>
    </row>
    <row r="643" spans="1:28" x14ac:dyDescent="0.45">
      <c r="A643" s="337"/>
      <c r="D643" s="337"/>
      <c r="G643" s="337"/>
      <c r="J643" s="337"/>
      <c r="M643" s="337"/>
      <c r="P643" s="337"/>
      <c r="S643" s="337"/>
      <c r="V643" s="337"/>
      <c r="Y643" s="337"/>
      <c r="AB643" s="337"/>
    </row>
    <row r="644" spans="1:28" x14ac:dyDescent="0.45">
      <c r="A644" s="337"/>
      <c r="D644" s="337"/>
      <c r="G644" s="337"/>
      <c r="J644" s="337"/>
      <c r="M644" s="337"/>
      <c r="P644" s="337"/>
      <c r="S644" s="337"/>
      <c r="V644" s="337"/>
      <c r="Y644" s="337"/>
      <c r="AB644" s="337"/>
    </row>
    <row r="645" spans="1:28" x14ac:dyDescent="0.45">
      <c r="A645" s="337"/>
      <c r="D645" s="337"/>
      <c r="G645" s="337"/>
      <c r="J645" s="337"/>
      <c r="M645" s="337"/>
      <c r="P645" s="337"/>
      <c r="S645" s="337"/>
      <c r="V645" s="337"/>
      <c r="Y645" s="337"/>
      <c r="AB645" s="337"/>
    </row>
    <row r="646" spans="1:28" x14ac:dyDescent="0.45">
      <c r="A646" s="337"/>
      <c r="D646" s="337"/>
      <c r="G646" s="337"/>
      <c r="J646" s="337"/>
      <c r="M646" s="337"/>
      <c r="P646" s="337"/>
      <c r="S646" s="337"/>
      <c r="V646" s="337"/>
      <c r="Y646" s="337"/>
      <c r="AB646" s="337"/>
    </row>
    <row r="647" spans="1:28" x14ac:dyDescent="0.45">
      <c r="A647" s="337"/>
      <c r="D647" s="337"/>
      <c r="G647" s="337"/>
      <c r="J647" s="337"/>
      <c r="M647" s="337"/>
      <c r="P647" s="337"/>
      <c r="S647" s="337"/>
      <c r="V647" s="337"/>
      <c r="Y647" s="337"/>
      <c r="AB647" s="337"/>
    </row>
    <row r="648" spans="1:28" x14ac:dyDescent="0.45">
      <c r="A648" s="337"/>
      <c r="D648" s="337"/>
      <c r="G648" s="337"/>
      <c r="J648" s="337"/>
      <c r="M648" s="337"/>
      <c r="P648" s="337"/>
      <c r="S648" s="337"/>
      <c r="V648" s="337"/>
      <c r="Y648" s="337"/>
      <c r="AB648" s="337"/>
    </row>
    <row r="649" spans="1:28" x14ac:dyDescent="0.45">
      <c r="A649" s="337"/>
      <c r="D649" s="337"/>
      <c r="G649" s="337"/>
      <c r="J649" s="337"/>
      <c r="M649" s="337"/>
      <c r="P649" s="337"/>
      <c r="S649" s="337"/>
      <c r="V649" s="337"/>
      <c r="Y649" s="337"/>
      <c r="AB649" s="337"/>
    </row>
    <row r="650" spans="1:28" x14ac:dyDescent="0.45">
      <c r="A650" s="337"/>
      <c r="D650" s="337"/>
      <c r="G650" s="337"/>
      <c r="J650" s="337"/>
      <c r="M650" s="337"/>
      <c r="P650" s="337"/>
      <c r="S650" s="337"/>
      <c r="V650" s="337"/>
      <c r="Y650" s="337"/>
      <c r="AB650" s="337"/>
    </row>
    <row r="651" spans="1:28" x14ac:dyDescent="0.45">
      <c r="A651" s="337"/>
      <c r="D651" s="337"/>
      <c r="G651" s="337"/>
      <c r="J651" s="337"/>
      <c r="M651" s="337"/>
      <c r="P651" s="337"/>
      <c r="S651" s="337"/>
      <c r="V651" s="337"/>
      <c r="Y651" s="337"/>
      <c r="AB651" s="337"/>
    </row>
    <row r="652" spans="1:28" x14ac:dyDescent="0.45">
      <c r="A652" s="337"/>
      <c r="D652" s="337"/>
      <c r="G652" s="337"/>
      <c r="J652" s="337"/>
      <c r="M652" s="337"/>
      <c r="P652" s="337"/>
      <c r="S652" s="337"/>
      <c r="V652" s="337"/>
      <c r="Y652" s="337"/>
      <c r="AB652" s="337"/>
    </row>
    <row r="653" spans="1:28" x14ac:dyDescent="0.45">
      <c r="A653" s="337"/>
      <c r="D653" s="337"/>
      <c r="G653" s="337"/>
      <c r="J653" s="337"/>
      <c r="M653" s="337"/>
      <c r="P653" s="337"/>
      <c r="S653" s="337"/>
      <c r="V653" s="337"/>
      <c r="Y653" s="337"/>
      <c r="AB653" s="337"/>
    </row>
    <row r="654" spans="1:28" x14ac:dyDescent="0.45">
      <c r="A654" s="337"/>
      <c r="D654" s="337"/>
      <c r="G654" s="337"/>
      <c r="J654" s="337"/>
      <c r="M654" s="337"/>
      <c r="P654" s="337"/>
      <c r="S654" s="337"/>
      <c r="V654" s="337"/>
      <c r="Y654" s="337"/>
      <c r="AB654" s="337"/>
    </row>
    <row r="655" spans="1:28" x14ac:dyDescent="0.45">
      <c r="A655" s="337"/>
      <c r="D655" s="337"/>
      <c r="G655" s="337"/>
      <c r="J655" s="337"/>
      <c r="M655" s="337"/>
      <c r="P655" s="337"/>
      <c r="S655" s="337"/>
      <c r="V655" s="337"/>
      <c r="Y655" s="337"/>
      <c r="AB655" s="337"/>
    </row>
    <row r="656" spans="1:28" x14ac:dyDescent="0.45">
      <c r="A656" s="337"/>
      <c r="D656" s="337"/>
      <c r="G656" s="337"/>
      <c r="J656" s="337"/>
      <c r="M656" s="337"/>
      <c r="P656" s="337"/>
      <c r="S656" s="337"/>
      <c r="V656" s="337"/>
      <c r="Y656" s="337"/>
      <c r="AB656" s="337"/>
    </row>
    <row r="657" spans="1:28" x14ac:dyDescent="0.45">
      <c r="A657" s="337"/>
      <c r="D657" s="337"/>
      <c r="G657" s="337"/>
      <c r="J657" s="337"/>
      <c r="M657" s="337"/>
      <c r="P657" s="337"/>
      <c r="S657" s="337"/>
      <c r="V657" s="337"/>
      <c r="Y657" s="337"/>
      <c r="AB657" s="337"/>
    </row>
    <row r="658" spans="1:28" x14ac:dyDescent="0.45">
      <c r="A658" s="337"/>
      <c r="D658" s="337"/>
      <c r="G658" s="337"/>
      <c r="J658" s="337"/>
      <c r="M658" s="337"/>
      <c r="P658" s="337"/>
      <c r="S658" s="337"/>
      <c r="V658" s="337"/>
      <c r="Y658" s="337"/>
      <c r="AB658" s="337"/>
    </row>
    <row r="659" spans="1:28" x14ac:dyDescent="0.45">
      <c r="A659" s="337"/>
      <c r="D659" s="337"/>
      <c r="G659" s="337"/>
      <c r="J659" s="337"/>
      <c r="M659" s="337"/>
      <c r="P659" s="337"/>
      <c r="S659" s="337"/>
      <c r="V659" s="337"/>
      <c r="Y659" s="337"/>
      <c r="AB659" s="337"/>
    </row>
    <row r="660" spans="1:28" x14ac:dyDescent="0.45">
      <c r="A660" s="337"/>
      <c r="D660" s="337"/>
      <c r="G660" s="337"/>
      <c r="J660" s="337"/>
      <c r="M660" s="337"/>
      <c r="P660" s="337"/>
      <c r="S660" s="337"/>
      <c r="V660" s="337"/>
      <c r="Y660" s="337"/>
      <c r="AB660" s="337"/>
    </row>
    <row r="661" spans="1:28" x14ac:dyDescent="0.45">
      <c r="A661" s="337"/>
      <c r="D661" s="337"/>
      <c r="G661" s="337"/>
      <c r="J661" s="337"/>
      <c r="M661" s="337"/>
      <c r="P661" s="337"/>
      <c r="S661" s="337"/>
      <c r="V661" s="337"/>
      <c r="Y661" s="337"/>
      <c r="AB661" s="337"/>
    </row>
    <row r="662" spans="1:28" x14ac:dyDescent="0.45">
      <c r="A662" s="337"/>
      <c r="D662" s="337"/>
      <c r="G662" s="337"/>
      <c r="J662" s="337"/>
      <c r="M662" s="337"/>
      <c r="P662" s="337"/>
      <c r="S662" s="337"/>
      <c r="V662" s="337"/>
      <c r="Y662" s="337"/>
      <c r="AB662" s="337"/>
    </row>
    <row r="663" spans="1:28" x14ac:dyDescent="0.45">
      <c r="A663" s="337"/>
      <c r="D663" s="337"/>
      <c r="G663" s="337"/>
      <c r="J663" s="337"/>
      <c r="M663" s="337"/>
      <c r="P663" s="337"/>
      <c r="S663" s="337"/>
      <c r="V663" s="337"/>
      <c r="Y663" s="337"/>
      <c r="AB663" s="337"/>
    </row>
    <row r="664" spans="1:28" x14ac:dyDescent="0.45">
      <c r="A664" s="337"/>
      <c r="D664" s="337"/>
      <c r="G664" s="337"/>
      <c r="J664" s="337"/>
      <c r="M664" s="337"/>
      <c r="P664" s="337"/>
      <c r="S664" s="337"/>
      <c r="V664" s="337"/>
      <c r="Y664" s="337"/>
      <c r="AB664" s="337"/>
    </row>
    <row r="665" spans="1:28" x14ac:dyDescent="0.45">
      <c r="A665" s="337"/>
      <c r="D665" s="337"/>
      <c r="G665" s="337"/>
      <c r="J665" s="337"/>
      <c r="M665" s="337"/>
      <c r="P665" s="337"/>
      <c r="S665" s="337"/>
      <c r="V665" s="337"/>
      <c r="Y665" s="337"/>
      <c r="AB665" s="337"/>
    </row>
    <row r="666" spans="1:28" x14ac:dyDescent="0.45">
      <c r="A666" s="337"/>
      <c r="D666" s="337"/>
      <c r="G666" s="337"/>
      <c r="J666" s="337"/>
      <c r="M666" s="337"/>
      <c r="P666" s="337"/>
      <c r="S666" s="337"/>
      <c r="V666" s="337"/>
      <c r="Y666" s="337"/>
      <c r="AB666" s="337"/>
    </row>
    <row r="667" spans="1:28" x14ac:dyDescent="0.45">
      <c r="A667" s="337"/>
      <c r="D667" s="337"/>
      <c r="G667" s="337"/>
      <c r="J667" s="337"/>
      <c r="M667" s="337"/>
      <c r="P667" s="337"/>
      <c r="S667" s="337"/>
      <c r="V667" s="337"/>
      <c r="Y667" s="337"/>
      <c r="AB667" s="337"/>
    </row>
    <row r="668" spans="1:28" x14ac:dyDescent="0.45">
      <c r="A668" s="337"/>
      <c r="D668" s="337"/>
      <c r="G668" s="337"/>
      <c r="J668" s="337"/>
      <c r="M668" s="337"/>
      <c r="P668" s="337"/>
      <c r="S668" s="337"/>
      <c r="V668" s="337"/>
      <c r="Y668" s="337"/>
      <c r="AB668" s="337"/>
    </row>
    <row r="669" spans="1:28" x14ac:dyDescent="0.45">
      <c r="A669" s="337"/>
      <c r="D669" s="337"/>
      <c r="G669" s="337"/>
      <c r="J669" s="337"/>
      <c r="M669" s="337"/>
      <c r="P669" s="337"/>
      <c r="S669" s="337"/>
      <c r="V669" s="337"/>
      <c r="Y669" s="337"/>
      <c r="AB669" s="337"/>
    </row>
    <row r="670" spans="1:28" x14ac:dyDescent="0.45">
      <c r="A670" s="337"/>
      <c r="D670" s="337"/>
      <c r="G670" s="337"/>
      <c r="J670" s="337"/>
      <c r="M670" s="337"/>
      <c r="P670" s="337"/>
      <c r="S670" s="337"/>
      <c r="V670" s="337"/>
      <c r="Y670" s="337"/>
      <c r="AB670" s="337"/>
    </row>
    <row r="671" spans="1:28" x14ac:dyDescent="0.45">
      <c r="A671" s="337"/>
      <c r="D671" s="337"/>
      <c r="G671" s="337"/>
      <c r="J671" s="337"/>
      <c r="M671" s="337"/>
      <c r="P671" s="337"/>
      <c r="S671" s="337"/>
      <c r="V671" s="337"/>
      <c r="Y671" s="337"/>
      <c r="AB671" s="337"/>
    </row>
    <row r="672" spans="1:28" x14ac:dyDescent="0.45">
      <c r="A672" s="337"/>
      <c r="D672" s="337"/>
      <c r="G672" s="337"/>
      <c r="J672" s="337"/>
      <c r="M672" s="337"/>
      <c r="P672" s="337"/>
      <c r="S672" s="337"/>
      <c r="V672" s="337"/>
      <c r="Y672" s="337"/>
      <c r="AB672" s="337"/>
    </row>
    <row r="673" spans="1:28" x14ac:dyDescent="0.45">
      <c r="A673" s="337"/>
      <c r="D673" s="337"/>
      <c r="G673" s="337"/>
      <c r="J673" s="337"/>
      <c r="M673" s="337"/>
      <c r="P673" s="337"/>
      <c r="S673" s="337"/>
      <c r="V673" s="337"/>
      <c r="Y673" s="337"/>
      <c r="AB673" s="337"/>
    </row>
    <row r="674" spans="1:28" x14ac:dyDescent="0.45">
      <c r="A674" s="337"/>
      <c r="D674" s="337"/>
      <c r="G674" s="337"/>
      <c r="J674" s="337"/>
      <c r="M674" s="337"/>
      <c r="P674" s="337"/>
      <c r="S674" s="337"/>
      <c r="V674" s="337"/>
      <c r="Y674" s="337"/>
      <c r="AB674" s="337"/>
    </row>
    <row r="675" spans="1:28" x14ac:dyDescent="0.45">
      <c r="A675" s="337"/>
      <c r="D675" s="337"/>
      <c r="G675" s="337"/>
      <c r="J675" s="337"/>
      <c r="M675" s="337"/>
      <c r="P675" s="337"/>
      <c r="S675" s="337"/>
      <c r="V675" s="337"/>
      <c r="Y675" s="337"/>
      <c r="AB675" s="337"/>
    </row>
    <row r="676" spans="1:28" x14ac:dyDescent="0.45">
      <c r="A676" s="337"/>
      <c r="D676" s="337"/>
      <c r="G676" s="337"/>
      <c r="J676" s="337"/>
      <c r="M676" s="337"/>
      <c r="P676" s="337"/>
      <c r="S676" s="337"/>
      <c r="V676" s="337"/>
      <c r="Y676" s="337"/>
      <c r="AB676" s="337"/>
    </row>
    <row r="677" spans="1:28" x14ac:dyDescent="0.45">
      <c r="A677" s="337"/>
      <c r="D677" s="337"/>
      <c r="G677" s="337"/>
      <c r="J677" s="337"/>
      <c r="M677" s="337"/>
      <c r="P677" s="337"/>
      <c r="S677" s="337"/>
      <c r="V677" s="337"/>
      <c r="Y677" s="337"/>
      <c r="AB677" s="337"/>
    </row>
    <row r="678" spans="1:28" x14ac:dyDescent="0.45">
      <c r="A678" s="337"/>
      <c r="D678" s="337"/>
      <c r="G678" s="337"/>
      <c r="J678" s="337"/>
      <c r="M678" s="337"/>
      <c r="P678" s="337"/>
      <c r="S678" s="337"/>
      <c r="V678" s="337"/>
      <c r="Y678" s="337"/>
      <c r="AB678" s="337"/>
    </row>
    <row r="679" spans="1:28" x14ac:dyDescent="0.45">
      <c r="A679" s="337"/>
      <c r="D679" s="337"/>
      <c r="G679" s="337"/>
      <c r="J679" s="337"/>
      <c r="M679" s="337"/>
      <c r="P679" s="337"/>
      <c r="S679" s="337"/>
      <c r="V679" s="337"/>
      <c r="Y679" s="337"/>
      <c r="AB679" s="337"/>
    </row>
    <row r="680" spans="1:28" x14ac:dyDescent="0.45">
      <c r="A680" s="337"/>
      <c r="D680" s="337"/>
      <c r="G680" s="337"/>
      <c r="J680" s="337"/>
      <c r="M680" s="337"/>
      <c r="P680" s="337"/>
      <c r="S680" s="337"/>
      <c r="V680" s="337"/>
      <c r="Y680" s="337"/>
      <c r="AB680" s="337"/>
    </row>
    <row r="681" spans="1:28" x14ac:dyDescent="0.45">
      <c r="A681" s="337"/>
      <c r="D681" s="337"/>
      <c r="G681" s="337"/>
      <c r="J681" s="337"/>
      <c r="M681" s="337"/>
      <c r="P681" s="337"/>
      <c r="S681" s="337"/>
      <c r="V681" s="337"/>
      <c r="Y681" s="337"/>
      <c r="AB681" s="337"/>
    </row>
    <row r="682" spans="1:28" x14ac:dyDescent="0.45">
      <c r="A682" s="337"/>
      <c r="D682" s="337"/>
      <c r="G682" s="337"/>
      <c r="J682" s="337"/>
      <c r="M682" s="337"/>
      <c r="P682" s="337"/>
      <c r="S682" s="337"/>
      <c r="V682" s="337"/>
      <c r="Y682" s="337"/>
      <c r="AB682" s="337"/>
    </row>
    <row r="683" spans="1:28" x14ac:dyDescent="0.45">
      <c r="A683" s="337"/>
      <c r="D683" s="337"/>
      <c r="G683" s="337"/>
      <c r="J683" s="337"/>
      <c r="M683" s="337"/>
      <c r="P683" s="337"/>
      <c r="S683" s="337"/>
      <c r="V683" s="337"/>
      <c r="Y683" s="337"/>
      <c r="AB683" s="337"/>
    </row>
    <row r="684" spans="1:28" x14ac:dyDescent="0.45">
      <c r="A684" s="337"/>
      <c r="D684" s="337"/>
      <c r="G684" s="337"/>
      <c r="J684" s="337"/>
      <c r="M684" s="337"/>
      <c r="P684" s="337"/>
      <c r="S684" s="337"/>
      <c r="V684" s="337"/>
      <c r="Y684" s="337"/>
      <c r="AB684" s="337"/>
    </row>
    <row r="685" spans="1:28" x14ac:dyDescent="0.45">
      <c r="A685" s="337"/>
      <c r="D685" s="337"/>
      <c r="G685" s="337"/>
      <c r="J685" s="337"/>
      <c r="M685" s="337"/>
      <c r="P685" s="337"/>
      <c r="S685" s="337"/>
      <c r="V685" s="337"/>
      <c r="Y685" s="337"/>
      <c r="AB685" s="337"/>
    </row>
    <row r="686" spans="1:28" x14ac:dyDescent="0.45">
      <c r="A686" s="337"/>
      <c r="D686" s="337"/>
      <c r="G686" s="337"/>
      <c r="J686" s="337"/>
      <c r="M686" s="337"/>
      <c r="P686" s="337"/>
      <c r="S686" s="337"/>
      <c r="V686" s="337"/>
      <c r="Y686" s="337"/>
      <c r="AB686" s="337"/>
    </row>
    <row r="687" spans="1:28" x14ac:dyDescent="0.45">
      <c r="A687" s="337"/>
      <c r="D687" s="337"/>
      <c r="G687" s="337"/>
      <c r="J687" s="337"/>
      <c r="M687" s="337"/>
      <c r="P687" s="337"/>
      <c r="S687" s="337"/>
      <c r="V687" s="337"/>
      <c r="Y687" s="337"/>
      <c r="AB687" s="337"/>
    </row>
    <row r="688" spans="1:28" x14ac:dyDescent="0.45">
      <c r="A688" s="337"/>
      <c r="D688" s="337"/>
      <c r="G688" s="337"/>
      <c r="J688" s="337"/>
      <c r="M688" s="337"/>
      <c r="P688" s="337"/>
      <c r="S688" s="337"/>
      <c r="V688" s="337"/>
      <c r="Y688" s="337"/>
      <c r="AB688" s="337"/>
    </row>
    <row r="689" spans="1:28" x14ac:dyDescent="0.45">
      <c r="A689" s="337"/>
      <c r="D689" s="337"/>
      <c r="G689" s="337"/>
      <c r="J689" s="337"/>
      <c r="M689" s="337"/>
      <c r="P689" s="337"/>
      <c r="S689" s="337"/>
      <c r="V689" s="337"/>
      <c r="Y689" s="337"/>
      <c r="AB689" s="337"/>
    </row>
    <row r="690" spans="1:28" x14ac:dyDescent="0.45">
      <c r="A690" s="337"/>
      <c r="D690" s="337"/>
      <c r="G690" s="337"/>
      <c r="J690" s="337"/>
      <c r="M690" s="337"/>
      <c r="P690" s="337"/>
      <c r="S690" s="337"/>
      <c r="V690" s="337"/>
      <c r="Y690" s="337"/>
      <c r="AB690" s="337"/>
    </row>
    <row r="691" spans="1:28" x14ac:dyDescent="0.45">
      <c r="A691" s="337"/>
      <c r="D691" s="337"/>
      <c r="G691" s="337"/>
      <c r="J691" s="337"/>
      <c r="M691" s="337"/>
      <c r="P691" s="337"/>
      <c r="S691" s="337"/>
      <c r="V691" s="337"/>
      <c r="Y691" s="337"/>
      <c r="AB691" s="337"/>
    </row>
    <row r="692" spans="1:28" x14ac:dyDescent="0.45">
      <c r="A692" s="337"/>
      <c r="D692" s="337"/>
      <c r="G692" s="337"/>
      <c r="J692" s="337"/>
      <c r="M692" s="337"/>
      <c r="P692" s="337"/>
      <c r="S692" s="337"/>
      <c r="V692" s="337"/>
      <c r="Y692" s="337"/>
      <c r="AB692" s="337"/>
    </row>
    <row r="693" spans="1:28" x14ac:dyDescent="0.45">
      <c r="A693" s="337"/>
      <c r="D693" s="337"/>
      <c r="G693" s="337"/>
      <c r="J693" s="337"/>
      <c r="M693" s="337"/>
      <c r="P693" s="337"/>
      <c r="S693" s="337"/>
      <c r="V693" s="337"/>
      <c r="Y693" s="337"/>
      <c r="AB693" s="337"/>
    </row>
    <row r="694" spans="1:28" x14ac:dyDescent="0.45">
      <c r="A694" s="337"/>
      <c r="D694" s="337"/>
      <c r="G694" s="337"/>
      <c r="J694" s="337"/>
      <c r="M694" s="337"/>
      <c r="P694" s="337"/>
      <c r="S694" s="337"/>
      <c r="V694" s="337"/>
      <c r="Y694" s="337"/>
      <c r="AB694" s="337"/>
    </row>
    <row r="695" spans="1:28" x14ac:dyDescent="0.45">
      <c r="A695" s="337"/>
      <c r="D695" s="337"/>
      <c r="G695" s="337"/>
      <c r="J695" s="337"/>
      <c r="M695" s="337"/>
      <c r="P695" s="337"/>
      <c r="S695" s="337"/>
      <c r="V695" s="337"/>
      <c r="Y695" s="337"/>
      <c r="AB695" s="337"/>
    </row>
    <row r="696" spans="1:28" x14ac:dyDescent="0.45">
      <c r="A696" s="337"/>
      <c r="D696" s="337"/>
      <c r="G696" s="337"/>
      <c r="J696" s="337"/>
      <c r="M696" s="337"/>
      <c r="P696" s="337"/>
      <c r="S696" s="337"/>
      <c r="V696" s="337"/>
      <c r="Y696" s="337"/>
      <c r="AB696" s="337"/>
    </row>
    <row r="697" spans="1:28" x14ac:dyDescent="0.45">
      <c r="A697" s="337"/>
      <c r="D697" s="337"/>
      <c r="G697" s="337"/>
      <c r="J697" s="337"/>
      <c r="M697" s="337"/>
      <c r="P697" s="337"/>
      <c r="S697" s="337"/>
      <c r="V697" s="337"/>
      <c r="Y697" s="337"/>
      <c r="AB697" s="337"/>
    </row>
    <row r="698" spans="1:28" x14ac:dyDescent="0.45">
      <c r="A698" s="337"/>
      <c r="D698" s="337"/>
      <c r="G698" s="337"/>
      <c r="J698" s="337"/>
      <c r="M698" s="337"/>
      <c r="P698" s="337"/>
      <c r="S698" s="337"/>
      <c r="V698" s="337"/>
      <c r="Y698" s="337"/>
      <c r="AB698" s="337"/>
    </row>
    <row r="699" spans="1:28" x14ac:dyDescent="0.45">
      <c r="A699" s="337"/>
      <c r="D699" s="337"/>
      <c r="G699" s="337"/>
      <c r="J699" s="337"/>
      <c r="M699" s="337"/>
      <c r="P699" s="337"/>
      <c r="S699" s="337"/>
      <c r="V699" s="337"/>
      <c r="Y699" s="337"/>
      <c r="AB699" s="337"/>
    </row>
    <row r="700" spans="1:28" x14ac:dyDescent="0.45">
      <c r="A700" s="337"/>
      <c r="D700" s="337"/>
      <c r="G700" s="337"/>
      <c r="J700" s="337"/>
      <c r="M700" s="337"/>
      <c r="P700" s="337"/>
      <c r="S700" s="337"/>
      <c r="V700" s="337"/>
      <c r="Y700" s="337"/>
      <c r="AB700" s="337"/>
    </row>
    <row r="701" spans="1:28" x14ac:dyDescent="0.45">
      <c r="A701" s="337"/>
      <c r="D701" s="337"/>
      <c r="G701" s="337"/>
      <c r="J701" s="337"/>
      <c r="M701" s="337"/>
      <c r="P701" s="337"/>
      <c r="S701" s="337"/>
      <c r="V701" s="337"/>
      <c r="Y701" s="337"/>
      <c r="AB701" s="337"/>
    </row>
    <row r="702" spans="1:28" x14ac:dyDescent="0.45">
      <c r="A702" s="337"/>
      <c r="D702" s="337"/>
      <c r="G702" s="337"/>
      <c r="J702" s="337"/>
      <c r="M702" s="337"/>
      <c r="P702" s="337"/>
      <c r="S702" s="337"/>
      <c r="V702" s="337"/>
      <c r="Y702" s="337"/>
      <c r="AB702" s="337"/>
    </row>
    <row r="703" spans="1:28" x14ac:dyDescent="0.45">
      <c r="A703" s="337"/>
      <c r="D703" s="337"/>
      <c r="G703" s="337"/>
      <c r="J703" s="337"/>
      <c r="M703" s="337"/>
      <c r="P703" s="337"/>
      <c r="S703" s="337"/>
      <c r="V703" s="337"/>
      <c r="Y703" s="337"/>
      <c r="AB703" s="337"/>
    </row>
    <row r="704" spans="1:28" x14ac:dyDescent="0.45">
      <c r="A704" s="337"/>
      <c r="D704" s="337"/>
      <c r="G704" s="337"/>
      <c r="J704" s="337"/>
      <c r="M704" s="337"/>
      <c r="P704" s="337"/>
      <c r="S704" s="337"/>
      <c r="V704" s="337"/>
      <c r="Y704" s="337"/>
      <c r="AB704" s="337"/>
    </row>
    <row r="705" spans="1:28" x14ac:dyDescent="0.45">
      <c r="A705" s="337"/>
      <c r="D705" s="337"/>
      <c r="G705" s="337"/>
      <c r="J705" s="337"/>
      <c r="M705" s="337"/>
      <c r="P705" s="337"/>
      <c r="S705" s="337"/>
      <c r="V705" s="337"/>
      <c r="Y705" s="337"/>
      <c r="AB705" s="337"/>
    </row>
    <row r="706" spans="1:28" x14ac:dyDescent="0.45">
      <c r="A706" s="337"/>
      <c r="D706" s="337"/>
      <c r="G706" s="337"/>
      <c r="J706" s="337"/>
      <c r="M706" s="337"/>
      <c r="P706" s="337"/>
      <c r="S706" s="337"/>
      <c r="V706" s="337"/>
      <c r="Y706" s="337"/>
      <c r="AB706" s="337"/>
    </row>
    <row r="707" spans="1:28" x14ac:dyDescent="0.45">
      <c r="A707" s="337"/>
      <c r="D707" s="337"/>
      <c r="G707" s="337"/>
      <c r="J707" s="337"/>
      <c r="M707" s="337"/>
      <c r="P707" s="337"/>
      <c r="S707" s="337"/>
      <c r="V707" s="337"/>
      <c r="Y707" s="337"/>
      <c r="AB707" s="337"/>
    </row>
    <row r="708" spans="1:28" x14ac:dyDescent="0.45">
      <c r="A708" s="337"/>
      <c r="D708" s="337"/>
      <c r="G708" s="337"/>
      <c r="J708" s="337"/>
      <c r="M708" s="337"/>
      <c r="P708" s="337"/>
      <c r="S708" s="337"/>
      <c r="V708" s="337"/>
      <c r="Y708" s="337"/>
      <c r="AB708" s="337"/>
    </row>
    <row r="709" spans="1:28" x14ac:dyDescent="0.45">
      <c r="A709" s="337"/>
      <c r="D709" s="337"/>
      <c r="G709" s="337"/>
      <c r="J709" s="337"/>
      <c r="M709" s="337"/>
      <c r="P709" s="337"/>
      <c r="S709" s="337"/>
      <c r="V709" s="337"/>
      <c r="Y709" s="337"/>
      <c r="AB709" s="337"/>
    </row>
    <row r="710" spans="1:28" x14ac:dyDescent="0.45">
      <c r="A710" s="337"/>
      <c r="D710" s="337"/>
      <c r="G710" s="337"/>
      <c r="J710" s="337"/>
      <c r="M710" s="337"/>
      <c r="P710" s="337"/>
      <c r="S710" s="337"/>
      <c r="V710" s="337"/>
      <c r="Y710" s="337"/>
      <c r="AB710" s="337"/>
    </row>
    <row r="711" spans="1:28" x14ac:dyDescent="0.45">
      <c r="A711" s="337"/>
      <c r="D711" s="337"/>
      <c r="G711" s="337"/>
      <c r="J711" s="337"/>
      <c r="M711" s="337"/>
      <c r="P711" s="337"/>
      <c r="S711" s="337"/>
      <c r="V711" s="337"/>
      <c r="Y711" s="337"/>
      <c r="AB711" s="337"/>
    </row>
    <row r="712" spans="1:28" x14ac:dyDescent="0.45">
      <c r="A712" s="337"/>
      <c r="D712" s="337"/>
      <c r="G712" s="337"/>
      <c r="J712" s="337"/>
      <c r="M712" s="337"/>
      <c r="P712" s="337"/>
      <c r="S712" s="337"/>
      <c r="V712" s="337"/>
      <c r="Y712" s="337"/>
      <c r="AB712" s="337"/>
    </row>
    <row r="713" spans="1:28" x14ac:dyDescent="0.45">
      <c r="A713" s="337"/>
      <c r="D713" s="337"/>
      <c r="G713" s="337"/>
      <c r="J713" s="337"/>
      <c r="M713" s="337"/>
      <c r="P713" s="337"/>
      <c r="S713" s="337"/>
      <c r="V713" s="337"/>
      <c r="Y713" s="337"/>
      <c r="AB713" s="337"/>
    </row>
    <row r="714" spans="1:28" x14ac:dyDescent="0.45">
      <c r="A714" s="337"/>
      <c r="D714" s="337"/>
      <c r="G714" s="337"/>
      <c r="J714" s="337"/>
      <c r="M714" s="337"/>
      <c r="P714" s="337"/>
      <c r="S714" s="337"/>
      <c r="V714" s="337"/>
      <c r="Y714" s="337"/>
      <c r="AB714" s="337"/>
    </row>
    <row r="715" spans="1:28" x14ac:dyDescent="0.45">
      <c r="A715" s="337"/>
      <c r="D715" s="337"/>
      <c r="G715" s="337"/>
      <c r="J715" s="337"/>
      <c r="M715" s="337"/>
      <c r="P715" s="337"/>
      <c r="S715" s="337"/>
      <c r="V715" s="337"/>
      <c r="Y715" s="337"/>
      <c r="AB715" s="337"/>
    </row>
    <row r="716" spans="1:28" x14ac:dyDescent="0.45">
      <c r="A716" s="337"/>
      <c r="D716" s="337"/>
      <c r="G716" s="337"/>
      <c r="J716" s="337"/>
      <c r="M716" s="337"/>
      <c r="P716" s="337"/>
      <c r="S716" s="337"/>
      <c r="V716" s="337"/>
      <c r="Y716" s="337"/>
      <c r="AB716" s="337"/>
    </row>
    <row r="717" spans="1:28" x14ac:dyDescent="0.45">
      <c r="A717" s="337"/>
      <c r="D717" s="337"/>
      <c r="G717" s="337"/>
      <c r="J717" s="337"/>
      <c r="M717" s="337"/>
      <c r="P717" s="337"/>
      <c r="S717" s="337"/>
      <c r="V717" s="337"/>
      <c r="Y717" s="337"/>
      <c r="AB717" s="337"/>
    </row>
    <row r="718" spans="1:28" x14ac:dyDescent="0.45">
      <c r="A718" s="337"/>
      <c r="D718" s="337"/>
      <c r="G718" s="337"/>
      <c r="J718" s="337"/>
      <c r="M718" s="337"/>
      <c r="P718" s="337"/>
      <c r="S718" s="337"/>
      <c r="V718" s="337"/>
      <c r="Y718" s="337"/>
      <c r="AB718" s="337"/>
    </row>
    <row r="719" spans="1:28" x14ac:dyDescent="0.45">
      <c r="A719" s="337"/>
      <c r="D719" s="337"/>
      <c r="G719" s="337"/>
      <c r="J719" s="337"/>
      <c r="M719" s="337"/>
      <c r="P719" s="337"/>
      <c r="S719" s="337"/>
      <c r="V719" s="337"/>
      <c r="Y719" s="337"/>
      <c r="AB719" s="337"/>
    </row>
    <row r="720" spans="1:28" x14ac:dyDescent="0.45">
      <c r="A720" s="337"/>
      <c r="D720" s="337"/>
      <c r="G720" s="337"/>
      <c r="J720" s="337"/>
      <c r="M720" s="337"/>
      <c r="P720" s="337"/>
      <c r="S720" s="337"/>
      <c r="V720" s="337"/>
      <c r="Y720" s="337"/>
      <c r="AB720" s="337"/>
    </row>
    <row r="721" spans="1:28" x14ac:dyDescent="0.45">
      <c r="A721" s="337"/>
      <c r="D721" s="337"/>
      <c r="G721" s="337"/>
      <c r="J721" s="337"/>
      <c r="M721" s="337"/>
      <c r="P721" s="337"/>
      <c r="S721" s="337"/>
      <c r="V721" s="337"/>
      <c r="Y721" s="337"/>
      <c r="AB721" s="337"/>
    </row>
    <row r="722" spans="1:28" x14ac:dyDescent="0.45">
      <c r="A722" s="337"/>
      <c r="D722" s="337"/>
      <c r="G722" s="337"/>
      <c r="J722" s="337"/>
      <c r="M722" s="337"/>
      <c r="P722" s="337"/>
      <c r="S722" s="337"/>
      <c r="V722" s="337"/>
      <c r="Y722" s="337"/>
      <c r="AB722" s="337"/>
    </row>
    <row r="723" spans="1:28" x14ac:dyDescent="0.45">
      <c r="A723" s="337"/>
      <c r="D723" s="337"/>
      <c r="G723" s="337"/>
      <c r="J723" s="337"/>
      <c r="M723" s="337"/>
      <c r="P723" s="337"/>
      <c r="S723" s="337"/>
      <c r="V723" s="337"/>
      <c r="Y723" s="337"/>
      <c r="AB723" s="337"/>
    </row>
    <row r="724" spans="1:28" x14ac:dyDescent="0.45">
      <c r="A724" s="337"/>
      <c r="D724" s="337"/>
      <c r="G724" s="337"/>
      <c r="J724" s="337"/>
      <c r="M724" s="337"/>
      <c r="P724" s="337"/>
      <c r="S724" s="337"/>
      <c r="V724" s="337"/>
      <c r="Y724" s="337"/>
      <c r="AB724" s="337"/>
    </row>
    <row r="725" spans="1:28" x14ac:dyDescent="0.45">
      <c r="A725" s="337"/>
      <c r="D725" s="337"/>
      <c r="G725" s="337"/>
      <c r="J725" s="337"/>
      <c r="M725" s="337"/>
      <c r="P725" s="337"/>
      <c r="S725" s="337"/>
      <c r="V725" s="337"/>
      <c r="Y725" s="337"/>
      <c r="AB725" s="337"/>
    </row>
    <row r="726" spans="1:28" x14ac:dyDescent="0.45">
      <c r="A726" s="337"/>
      <c r="D726" s="337"/>
      <c r="G726" s="337"/>
      <c r="J726" s="337"/>
      <c r="M726" s="337"/>
      <c r="P726" s="337"/>
      <c r="S726" s="337"/>
      <c r="V726" s="337"/>
      <c r="Y726" s="337"/>
      <c r="AB726" s="337"/>
    </row>
    <row r="727" spans="1:28" x14ac:dyDescent="0.45">
      <c r="A727" s="337"/>
      <c r="D727" s="337"/>
      <c r="G727" s="337"/>
      <c r="J727" s="337"/>
      <c r="M727" s="337"/>
      <c r="P727" s="337"/>
      <c r="S727" s="337"/>
      <c r="V727" s="337"/>
      <c r="Y727" s="337"/>
      <c r="AB727" s="337"/>
    </row>
    <row r="728" spans="1:28" x14ac:dyDescent="0.45">
      <c r="A728" s="337"/>
      <c r="D728" s="337"/>
      <c r="G728" s="337"/>
      <c r="J728" s="337"/>
      <c r="M728" s="337"/>
      <c r="P728" s="337"/>
      <c r="S728" s="337"/>
      <c r="V728" s="337"/>
      <c r="Y728" s="337"/>
      <c r="AB728" s="337"/>
    </row>
    <row r="729" spans="1:28" x14ac:dyDescent="0.45">
      <c r="A729" s="337"/>
      <c r="D729" s="337"/>
      <c r="G729" s="337"/>
      <c r="J729" s="337"/>
      <c r="M729" s="337"/>
      <c r="P729" s="337"/>
      <c r="S729" s="337"/>
      <c r="V729" s="337"/>
      <c r="Y729" s="337"/>
      <c r="AB729" s="337"/>
    </row>
    <row r="730" spans="1:28" x14ac:dyDescent="0.45">
      <c r="A730" s="337"/>
      <c r="D730" s="337"/>
      <c r="G730" s="337"/>
      <c r="J730" s="337"/>
      <c r="M730" s="337"/>
      <c r="P730" s="337"/>
      <c r="S730" s="337"/>
      <c r="V730" s="337"/>
      <c r="Y730" s="337"/>
      <c r="AB730" s="337"/>
    </row>
    <row r="731" spans="1:28" x14ac:dyDescent="0.45">
      <c r="A731" s="337"/>
      <c r="D731" s="337"/>
      <c r="G731" s="337"/>
      <c r="J731" s="337"/>
      <c r="M731" s="337"/>
      <c r="P731" s="337"/>
      <c r="S731" s="337"/>
      <c r="V731" s="337"/>
      <c r="Y731" s="337"/>
      <c r="AB731" s="337"/>
    </row>
    <row r="732" spans="1:28" x14ac:dyDescent="0.45">
      <c r="A732" s="337"/>
      <c r="D732" s="337"/>
      <c r="G732" s="337"/>
      <c r="J732" s="337"/>
      <c r="M732" s="337"/>
      <c r="P732" s="337"/>
      <c r="S732" s="337"/>
      <c r="V732" s="337"/>
      <c r="Y732" s="337"/>
      <c r="AB732" s="337"/>
    </row>
    <row r="733" spans="1:28" x14ac:dyDescent="0.45">
      <c r="A733" s="337"/>
      <c r="D733" s="337"/>
      <c r="G733" s="337"/>
      <c r="J733" s="337"/>
      <c r="M733" s="337"/>
      <c r="P733" s="337"/>
      <c r="S733" s="337"/>
      <c r="V733" s="337"/>
      <c r="Y733" s="337"/>
      <c r="AB733" s="337"/>
    </row>
    <row r="734" spans="1:28" x14ac:dyDescent="0.45">
      <c r="A734" s="337"/>
      <c r="D734" s="337"/>
      <c r="G734" s="337"/>
      <c r="J734" s="337"/>
      <c r="M734" s="337"/>
      <c r="P734" s="337"/>
      <c r="S734" s="337"/>
      <c r="V734" s="337"/>
      <c r="Y734" s="337"/>
      <c r="AB734" s="337"/>
    </row>
    <row r="735" spans="1:28" x14ac:dyDescent="0.45">
      <c r="A735" s="337"/>
      <c r="D735" s="337"/>
      <c r="G735" s="337"/>
      <c r="J735" s="337"/>
      <c r="M735" s="337"/>
      <c r="P735" s="337"/>
      <c r="S735" s="337"/>
      <c r="V735" s="337"/>
      <c r="Y735" s="337"/>
      <c r="AB735" s="337"/>
    </row>
    <row r="736" spans="1:28" x14ac:dyDescent="0.45">
      <c r="A736" s="337"/>
      <c r="D736" s="337"/>
      <c r="G736" s="337"/>
      <c r="J736" s="337"/>
      <c r="M736" s="337"/>
      <c r="P736" s="337"/>
      <c r="S736" s="337"/>
      <c r="V736" s="337"/>
      <c r="Y736" s="337"/>
      <c r="AB736" s="337"/>
    </row>
    <row r="737" spans="1:28" x14ac:dyDescent="0.45">
      <c r="A737" s="337"/>
      <c r="D737" s="337"/>
      <c r="G737" s="337"/>
      <c r="J737" s="337"/>
      <c r="M737" s="337"/>
      <c r="P737" s="337"/>
      <c r="S737" s="337"/>
      <c r="V737" s="337"/>
      <c r="Y737" s="337"/>
      <c r="AB737" s="337"/>
    </row>
    <row r="738" spans="1:28" x14ac:dyDescent="0.45">
      <c r="A738" s="337"/>
      <c r="D738" s="337"/>
      <c r="G738" s="337"/>
      <c r="J738" s="337"/>
      <c r="M738" s="337"/>
      <c r="P738" s="337"/>
      <c r="S738" s="337"/>
      <c r="V738" s="337"/>
      <c r="Y738" s="337"/>
      <c r="AB738" s="337"/>
    </row>
    <row r="739" spans="1:28" x14ac:dyDescent="0.45">
      <c r="A739" s="337"/>
      <c r="D739" s="337"/>
      <c r="G739" s="337"/>
      <c r="J739" s="337"/>
      <c r="M739" s="337"/>
      <c r="P739" s="337"/>
      <c r="S739" s="337"/>
      <c r="V739" s="337"/>
      <c r="Y739" s="337"/>
      <c r="AB739" s="337"/>
    </row>
    <row r="740" spans="1:28" x14ac:dyDescent="0.45">
      <c r="A740" s="337"/>
      <c r="D740" s="337"/>
      <c r="G740" s="337"/>
      <c r="J740" s="337"/>
      <c r="M740" s="337"/>
      <c r="P740" s="337"/>
      <c r="S740" s="337"/>
      <c r="V740" s="337"/>
      <c r="Y740" s="337"/>
      <c r="AB740" s="337"/>
    </row>
    <row r="741" spans="1:28" x14ac:dyDescent="0.45">
      <c r="A741" s="337"/>
      <c r="D741" s="337"/>
      <c r="G741" s="337"/>
      <c r="J741" s="337"/>
      <c r="M741" s="337"/>
      <c r="P741" s="337"/>
      <c r="S741" s="337"/>
      <c r="V741" s="337"/>
      <c r="Y741" s="337"/>
      <c r="AB741" s="337"/>
    </row>
    <row r="742" spans="1:28" x14ac:dyDescent="0.45">
      <c r="A742" s="337"/>
      <c r="D742" s="337"/>
      <c r="G742" s="337"/>
      <c r="J742" s="337"/>
      <c r="M742" s="337"/>
      <c r="P742" s="337"/>
      <c r="S742" s="337"/>
      <c r="V742" s="337"/>
      <c r="Y742" s="337"/>
      <c r="AB742" s="337"/>
    </row>
    <row r="743" spans="1:28" x14ac:dyDescent="0.45">
      <c r="A743" s="337"/>
      <c r="D743" s="337"/>
      <c r="G743" s="337"/>
      <c r="J743" s="337"/>
      <c r="M743" s="337"/>
      <c r="P743" s="337"/>
      <c r="S743" s="337"/>
      <c r="V743" s="337"/>
      <c r="Y743" s="337"/>
      <c r="AB743" s="337"/>
    </row>
    <row r="744" spans="1:28" x14ac:dyDescent="0.45">
      <c r="A744" s="337"/>
      <c r="D744" s="337"/>
      <c r="G744" s="337"/>
      <c r="J744" s="337"/>
      <c r="M744" s="337"/>
      <c r="P744" s="337"/>
      <c r="S744" s="337"/>
      <c r="V744" s="337"/>
      <c r="Y744" s="337"/>
      <c r="AB744" s="337"/>
    </row>
    <row r="745" spans="1:28" x14ac:dyDescent="0.45">
      <c r="A745" s="337"/>
      <c r="D745" s="337"/>
      <c r="G745" s="337"/>
      <c r="J745" s="337"/>
      <c r="M745" s="337"/>
      <c r="P745" s="337"/>
      <c r="S745" s="337"/>
      <c r="V745" s="337"/>
      <c r="Y745" s="337"/>
      <c r="AB745" s="337"/>
    </row>
    <row r="746" spans="1:28" x14ac:dyDescent="0.45">
      <c r="A746" s="337"/>
      <c r="D746" s="337"/>
      <c r="G746" s="337"/>
      <c r="J746" s="337"/>
      <c r="M746" s="337"/>
      <c r="P746" s="337"/>
      <c r="S746" s="337"/>
      <c r="V746" s="337"/>
      <c r="Y746" s="337"/>
      <c r="AB746" s="337"/>
    </row>
    <row r="747" spans="1:28" x14ac:dyDescent="0.45">
      <c r="A747" s="337"/>
      <c r="D747" s="337"/>
      <c r="G747" s="337"/>
      <c r="J747" s="337"/>
      <c r="M747" s="337"/>
      <c r="P747" s="337"/>
      <c r="S747" s="337"/>
      <c r="V747" s="337"/>
      <c r="Y747" s="337"/>
      <c r="AB747" s="337"/>
    </row>
    <row r="748" spans="1:28" x14ac:dyDescent="0.45">
      <c r="A748" s="337"/>
      <c r="D748" s="337"/>
      <c r="G748" s="337"/>
      <c r="J748" s="337"/>
      <c r="M748" s="337"/>
      <c r="P748" s="337"/>
      <c r="S748" s="337"/>
      <c r="V748" s="337"/>
      <c r="Y748" s="337"/>
      <c r="AB748" s="337"/>
    </row>
    <row r="749" spans="1:28" x14ac:dyDescent="0.45">
      <c r="A749" s="337"/>
      <c r="D749" s="337"/>
      <c r="G749" s="337"/>
      <c r="J749" s="337"/>
      <c r="M749" s="337"/>
      <c r="P749" s="337"/>
      <c r="S749" s="337"/>
      <c r="V749" s="337"/>
      <c r="Y749" s="337"/>
      <c r="AB749" s="337"/>
    </row>
    <row r="750" spans="1:28" x14ac:dyDescent="0.45">
      <c r="A750" s="337"/>
      <c r="D750" s="337"/>
      <c r="G750" s="337"/>
      <c r="J750" s="337"/>
      <c r="M750" s="337"/>
      <c r="P750" s="337"/>
      <c r="S750" s="337"/>
      <c r="V750" s="337"/>
      <c r="Y750" s="337"/>
      <c r="AB750" s="337"/>
    </row>
    <row r="751" spans="1:28" x14ac:dyDescent="0.45">
      <c r="A751" s="337"/>
      <c r="D751" s="337"/>
      <c r="G751" s="337"/>
      <c r="J751" s="337"/>
      <c r="M751" s="337"/>
      <c r="P751" s="337"/>
      <c r="S751" s="337"/>
      <c r="V751" s="337"/>
      <c r="Y751" s="337"/>
      <c r="AB751" s="337"/>
    </row>
    <row r="752" spans="1:28" x14ac:dyDescent="0.45">
      <c r="A752" s="337"/>
      <c r="D752" s="337"/>
      <c r="G752" s="337"/>
      <c r="J752" s="337"/>
      <c r="M752" s="337"/>
      <c r="P752" s="337"/>
      <c r="S752" s="337"/>
      <c r="V752" s="337"/>
      <c r="Y752" s="337"/>
      <c r="AB752" s="337"/>
    </row>
    <row r="753" spans="1:28" x14ac:dyDescent="0.45">
      <c r="A753" s="337"/>
      <c r="D753" s="337"/>
      <c r="G753" s="337"/>
      <c r="J753" s="337"/>
      <c r="M753" s="337"/>
      <c r="P753" s="337"/>
      <c r="S753" s="337"/>
      <c r="V753" s="337"/>
      <c r="Y753" s="337"/>
      <c r="AB753" s="337"/>
    </row>
    <row r="754" spans="1:28" x14ac:dyDescent="0.45">
      <c r="A754" s="337"/>
      <c r="D754" s="337"/>
      <c r="G754" s="337"/>
      <c r="J754" s="337"/>
      <c r="M754" s="337"/>
      <c r="P754" s="337"/>
      <c r="S754" s="337"/>
      <c r="V754" s="337"/>
      <c r="Y754" s="337"/>
      <c r="AB754" s="337"/>
    </row>
    <row r="755" spans="1:28" x14ac:dyDescent="0.45">
      <c r="A755" s="337"/>
      <c r="D755" s="337"/>
      <c r="G755" s="337"/>
      <c r="J755" s="337"/>
      <c r="M755" s="337"/>
      <c r="P755" s="337"/>
      <c r="S755" s="337"/>
      <c r="V755" s="337"/>
      <c r="Y755" s="337"/>
      <c r="AB755" s="337"/>
    </row>
    <row r="756" spans="1:28" x14ac:dyDescent="0.45">
      <c r="A756" s="337"/>
      <c r="D756" s="337"/>
      <c r="G756" s="337"/>
      <c r="J756" s="337"/>
      <c r="M756" s="337"/>
      <c r="P756" s="337"/>
      <c r="S756" s="337"/>
      <c r="V756" s="337"/>
      <c r="Y756" s="337"/>
      <c r="AB756" s="337"/>
    </row>
    <row r="757" spans="1:28" x14ac:dyDescent="0.45">
      <c r="A757" s="337"/>
      <c r="D757" s="337"/>
      <c r="G757" s="337"/>
      <c r="J757" s="337"/>
      <c r="M757" s="337"/>
      <c r="P757" s="337"/>
      <c r="S757" s="337"/>
      <c r="V757" s="337"/>
      <c r="Y757" s="337"/>
      <c r="AB757" s="337"/>
    </row>
    <row r="758" spans="1:28" x14ac:dyDescent="0.45">
      <c r="A758" s="337"/>
      <c r="D758" s="337"/>
      <c r="G758" s="337"/>
      <c r="J758" s="337"/>
      <c r="M758" s="337"/>
      <c r="P758" s="337"/>
      <c r="S758" s="337"/>
      <c r="V758" s="337"/>
      <c r="Y758" s="337"/>
      <c r="AB758" s="337"/>
    </row>
    <row r="759" spans="1:28" x14ac:dyDescent="0.45">
      <c r="A759" s="337"/>
      <c r="D759" s="337"/>
      <c r="G759" s="337"/>
      <c r="J759" s="337"/>
      <c r="M759" s="337"/>
      <c r="P759" s="337"/>
      <c r="S759" s="337"/>
      <c r="V759" s="337"/>
      <c r="Y759" s="337"/>
      <c r="AB759" s="337"/>
    </row>
    <row r="760" spans="1:28" x14ac:dyDescent="0.45">
      <c r="A760" s="337"/>
      <c r="D760" s="337"/>
      <c r="G760" s="337"/>
      <c r="J760" s="337"/>
      <c r="M760" s="337"/>
      <c r="P760" s="337"/>
      <c r="S760" s="337"/>
      <c r="V760" s="337"/>
      <c r="Y760" s="337"/>
      <c r="AB760" s="337"/>
    </row>
    <row r="761" spans="1:28" x14ac:dyDescent="0.45">
      <c r="A761" s="337"/>
      <c r="D761" s="337"/>
      <c r="G761" s="337"/>
      <c r="J761" s="337"/>
      <c r="M761" s="337"/>
      <c r="P761" s="337"/>
      <c r="S761" s="337"/>
      <c r="V761" s="337"/>
      <c r="Y761" s="337"/>
      <c r="AB761" s="337"/>
    </row>
    <row r="762" spans="1:28" x14ac:dyDescent="0.45">
      <c r="A762" s="337"/>
      <c r="D762" s="337"/>
      <c r="G762" s="337"/>
      <c r="J762" s="337"/>
      <c r="M762" s="337"/>
      <c r="P762" s="337"/>
      <c r="S762" s="337"/>
      <c r="V762" s="337"/>
      <c r="Y762" s="337"/>
      <c r="AB762" s="337"/>
    </row>
    <row r="763" spans="1:28" x14ac:dyDescent="0.45">
      <c r="A763" s="337"/>
      <c r="D763" s="337"/>
      <c r="G763" s="337"/>
      <c r="J763" s="337"/>
      <c r="M763" s="337"/>
      <c r="P763" s="337"/>
      <c r="S763" s="337"/>
      <c r="V763" s="337"/>
      <c r="Y763" s="337"/>
      <c r="AB763" s="337"/>
    </row>
    <row r="764" spans="1:28" x14ac:dyDescent="0.45">
      <c r="A764" s="337"/>
      <c r="D764" s="337"/>
      <c r="G764" s="337"/>
      <c r="J764" s="337"/>
      <c r="M764" s="337"/>
      <c r="P764" s="337"/>
      <c r="S764" s="337"/>
      <c r="V764" s="337"/>
      <c r="Y764" s="337"/>
      <c r="AB764" s="337"/>
    </row>
    <row r="765" spans="1:28" x14ac:dyDescent="0.45">
      <c r="A765" s="337"/>
      <c r="D765" s="337"/>
      <c r="G765" s="337"/>
      <c r="J765" s="337"/>
      <c r="M765" s="337"/>
      <c r="P765" s="337"/>
      <c r="S765" s="337"/>
      <c r="V765" s="337"/>
      <c r="Y765" s="337"/>
      <c r="AB765" s="337"/>
    </row>
    <row r="766" spans="1:28" x14ac:dyDescent="0.45">
      <c r="A766" s="337"/>
      <c r="D766" s="337"/>
      <c r="G766" s="337"/>
      <c r="J766" s="337"/>
      <c r="M766" s="337"/>
      <c r="P766" s="337"/>
      <c r="S766" s="337"/>
      <c r="V766" s="337"/>
      <c r="Y766" s="337"/>
      <c r="AB766" s="337"/>
    </row>
    <row r="767" spans="1:28" x14ac:dyDescent="0.45">
      <c r="A767" s="337"/>
      <c r="D767" s="337"/>
      <c r="G767" s="337"/>
      <c r="J767" s="337"/>
      <c r="M767" s="337"/>
      <c r="P767" s="337"/>
      <c r="S767" s="337"/>
      <c r="V767" s="337"/>
      <c r="Y767" s="337"/>
      <c r="AB767" s="337"/>
    </row>
    <row r="768" spans="1:28" x14ac:dyDescent="0.45">
      <c r="A768" s="337"/>
      <c r="D768" s="337"/>
      <c r="G768" s="337"/>
      <c r="J768" s="337"/>
      <c r="M768" s="337"/>
      <c r="P768" s="337"/>
      <c r="S768" s="337"/>
      <c r="V768" s="337"/>
      <c r="Y768" s="337"/>
      <c r="AB768" s="337"/>
    </row>
    <row r="769" spans="1:28" x14ac:dyDescent="0.45">
      <c r="A769" s="337"/>
      <c r="D769" s="337"/>
      <c r="G769" s="337"/>
      <c r="J769" s="337"/>
      <c r="M769" s="337"/>
      <c r="P769" s="337"/>
      <c r="S769" s="337"/>
      <c r="V769" s="337"/>
      <c r="Y769" s="337"/>
      <c r="AB769" s="337"/>
    </row>
    <row r="770" spans="1:28" x14ac:dyDescent="0.45">
      <c r="A770" s="337"/>
      <c r="D770" s="337"/>
      <c r="G770" s="337"/>
      <c r="J770" s="337"/>
      <c r="M770" s="337"/>
      <c r="P770" s="337"/>
      <c r="S770" s="337"/>
      <c r="V770" s="337"/>
      <c r="Y770" s="337"/>
      <c r="AB770" s="337"/>
    </row>
    <row r="771" spans="1:28" x14ac:dyDescent="0.45">
      <c r="A771" s="337"/>
      <c r="D771" s="337"/>
      <c r="G771" s="337"/>
      <c r="J771" s="337"/>
      <c r="M771" s="337"/>
      <c r="P771" s="337"/>
      <c r="S771" s="337"/>
      <c r="V771" s="337"/>
      <c r="Y771" s="337"/>
      <c r="AB771" s="337"/>
    </row>
    <row r="772" spans="1:28" x14ac:dyDescent="0.45">
      <c r="A772" s="337"/>
      <c r="D772" s="337"/>
      <c r="G772" s="337"/>
      <c r="J772" s="337"/>
      <c r="M772" s="337"/>
      <c r="P772" s="337"/>
      <c r="S772" s="337"/>
      <c r="V772" s="337"/>
      <c r="Y772" s="337"/>
      <c r="AB772" s="337"/>
    </row>
    <row r="773" spans="1:28" x14ac:dyDescent="0.45">
      <c r="A773" s="337"/>
      <c r="D773" s="337"/>
      <c r="G773" s="337"/>
      <c r="J773" s="337"/>
      <c r="M773" s="337"/>
      <c r="P773" s="337"/>
      <c r="S773" s="337"/>
      <c r="V773" s="337"/>
      <c r="Y773" s="337"/>
      <c r="AB773" s="337"/>
    </row>
    <row r="774" spans="1:28" x14ac:dyDescent="0.45">
      <c r="A774" s="337"/>
      <c r="D774" s="337"/>
      <c r="G774" s="337"/>
      <c r="J774" s="337"/>
      <c r="M774" s="337"/>
      <c r="P774" s="337"/>
      <c r="S774" s="337"/>
      <c r="V774" s="337"/>
      <c r="Y774" s="337"/>
      <c r="AB774" s="337"/>
    </row>
    <row r="775" spans="1:28" x14ac:dyDescent="0.45">
      <c r="A775" s="337"/>
      <c r="D775" s="337"/>
      <c r="G775" s="337"/>
      <c r="J775" s="337"/>
      <c r="M775" s="337"/>
      <c r="P775" s="337"/>
      <c r="S775" s="337"/>
      <c r="V775" s="337"/>
      <c r="Y775" s="337"/>
      <c r="AB775" s="337"/>
    </row>
    <row r="776" spans="1:28" x14ac:dyDescent="0.45">
      <c r="A776" s="337"/>
      <c r="D776" s="337"/>
      <c r="G776" s="337"/>
      <c r="J776" s="337"/>
      <c r="M776" s="337"/>
      <c r="P776" s="337"/>
      <c r="S776" s="337"/>
      <c r="V776" s="337"/>
      <c r="Y776" s="337"/>
      <c r="AB776" s="337"/>
    </row>
    <row r="777" spans="1:28" x14ac:dyDescent="0.45">
      <c r="A777" s="337"/>
      <c r="D777" s="337"/>
      <c r="G777" s="337"/>
      <c r="J777" s="337"/>
      <c r="M777" s="337"/>
      <c r="P777" s="337"/>
      <c r="S777" s="337"/>
      <c r="V777" s="337"/>
      <c r="Y777" s="337"/>
      <c r="AB777" s="337"/>
    </row>
    <row r="778" spans="1:28" x14ac:dyDescent="0.45">
      <c r="A778" s="337"/>
      <c r="D778" s="337"/>
      <c r="G778" s="337"/>
      <c r="J778" s="337"/>
      <c r="M778" s="337"/>
      <c r="P778" s="337"/>
      <c r="S778" s="337"/>
      <c r="V778" s="337"/>
      <c r="Y778" s="337"/>
      <c r="AB778" s="337"/>
    </row>
    <row r="779" spans="1:28" x14ac:dyDescent="0.45">
      <c r="A779" s="337"/>
      <c r="D779" s="337"/>
      <c r="G779" s="337"/>
      <c r="J779" s="337"/>
      <c r="M779" s="337"/>
      <c r="P779" s="337"/>
      <c r="S779" s="337"/>
      <c r="V779" s="337"/>
      <c r="Y779" s="337"/>
      <c r="AB779" s="337"/>
    </row>
    <row r="780" spans="1:28" x14ac:dyDescent="0.45">
      <c r="A780" s="337"/>
      <c r="D780" s="337"/>
      <c r="G780" s="337"/>
      <c r="J780" s="337"/>
      <c r="M780" s="337"/>
      <c r="P780" s="337"/>
      <c r="S780" s="337"/>
      <c r="V780" s="337"/>
      <c r="Y780" s="337"/>
      <c r="AB780" s="337"/>
    </row>
    <row r="781" spans="1:28" x14ac:dyDescent="0.45">
      <c r="A781" s="337"/>
      <c r="D781" s="337"/>
      <c r="G781" s="337"/>
      <c r="J781" s="337"/>
      <c r="M781" s="337"/>
      <c r="P781" s="337"/>
      <c r="S781" s="337"/>
      <c r="V781" s="337"/>
      <c r="Y781" s="337"/>
      <c r="AB781" s="337"/>
    </row>
    <row r="782" spans="1:28" x14ac:dyDescent="0.45">
      <c r="A782" s="337"/>
      <c r="D782" s="337"/>
      <c r="G782" s="337"/>
      <c r="J782" s="337"/>
      <c r="M782" s="337"/>
      <c r="P782" s="337"/>
      <c r="S782" s="337"/>
      <c r="V782" s="337"/>
      <c r="Y782" s="337"/>
      <c r="AB782" s="337"/>
    </row>
    <row r="783" spans="1:28" x14ac:dyDescent="0.45">
      <c r="A783" s="337"/>
      <c r="D783" s="337"/>
      <c r="G783" s="337"/>
      <c r="J783" s="337"/>
      <c r="M783" s="337"/>
      <c r="P783" s="337"/>
      <c r="S783" s="337"/>
      <c r="V783" s="337"/>
      <c r="Y783" s="337"/>
      <c r="AB783" s="337"/>
    </row>
    <row r="784" spans="1:28" x14ac:dyDescent="0.45">
      <c r="A784" s="337"/>
      <c r="D784" s="337"/>
      <c r="G784" s="337"/>
      <c r="J784" s="337"/>
      <c r="M784" s="337"/>
      <c r="P784" s="337"/>
      <c r="S784" s="337"/>
      <c r="V784" s="337"/>
      <c r="Y784" s="337"/>
      <c r="AB784" s="337"/>
    </row>
    <row r="785" spans="1:28" x14ac:dyDescent="0.45">
      <c r="A785" s="337"/>
      <c r="D785" s="337"/>
      <c r="G785" s="337"/>
      <c r="J785" s="337"/>
      <c r="M785" s="337"/>
      <c r="P785" s="337"/>
      <c r="S785" s="337"/>
      <c r="V785" s="337"/>
      <c r="Y785" s="337"/>
      <c r="AB785" s="337"/>
    </row>
    <row r="786" spans="1:28" x14ac:dyDescent="0.45">
      <c r="A786" s="337"/>
      <c r="D786" s="337"/>
      <c r="G786" s="337"/>
      <c r="J786" s="337"/>
      <c r="M786" s="337"/>
      <c r="P786" s="337"/>
      <c r="S786" s="337"/>
      <c r="V786" s="337"/>
      <c r="Y786" s="337"/>
      <c r="AB786" s="337"/>
    </row>
    <row r="787" spans="1:28" x14ac:dyDescent="0.45">
      <c r="A787" s="337"/>
      <c r="D787" s="337"/>
      <c r="G787" s="337"/>
      <c r="J787" s="337"/>
      <c r="M787" s="337"/>
      <c r="P787" s="337"/>
      <c r="S787" s="337"/>
      <c r="V787" s="337"/>
      <c r="Y787" s="337"/>
      <c r="AB787" s="337"/>
    </row>
    <row r="788" spans="1:28" x14ac:dyDescent="0.45">
      <c r="A788" s="337"/>
      <c r="D788" s="337"/>
      <c r="G788" s="337"/>
      <c r="J788" s="337"/>
      <c r="M788" s="337"/>
      <c r="P788" s="337"/>
      <c r="S788" s="337"/>
      <c r="V788" s="337"/>
      <c r="Y788" s="337"/>
      <c r="AB788" s="337"/>
    </row>
    <row r="789" spans="1:28" x14ac:dyDescent="0.45">
      <c r="A789" s="337"/>
      <c r="D789" s="337"/>
      <c r="G789" s="337"/>
      <c r="J789" s="337"/>
      <c r="M789" s="337"/>
      <c r="P789" s="337"/>
      <c r="S789" s="337"/>
      <c r="V789" s="337"/>
      <c r="Y789" s="337"/>
      <c r="AB789" s="337"/>
    </row>
    <row r="790" spans="1:28" x14ac:dyDescent="0.45">
      <c r="A790" s="337"/>
      <c r="D790" s="337"/>
      <c r="G790" s="337"/>
      <c r="J790" s="337"/>
      <c r="M790" s="337"/>
      <c r="P790" s="337"/>
      <c r="S790" s="337"/>
      <c r="V790" s="337"/>
      <c r="Y790" s="337"/>
      <c r="AB790" s="337"/>
    </row>
    <row r="791" spans="1:28" x14ac:dyDescent="0.45">
      <c r="A791" s="337"/>
      <c r="D791" s="337"/>
      <c r="G791" s="337"/>
      <c r="J791" s="337"/>
      <c r="M791" s="337"/>
      <c r="P791" s="337"/>
      <c r="S791" s="337"/>
      <c r="V791" s="337"/>
      <c r="Y791" s="337"/>
      <c r="AB791" s="337"/>
    </row>
    <row r="792" spans="1:28" x14ac:dyDescent="0.45">
      <c r="A792" s="337"/>
      <c r="D792" s="337"/>
      <c r="G792" s="337"/>
      <c r="J792" s="337"/>
      <c r="M792" s="337"/>
      <c r="P792" s="337"/>
      <c r="S792" s="337"/>
      <c r="V792" s="337"/>
      <c r="Y792" s="337"/>
      <c r="AB792" s="337"/>
    </row>
    <row r="793" spans="1:28" x14ac:dyDescent="0.45">
      <c r="A793" s="337"/>
      <c r="D793" s="337"/>
      <c r="G793" s="337"/>
      <c r="J793" s="337"/>
      <c r="M793" s="337"/>
      <c r="P793" s="337"/>
      <c r="S793" s="337"/>
      <c r="V793" s="337"/>
      <c r="Y793" s="337"/>
      <c r="AB793" s="337"/>
    </row>
    <row r="794" spans="1:28" x14ac:dyDescent="0.45">
      <c r="A794" s="337"/>
      <c r="D794" s="337"/>
      <c r="G794" s="337"/>
      <c r="J794" s="337"/>
      <c r="M794" s="337"/>
      <c r="P794" s="337"/>
      <c r="S794" s="337"/>
      <c r="V794" s="337"/>
      <c r="Y794" s="337"/>
      <c r="AB794" s="337"/>
    </row>
    <row r="795" spans="1:28" x14ac:dyDescent="0.45">
      <c r="A795" s="337"/>
      <c r="D795" s="337"/>
      <c r="G795" s="337"/>
      <c r="J795" s="337"/>
      <c r="M795" s="337"/>
      <c r="P795" s="337"/>
      <c r="S795" s="337"/>
      <c r="V795" s="337"/>
      <c r="Y795" s="337"/>
      <c r="AB795" s="337"/>
    </row>
    <row r="796" spans="1:28" x14ac:dyDescent="0.45">
      <c r="A796" s="337"/>
      <c r="D796" s="337"/>
      <c r="G796" s="337"/>
      <c r="J796" s="337"/>
      <c r="M796" s="337"/>
      <c r="P796" s="337"/>
      <c r="S796" s="337"/>
      <c r="V796" s="337"/>
      <c r="Y796" s="337"/>
      <c r="AB796" s="337"/>
    </row>
    <row r="797" spans="1:28" x14ac:dyDescent="0.45">
      <c r="A797" s="337"/>
      <c r="D797" s="337"/>
      <c r="G797" s="337"/>
      <c r="J797" s="337"/>
      <c r="M797" s="337"/>
      <c r="P797" s="337"/>
      <c r="S797" s="337"/>
      <c r="V797" s="337"/>
      <c r="Y797" s="337"/>
      <c r="AB797" s="337"/>
    </row>
    <row r="798" spans="1:28" x14ac:dyDescent="0.45">
      <c r="A798" s="337"/>
      <c r="D798" s="337"/>
      <c r="G798" s="337"/>
      <c r="J798" s="337"/>
      <c r="M798" s="337"/>
      <c r="P798" s="337"/>
      <c r="S798" s="337"/>
      <c r="V798" s="337"/>
      <c r="Y798" s="337"/>
      <c r="AB798" s="337"/>
    </row>
    <row r="799" spans="1:28" x14ac:dyDescent="0.45">
      <c r="A799" s="337"/>
      <c r="D799" s="337"/>
      <c r="G799" s="337"/>
      <c r="J799" s="337"/>
      <c r="M799" s="337"/>
      <c r="P799" s="337"/>
      <c r="S799" s="337"/>
      <c r="V799" s="337"/>
      <c r="Y799" s="337"/>
      <c r="AB799" s="337"/>
    </row>
    <row r="800" spans="1:28" x14ac:dyDescent="0.45">
      <c r="A800" s="337"/>
      <c r="D800" s="337"/>
      <c r="G800" s="337"/>
      <c r="J800" s="337"/>
      <c r="M800" s="337"/>
      <c r="P800" s="337"/>
      <c r="S800" s="337"/>
      <c r="V800" s="337"/>
      <c r="Y800" s="337"/>
      <c r="AB800" s="337"/>
    </row>
    <row r="801" spans="1:28" x14ac:dyDescent="0.45">
      <c r="A801" s="337"/>
      <c r="D801" s="337"/>
      <c r="G801" s="337"/>
      <c r="J801" s="337"/>
      <c r="M801" s="337"/>
      <c r="P801" s="337"/>
      <c r="S801" s="337"/>
      <c r="V801" s="337"/>
      <c r="Y801" s="337"/>
      <c r="AB801" s="337"/>
    </row>
    <row r="802" spans="1:28" x14ac:dyDescent="0.45">
      <c r="A802" s="337"/>
      <c r="D802" s="337"/>
      <c r="G802" s="337"/>
      <c r="J802" s="337"/>
      <c r="M802" s="337"/>
      <c r="P802" s="337"/>
      <c r="S802" s="337"/>
      <c r="V802" s="337"/>
      <c r="Y802" s="337"/>
      <c r="AB802" s="337"/>
    </row>
    <row r="803" spans="1:28" x14ac:dyDescent="0.45">
      <c r="A803" s="337"/>
      <c r="D803" s="337"/>
      <c r="G803" s="337"/>
      <c r="J803" s="337"/>
      <c r="M803" s="337"/>
      <c r="P803" s="337"/>
      <c r="S803" s="337"/>
      <c r="V803" s="337"/>
      <c r="Y803" s="337"/>
      <c r="AB803" s="337"/>
    </row>
    <row r="804" spans="1:28" x14ac:dyDescent="0.45">
      <c r="A804" s="337"/>
      <c r="D804" s="337"/>
      <c r="G804" s="337"/>
      <c r="J804" s="337"/>
      <c r="M804" s="337"/>
      <c r="P804" s="337"/>
      <c r="S804" s="337"/>
      <c r="V804" s="337"/>
      <c r="Y804" s="337"/>
      <c r="AB804" s="337"/>
    </row>
    <row r="805" spans="1:28" x14ac:dyDescent="0.45">
      <c r="A805" s="337"/>
      <c r="D805" s="337"/>
      <c r="G805" s="337"/>
      <c r="J805" s="337"/>
      <c r="M805" s="337"/>
      <c r="P805" s="337"/>
      <c r="S805" s="337"/>
      <c r="V805" s="337"/>
      <c r="Y805" s="337"/>
      <c r="AB805" s="337"/>
    </row>
    <row r="806" spans="1:28" x14ac:dyDescent="0.45">
      <c r="A806" s="337"/>
      <c r="D806" s="337"/>
      <c r="G806" s="337"/>
      <c r="J806" s="337"/>
      <c r="M806" s="337"/>
      <c r="P806" s="337"/>
      <c r="S806" s="337"/>
      <c r="V806" s="337"/>
      <c r="Y806" s="337"/>
      <c r="AB806" s="337"/>
    </row>
    <row r="807" spans="1:28" x14ac:dyDescent="0.45">
      <c r="A807" s="337"/>
      <c r="D807" s="337"/>
      <c r="G807" s="337"/>
      <c r="J807" s="337"/>
      <c r="M807" s="337"/>
      <c r="P807" s="337"/>
      <c r="S807" s="337"/>
      <c r="V807" s="337"/>
      <c r="Y807" s="337"/>
      <c r="AB807" s="337"/>
    </row>
    <row r="808" spans="1:28" x14ac:dyDescent="0.45">
      <c r="A808" s="337"/>
      <c r="D808" s="337"/>
      <c r="G808" s="337"/>
      <c r="J808" s="337"/>
      <c r="M808" s="337"/>
      <c r="P808" s="337"/>
      <c r="S808" s="337"/>
      <c r="V808" s="337"/>
      <c r="Y808" s="337"/>
      <c r="AB808" s="337"/>
    </row>
    <row r="809" spans="1:28" x14ac:dyDescent="0.45">
      <c r="A809" s="337"/>
      <c r="D809" s="337"/>
      <c r="G809" s="337"/>
      <c r="J809" s="337"/>
      <c r="M809" s="337"/>
      <c r="P809" s="337"/>
      <c r="S809" s="337"/>
      <c r="V809" s="337"/>
      <c r="Y809" s="337"/>
      <c r="AB809" s="337"/>
    </row>
    <row r="810" spans="1:28" x14ac:dyDescent="0.45">
      <c r="A810" s="337"/>
      <c r="D810" s="337"/>
      <c r="G810" s="337"/>
      <c r="J810" s="337"/>
      <c r="M810" s="337"/>
      <c r="P810" s="337"/>
      <c r="S810" s="337"/>
      <c r="V810" s="337"/>
      <c r="Y810" s="337"/>
      <c r="AB810" s="337"/>
    </row>
    <row r="811" spans="1:28" x14ac:dyDescent="0.45">
      <c r="A811" s="337"/>
      <c r="D811" s="337"/>
      <c r="G811" s="337"/>
      <c r="J811" s="337"/>
      <c r="M811" s="337"/>
      <c r="P811" s="337"/>
      <c r="S811" s="337"/>
      <c r="V811" s="337"/>
      <c r="Y811" s="337"/>
      <c r="AB811" s="337"/>
    </row>
    <row r="812" spans="1:28" x14ac:dyDescent="0.45">
      <c r="A812" s="337"/>
      <c r="D812" s="337"/>
      <c r="G812" s="337"/>
      <c r="J812" s="337"/>
      <c r="M812" s="337"/>
      <c r="P812" s="337"/>
      <c r="S812" s="337"/>
      <c r="V812" s="337"/>
      <c r="Y812" s="337"/>
      <c r="AB812" s="337"/>
    </row>
    <row r="813" spans="1:28" x14ac:dyDescent="0.45">
      <c r="A813" s="337"/>
      <c r="D813" s="337"/>
      <c r="G813" s="337"/>
      <c r="J813" s="337"/>
      <c r="M813" s="337"/>
      <c r="P813" s="337"/>
      <c r="S813" s="337"/>
      <c r="V813" s="337"/>
      <c r="Y813" s="337"/>
      <c r="AB813" s="337"/>
    </row>
    <row r="814" spans="1:28" x14ac:dyDescent="0.45">
      <c r="A814" s="337"/>
      <c r="D814" s="337"/>
      <c r="G814" s="337"/>
      <c r="J814" s="337"/>
      <c r="M814" s="337"/>
      <c r="P814" s="337"/>
      <c r="S814" s="337"/>
      <c r="V814" s="337"/>
      <c r="Y814" s="337"/>
      <c r="AB814" s="337"/>
    </row>
    <row r="815" spans="1:28" x14ac:dyDescent="0.45">
      <c r="A815" s="337"/>
      <c r="D815" s="337"/>
      <c r="G815" s="337"/>
      <c r="J815" s="337"/>
      <c r="M815" s="337"/>
      <c r="P815" s="337"/>
      <c r="S815" s="337"/>
      <c r="V815" s="337"/>
      <c r="Y815" s="337"/>
      <c r="AB815" s="337"/>
    </row>
    <row r="816" spans="1:28" x14ac:dyDescent="0.45">
      <c r="A816" s="337"/>
      <c r="D816" s="337"/>
      <c r="G816" s="337"/>
      <c r="J816" s="337"/>
      <c r="M816" s="337"/>
      <c r="P816" s="337"/>
      <c r="S816" s="337"/>
      <c r="V816" s="337"/>
      <c r="Y816" s="337"/>
      <c r="AB816" s="337"/>
    </row>
    <row r="817" spans="1:28" x14ac:dyDescent="0.45">
      <c r="A817" s="337"/>
      <c r="D817" s="337"/>
      <c r="G817" s="337"/>
      <c r="J817" s="337"/>
      <c r="M817" s="337"/>
      <c r="P817" s="337"/>
      <c r="S817" s="337"/>
      <c r="V817" s="337"/>
      <c r="Y817" s="337"/>
      <c r="AB817" s="337"/>
    </row>
    <row r="818" spans="1:28" x14ac:dyDescent="0.45">
      <c r="A818" s="337"/>
      <c r="D818" s="337"/>
      <c r="G818" s="337"/>
      <c r="J818" s="337"/>
      <c r="M818" s="337"/>
      <c r="P818" s="337"/>
      <c r="S818" s="337"/>
      <c r="V818" s="337"/>
      <c r="Y818" s="337"/>
      <c r="AB818" s="337"/>
    </row>
    <row r="819" spans="1:28" x14ac:dyDescent="0.45">
      <c r="A819" s="337"/>
      <c r="D819" s="337"/>
      <c r="G819" s="337"/>
      <c r="J819" s="337"/>
      <c r="M819" s="337"/>
      <c r="P819" s="337"/>
      <c r="S819" s="337"/>
      <c r="V819" s="337"/>
      <c r="Y819" s="337"/>
      <c r="AB819" s="337"/>
    </row>
    <row r="820" spans="1:28" x14ac:dyDescent="0.45">
      <c r="A820" s="337"/>
      <c r="D820" s="337"/>
      <c r="G820" s="337"/>
      <c r="J820" s="337"/>
      <c r="M820" s="337"/>
      <c r="P820" s="337"/>
      <c r="S820" s="337"/>
      <c r="V820" s="337"/>
      <c r="Y820" s="337"/>
      <c r="AB820" s="337"/>
    </row>
    <row r="821" spans="1:28" x14ac:dyDescent="0.45">
      <c r="A821" s="337"/>
      <c r="D821" s="337"/>
      <c r="G821" s="337"/>
      <c r="J821" s="337"/>
      <c r="M821" s="337"/>
      <c r="P821" s="337"/>
      <c r="S821" s="337"/>
      <c r="V821" s="337"/>
      <c r="Y821" s="337"/>
      <c r="AB821" s="337"/>
    </row>
    <row r="822" spans="1:28" x14ac:dyDescent="0.45">
      <c r="A822" s="337"/>
      <c r="D822" s="337"/>
      <c r="G822" s="337"/>
      <c r="J822" s="337"/>
      <c r="M822" s="337"/>
      <c r="P822" s="337"/>
      <c r="S822" s="337"/>
      <c r="V822" s="337"/>
      <c r="Y822" s="337"/>
      <c r="AB822" s="337"/>
    </row>
    <row r="823" spans="1:28" x14ac:dyDescent="0.45">
      <c r="A823" s="337"/>
      <c r="D823" s="337"/>
      <c r="G823" s="337"/>
      <c r="J823" s="337"/>
      <c r="M823" s="337"/>
      <c r="P823" s="337"/>
      <c r="S823" s="337"/>
      <c r="V823" s="337"/>
      <c r="Y823" s="337"/>
      <c r="AB823" s="337"/>
    </row>
    <row r="824" spans="1:28" x14ac:dyDescent="0.45">
      <c r="A824" s="337"/>
      <c r="D824" s="337"/>
      <c r="G824" s="337"/>
      <c r="J824" s="337"/>
      <c r="M824" s="337"/>
      <c r="P824" s="337"/>
      <c r="S824" s="337"/>
      <c r="V824" s="337"/>
      <c r="Y824" s="337"/>
      <c r="AB824" s="337"/>
    </row>
    <row r="825" spans="1:28" x14ac:dyDescent="0.45">
      <c r="A825" s="337"/>
      <c r="D825" s="337"/>
      <c r="G825" s="337"/>
      <c r="J825" s="337"/>
      <c r="M825" s="337"/>
      <c r="P825" s="337"/>
      <c r="S825" s="337"/>
      <c r="V825" s="337"/>
      <c r="Y825" s="337"/>
      <c r="AB825" s="337"/>
    </row>
    <row r="826" spans="1:28" x14ac:dyDescent="0.45">
      <c r="A826" s="337"/>
      <c r="D826" s="337"/>
      <c r="G826" s="337"/>
      <c r="J826" s="337"/>
      <c r="M826" s="337"/>
      <c r="P826" s="337"/>
      <c r="S826" s="337"/>
      <c r="V826" s="337"/>
      <c r="Y826" s="337"/>
      <c r="AB826" s="337"/>
    </row>
    <row r="827" spans="1:28" x14ac:dyDescent="0.45">
      <c r="A827" s="337"/>
      <c r="D827" s="337"/>
      <c r="G827" s="337"/>
      <c r="J827" s="337"/>
      <c r="M827" s="337"/>
      <c r="P827" s="337"/>
      <c r="S827" s="337"/>
      <c r="V827" s="337"/>
      <c r="Y827" s="337"/>
      <c r="AB827" s="337"/>
    </row>
    <row r="828" spans="1:28" x14ac:dyDescent="0.45">
      <c r="A828" s="337"/>
      <c r="D828" s="337"/>
      <c r="G828" s="337"/>
      <c r="J828" s="337"/>
      <c r="M828" s="337"/>
      <c r="P828" s="337"/>
      <c r="S828" s="337"/>
      <c r="V828" s="337"/>
      <c r="Y828" s="337"/>
      <c r="AB828" s="337"/>
    </row>
    <row r="829" spans="1:28" x14ac:dyDescent="0.45">
      <c r="A829" s="337"/>
      <c r="D829" s="337"/>
      <c r="G829" s="337"/>
      <c r="J829" s="337"/>
      <c r="M829" s="337"/>
      <c r="P829" s="337"/>
      <c r="S829" s="337"/>
      <c r="V829" s="337"/>
      <c r="Y829" s="337"/>
      <c r="AB829" s="337"/>
    </row>
    <row r="830" spans="1:28" x14ac:dyDescent="0.45">
      <c r="A830" s="337"/>
      <c r="D830" s="337"/>
      <c r="G830" s="337"/>
      <c r="J830" s="337"/>
      <c r="M830" s="337"/>
      <c r="P830" s="337"/>
      <c r="S830" s="337"/>
      <c r="V830" s="337"/>
      <c r="Y830" s="337"/>
      <c r="AB830" s="337"/>
    </row>
    <row r="831" spans="1:28" x14ac:dyDescent="0.45">
      <c r="A831" s="337"/>
      <c r="D831" s="337"/>
      <c r="G831" s="337"/>
      <c r="J831" s="337"/>
      <c r="M831" s="337"/>
      <c r="P831" s="337"/>
      <c r="S831" s="337"/>
      <c r="V831" s="337"/>
      <c r="Y831" s="337"/>
      <c r="AB831" s="337"/>
    </row>
    <row r="832" spans="1:28" x14ac:dyDescent="0.45">
      <c r="A832" s="337"/>
      <c r="D832" s="337"/>
      <c r="G832" s="337"/>
      <c r="J832" s="337"/>
      <c r="M832" s="337"/>
      <c r="P832" s="337"/>
      <c r="S832" s="337"/>
      <c r="V832" s="337"/>
      <c r="Y832" s="337"/>
      <c r="AB832" s="337"/>
    </row>
    <row r="833" spans="1:28" x14ac:dyDescent="0.45">
      <c r="A833" s="337"/>
      <c r="D833" s="337"/>
      <c r="G833" s="337"/>
      <c r="J833" s="337"/>
      <c r="M833" s="337"/>
      <c r="P833" s="337"/>
      <c r="S833" s="337"/>
      <c r="V833" s="337"/>
      <c r="Y833" s="337"/>
      <c r="AB833" s="337"/>
    </row>
    <row r="834" spans="1:28" x14ac:dyDescent="0.45">
      <c r="A834" s="337"/>
      <c r="D834" s="337"/>
      <c r="G834" s="337"/>
      <c r="J834" s="337"/>
      <c r="M834" s="337"/>
      <c r="P834" s="337"/>
      <c r="S834" s="337"/>
      <c r="V834" s="337"/>
      <c r="Y834" s="337"/>
      <c r="AB834" s="337"/>
    </row>
    <row r="835" spans="1:28" x14ac:dyDescent="0.45">
      <c r="A835" s="337"/>
      <c r="D835" s="337"/>
      <c r="G835" s="337"/>
      <c r="J835" s="337"/>
      <c r="M835" s="337"/>
      <c r="P835" s="337"/>
      <c r="S835" s="337"/>
      <c r="V835" s="337"/>
      <c r="Y835" s="337"/>
      <c r="AB835" s="337"/>
    </row>
    <row r="836" spans="1:28" x14ac:dyDescent="0.45">
      <c r="A836" s="337"/>
      <c r="D836" s="337"/>
      <c r="G836" s="337"/>
      <c r="J836" s="337"/>
      <c r="M836" s="337"/>
      <c r="P836" s="337"/>
      <c r="S836" s="337"/>
      <c r="V836" s="337"/>
      <c r="Y836" s="337"/>
      <c r="AB836" s="337"/>
    </row>
    <row r="837" spans="1:28" x14ac:dyDescent="0.45">
      <c r="A837" s="337"/>
      <c r="D837" s="337"/>
      <c r="G837" s="337"/>
      <c r="J837" s="337"/>
      <c r="M837" s="337"/>
      <c r="P837" s="337"/>
      <c r="S837" s="337"/>
      <c r="V837" s="337"/>
      <c r="Y837" s="337"/>
      <c r="AB837" s="337"/>
    </row>
    <row r="838" spans="1:28" x14ac:dyDescent="0.45">
      <c r="A838" s="337"/>
      <c r="D838" s="337"/>
      <c r="G838" s="337"/>
      <c r="J838" s="337"/>
      <c r="M838" s="337"/>
      <c r="P838" s="337"/>
      <c r="S838" s="337"/>
      <c r="V838" s="337"/>
      <c r="Y838" s="337"/>
      <c r="AB838" s="337"/>
    </row>
    <row r="839" spans="1:28" x14ac:dyDescent="0.45">
      <c r="A839" s="337"/>
      <c r="D839" s="337"/>
      <c r="G839" s="337"/>
      <c r="J839" s="337"/>
      <c r="M839" s="337"/>
      <c r="P839" s="337"/>
      <c r="S839" s="337"/>
      <c r="V839" s="337"/>
      <c r="Y839" s="337"/>
      <c r="AB839" s="337"/>
    </row>
    <row r="840" spans="1:28" x14ac:dyDescent="0.45">
      <c r="A840" s="337"/>
      <c r="D840" s="337"/>
      <c r="G840" s="337"/>
      <c r="J840" s="337"/>
      <c r="M840" s="337"/>
      <c r="P840" s="337"/>
      <c r="S840" s="337"/>
      <c r="V840" s="337"/>
      <c r="Y840" s="337"/>
      <c r="AB840" s="337"/>
    </row>
    <row r="841" spans="1:28" x14ac:dyDescent="0.45">
      <c r="A841" s="337"/>
      <c r="D841" s="337"/>
      <c r="G841" s="337"/>
      <c r="J841" s="337"/>
      <c r="M841" s="337"/>
      <c r="P841" s="337"/>
      <c r="S841" s="337"/>
      <c r="V841" s="337"/>
      <c r="Y841" s="337"/>
      <c r="AB841" s="337"/>
    </row>
    <row r="842" spans="1:28" x14ac:dyDescent="0.45">
      <c r="A842" s="337"/>
      <c r="D842" s="337"/>
      <c r="G842" s="337"/>
      <c r="J842" s="337"/>
      <c r="M842" s="337"/>
      <c r="P842" s="337"/>
      <c r="S842" s="337"/>
      <c r="V842" s="337"/>
      <c r="Y842" s="337"/>
      <c r="AB842" s="337"/>
    </row>
    <row r="843" spans="1:28" x14ac:dyDescent="0.45">
      <c r="A843" s="337"/>
      <c r="D843" s="337"/>
      <c r="G843" s="337"/>
      <c r="J843" s="337"/>
      <c r="M843" s="337"/>
      <c r="P843" s="337"/>
      <c r="S843" s="337"/>
      <c r="V843" s="337"/>
      <c r="Y843" s="337"/>
      <c r="AB843" s="337"/>
    </row>
    <row r="844" spans="1:28" x14ac:dyDescent="0.45">
      <c r="A844" s="337"/>
      <c r="D844" s="337"/>
      <c r="G844" s="337"/>
      <c r="J844" s="337"/>
      <c r="M844" s="337"/>
      <c r="P844" s="337"/>
      <c r="S844" s="337"/>
      <c r="V844" s="337"/>
      <c r="Y844" s="337"/>
      <c r="AB844" s="337"/>
    </row>
    <row r="845" spans="1:28" x14ac:dyDescent="0.45">
      <c r="A845" s="337"/>
      <c r="D845" s="337"/>
      <c r="G845" s="337"/>
      <c r="J845" s="337"/>
      <c r="M845" s="337"/>
      <c r="P845" s="337"/>
      <c r="S845" s="337"/>
      <c r="V845" s="337"/>
      <c r="Y845" s="337"/>
      <c r="AB845" s="337"/>
    </row>
    <row r="846" spans="1:28" x14ac:dyDescent="0.45">
      <c r="A846" s="337"/>
      <c r="D846" s="337"/>
      <c r="G846" s="337"/>
      <c r="J846" s="337"/>
      <c r="M846" s="337"/>
      <c r="P846" s="337"/>
      <c r="S846" s="337"/>
      <c r="V846" s="337"/>
      <c r="Y846" s="337"/>
      <c r="AB846" s="337"/>
    </row>
    <row r="847" spans="1:28" x14ac:dyDescent="0.45">
      <c r="A847" s="337"/>
      <c r="D847" s="337"/>
      <c r="G847" s="337"/>
      <c r="J847" s="337"/>
      <c r="M847" s="337"/>
      <c r="P847" s="337"/>
      <c r="S847" s="337"/>
      <c r="V847" s="337"/>
      <c r="Y847" s="337"/>
      <c r="AB847" s="337"/>
    </row>
    <row r="848" spans="1:28" x14ac:dyDescent="0.45">
      <c r="A848" s="337"/>
      <c r="D848" s="337"/>
      <c r="G848" s="337"/>
      <c r="J848" s="337"/>
      <c r="M848" s="337"/>
      <c r="P848" s="337"/>
      <c r="S848" s="337"/>
      <c r="V848" s="337"/>
      <c r="Y848" s="337"/>
      <c r="AB848" s="337"/>
    </row>
    <row r="849" spans="1:28" x14ac:dyDescent="0.45">
      <c r="A849" s="337"/>
      <c r="D849" s="337"/>
      <c r="G849" s="337"/>
      <c r="J849" s="337"/>
      <c r="M849" s="337"/>
      <c r="P849" s="337"/>
      <c r="S849" s="337"/>
      <c r="V849" s="337"/>
      <c r="Y849" s="337"/>
      <c r="AB849" s="337"/>
    </row>
    <row r="850" spans="1:28" x14ac:dyDescent="0.45">
      <c r="A850" s="337"/>
      <c r="D850" s="337"/>
      <c r="G850" s="337"/>
      <c r="J850" s="337"/>
      <c r="M850" s="337"/>
      <c r="P850" s="337"/>
      <c r="S850" s="337"/>
      <c r="V850" s="337"/>
      <c r="Y850" s="337"/>
      <c r="AB850" s="337"/>
    </row>
    <row r="851" spans="1:28" x14ac:dyDescent="0.45">
      <c r="A851" s="337"/>
      <c r="D851" s="337"/>
      <c r="G851" s="337"/>
      <c r="J851" s="337"/>
      <c r="M851" s="337"/>
      <c r="P851" s="337"/>
      <c r="S851" s="337"/>
      <c r="V851" s="337"/>
      <c r="Y851" s="337"/>
      <c r="AB851" s="337"/>
    </row>
    <row r="852" spans="1:28" x14ac:dyDescent="0.45">
      <c r="A852" s="337"/>
      <c r="D852" s="337"/>
      <c r="G852" s="337"/>
      <c r="J852" s="337"/>
      <c r="M852" s="337"/>
      <c r="P852" s="337"/>
      <c r="S852" s="337"/>
      <c r="V852" s="337"/>
      <c r="Y852" s="337"/>
      <c r="AB852" s="337"/>
    </row>
    <row r="853" spans="1:28" x14ac:dyDescent="0.45">
      <c r="A853" s="337"/>
      <c r="D853" s="337"/>
      <c r="G853" s="337"/>
      <c r="J853" s="337"/>
      <c r="M853" s="337"/>
      <c r="P853" s="337"/>
      <c r="S853" s="337"/>
      <c r="V853" s="337"/>
      <c r="Y853" s="337"/>
      <c r="AB853" s="337"/>
    </row>
    <row r="854" spans="1:28" x14ac:dyDescent="0.45">
      <c r="A854" s="337"/>
      <c r="D854" s="337"/>
      <c r="G854" s="337"/>
      <c r="J854" s="337"/>
      <c r="M854" s="337"/>
      <c r="P854" s="337"/>
      <c r="S854" s="337"/>
      <c r="V854" s="337"/>
      <c r="Y854" s="337"/>
      <c r="AB854" s="337"/>
    </row>
    <row r="855" spans="1:28" x14ac:dyDescent="0.45">
      <c r="A855" s="337"/>
      <c r="D855" s="337"/>
      <c r="G855" s="337"/>
      <c r="J855" s="337"/>
      <c r="M855" s="337"/>
      <c r="P855" s="337"/>
      <c r="S855" s="337"/>
      <c r="V855" s="337"/>
      <c r="Y855" s="337"/>
      <c r="AB855" s="337"/>
    </row>
    <row r="856" spans="1:28" x14ac:dyDescent="0.45">
      <c r="A856" s="337"/>
      <c r="D856" s="337"/>
      <c r="G856" s="337"/>
      <c r="J856" s="337"/>
      <c r="M856" s="337"/>
      <c r="P856" s="337"/>
      <c r="S856" s="337"/>
      <c r="V856" s="337"/>
      <c r="Y856" s="337"/>
      <c r="AB856" s="337"/>
    </row>
    <row r="857" spans="1:28" x14ac:dyDescent="0.45">
      <c r="A857" s="337"/>
      <c r="D857" s="337"/>
      <c r="G857" s="337"/>
      <c r="J857" s="337"/>
      <c r="M857" s="337"/>
      <c r="P857" s="337"/>
      <c r="S857" s="337"/>
      <c r="V857" s="337"/>
      <c r="Y857" s="337"/>
      <c r="AB857" s="337"/>
    </row>
    <row r="858" spans="1:28" x14ac:dyDescent="0.45">
      <c r="A858" s="337"/>
      <c r="D858" s="337"/>
      <c r="G858" s="337"/>
      <c r="J858" s="337"/>
      <c r="M858" s="337"/>
      <c r="P858" s="337"/>
      <c r="S858" s="337"/>
      <c r="V858" s="337"/>
      <c r="Y858" s="337"/>
      <c r="AB858" s="337"/>
    </row>
    <row r="859" spans="1:28" x14ac:dyDescent="0.45">
      <c r="A859" s="337"/>
      <c r="D859" s="337"/>
      <c r="G859" s="337"/>
      <c r="J859" s="337"/>
      <c r="M859" s="337"/>
      <c r="P859" s="337"/>
      <c r="S859" s="337"/>
      <c r="V859" s="337"/>
      <c r="Y859" s="337"/>
      <c r="AB859" s="337"/>
    </row>
    <row r="860" spans="1:28" x14ac:dyDescent="0.45">
      <c r="A860" s="337"/>
      <c r="D860" s="337"/>
      <c r="G860" s="337"/>
      <c r="J860" s="337"/>
      <c r="M860" s="337"/>
      <c r="P860" s="337"/>
      <c r="S860" s="337"/>
      <c r="V860" s="337"/>
      <c r="Y860" s="337"/>
      <c r="AB860" s="337"/>
    </row>
    <row r="861" spans="1:28" x14ac:dyDescent="0.45">
      <c r="A861" s="337"/>
      <c r="D861" s="337"/>
      <c r="G861" s="337"/>
      <c r="J861" s="337"/>
      <c r="M861" s="337"/>
      <c r="P861" s="337"/>
      <c r="S861" s="337"/>
      <c r="V861" s="337"/>
      <c r="Y861" s="337"/>
      <c r="AB861" s="337"/>
    </row>
    <row r="862" spans="1:28" x14ac:dyDescent="0.45">
      <c r="A862" s="337"/>
      <c r="D862" s="337"/>
      <c r="G862" s="337"/>
      <c r="J862" s="337"/>
      <c r="M862" s="337"/>
      <c r="P862" s="337"/>
      <c r="S862" s="337"/>
      <c r="V862" s="337"/>
      <c r="Y862" s="337"/>
      <c r="AB862" s="337"/>
    </row>
    <row r="863" spans="1:28" x14ac:dyDescent="0.45">
      <c r="A863" s="337"/>
      <c r="D863" s="337"/>
      <c r="G863" s="337"/>
      <c r="J863" s="337"/>
      <c r="M863" s="337"/>
      <c r="P863" s="337"/>
      <c r="S863" s="337"/>
      <c r="V863" s="337"/>
      <c r="Y863" s="337"/>
      <c r="AB863" s="337"/>
    </row>
    <row r="864" spans="1:28" x14ac:dyDescent="0.45">
      <c r="A864" s="337"/>
      <c r="D864" s="337"/>
      <c r="G864" s="337"/>
      <c r="J864" s="337"/>
      <c r="M864" s="337"/>
      <c r="P864" s="337"/>
      <c r="S864" s="337"/>
      <c r="V864" s="337"/>
      <c r="Y864" s="337"/>
      <c r="AB864" s="337"/>
    </row>
    <row r="865" spans="1:28" x14ac:dyDescent="0.45">
      <c r="A865" s="337"/>
      <c r="D865" s="337"/>
      <c r="G865" s="337"/>
      <c r="J865" s="337"/>
      <c r="M865" s="337"/>
      <c r="P865" s="337"/>
      <c r="S865" s="337"/>
      <c r="V865" s="337"/>
      <c r="Y865" s="337"/>
      <c r="AB865" s="337"/>
    </row>
    <row r="866" spans="1:28" x14ac:dyDescent="0.45">
      <c r="A866" s="337"/>
      <c r="D866" s="337"/>
      <c r="G866" s="337"/>
      <c r="J866" s="337"/>
      <c r="M866" s="337"/>
      <c r="P866" s="337"/>
      <c r="S866" s="337"/>
      <c r="V866" s="337"/>
      <c r="Y866" s="337"/>
      <c r="AB866" s="337"/>
    </row>
    <row r="867" spans="1:28" x14ac:dyDescent="0.45">
      <c r="A867" s="337"/>
      <c r="D867" s="337"/>
      <c r="G867" s="337"/>
      <c r="J867" s="337"/>
      <c r="M867" s="337"/>
      <c r="P867" s="337"/>
      <c r="S867" s="337"/>
      <c r="V867" s="337"/>
      <c r="Y867" s="337"/>
      <c r="AB867" s="337"/>
    </row>
    <row r="868" spans="1:28" x14ac:dyDescent="0.45">
      <c r="A868" s="337"/>
      <c r="D868" s="337"/>
      <c r="G868" s="337"/>
      <c r="J868" s="337"/>
      <c r="M868" s="337"/>
      <c r="P868" s="337"/>
      <c r="S868" s="337"/>
      <c r="V868" s="337"/>
      <c r="Y868" s="337"/>
      <c r="AB868" s="337"/>
    </row>
    <row r="869" spans="1:28" x14ac:dyDescent="0.45">
      <c r="A869" s="337"/>
      <c r="D869" s="337"/>
      <c r="G869" s="337"/>
      <c r="J869" s="337"/>
      <c r="M869" s="337"/>
      <c r="P869" s="337"/>
      <c r="S869" s="337"/>
      <c r="V869" s="337"/>
      <c r="Y869" s="337"/>
      <c r="AB869" s="337"/>
    </row>
    <row r="870" spans="1:28" x14ac:dyDescent="0.45">
      <c r="A870" s="337"/>
      <c r="D870" s="337"/>
      <c r="G870" s="337"/>
      <c r="J870" s="337"/>
      <c r="M870" s="337"/>
      <c r="P870" s="337"/>
      <c r="S870" s="337"/>
      <c r="V870" s="337"/>
      <c r="Y870" s="337"/>
      <c r="AB870" s="337"/>
    </row>
    <row r="871" spans="1:28" x14ac:dyDescent="0.45">
      <c r="A871" s="337"/>
      <c r="D871" s="337"/>
      <c r="G871" s="337"/>
      <c r="J871" s="337"/>
      <c r="M871" s="337"/>
      <c r="P871" s="337"/>
      <c r="S871" s="337"/>
      <c r="V871" s="337"/>
      <c r="Y871" s="337"/>
      <c r="AB871" s="337"/>
    </row>
    <row r="872" spans="1:28" x14ac:dyDescent="0.45">
      <c r="A872" s="337"/>
      <c r="D872" s="337"/>
      <c r="G872" s="337"/>
      <c r="J872" s="337"/>
      <c r="M872" s="337"/>
      <c r="P872" s="337"/>
      <c r="S872" s="337"/>
      <c r="V872" s="337"/>
      <c r="Y872" s="337"/>
      <c r="AB872" s="337"/>
    </row>
    <row r="873" spans="1:28" x14ac:dyDescent="0.45">
      <c r="A873" s="337"/>
      <c r="D873" s="337"/>
      <c r="G873" s="337"/>
      <c r="J873" s="337"/>
      <c r="M873" s="337"/>
      <c r="P873" s="337"/>
      <c r="S873" s="337"/>
      <c r="V873" s="337"/>
      <c r="Y873" s="337"/>
      <c r="AB873" s="337"/>
    </row>
    <row r="874" spans="1:28" x14ac:dyDescent="0.45">
      <c r="A874" s="337"/>
      <c r="D874" s="337"/>
      <c r="G874" s="337"/>
      <c r="J874" s="337"/>
      <c r="M874" s="337"/>
      <c r="P874" s="337"/>
      <c r="S874" s="337"/>
      <c r="V874" s="337"/>
      <c r="Y874" s="337"/>
      <c r="AB874" s="337"/>
    </row>
    <row r="875" spans="1:28" x14ac:dyDescent="0.45">
      <c r="A875" s="337"/>
      <c r="D875" s="337"/>
      <c r="G875" s="337"/>
      <c r="J875" s="337"/>
      <c r="M875" s="337"/>
      <c r="P875" s="337"/>
      <c r="S875" s="337"/>
      <c r="V875" s="337"/>
      <c r="Y875" s="337"/>
      <c r="AB875" s="337"/>
    </row>
    <row r="876" spans="1:28" x14ac:dyDescent="0.45">
      <c r="A876" s="337"/>
      <c r="D876" s="337"/>
      <c r="G876" s="337"/>
      <c r="J876" s="337"/>
      <c r="M876" s="337"/>
      <c r="P876" s="337"/>
      <c r="S876" s="337"/>
      <c r="V876" s="337"/>
      <c r="Y876" s="337"/>
      <c r="AB876" s="337"/>
    </row>
    <row r="877" spans="1:28" x14ac:dyDescent="0.45">
      <c r="A877" s="337"/>
      <c r="D877" s="337"/>
      <c r="G877" s="337"/>
      <c r="J877" s="337"/>
      <c r="M877" s="337"/>
      <c r="P877" s="337"/>
      <c r="S877" s="337"/>
      <c r="V877" s="337"/>
      <c r="Y877" s="337"/>
      <c r="AB877" s="337"/>
    </row>
    <row r="878" spans="1:28" x14ac:dyDescent="0.45">
      <c r="A878" s="337"/>
      <c r="D878" s="337"/>
      <c r="G878" s="337"/>
      <c r="J878" s="337"/>
      <c r="M878" s="337"/>
      <c r="P878" s="337"/>
      <c r="S878" s="337"/>
      <c r="V878" s="337"/>
      <c r="Y878" s="337"/>
      <c r="AB878" s="337"/>
    </row>
    <row r="879" spans="1:28" x14ac:dyDescent="0.45">
      <c r="A879" s="337"/>
      <c r="D879" s="337"/>
      <c r="G879" s="337"/>
      <c r="J879" s="337"/>
      <c r="M879" s="337"/>
      <c r="P879" s="337"/>
      <c r="S879" s="337"/>
      <c r="V879" s="337"/>
      <c r="Y879" s="337"/>
      <c r="AB879" s="337"/>
    </row>
    <row r="880" spans="1:28" x14ac:dyDescent="0.45">
      <c r="A880" s="337"/>
      <c r="D880" s="337"/>
      <c r="G880" s="337"/>
      <c r="J880" s="337"/>
      <c r="M880" s="337"/>
      <c r="P880" s="337"/>
      <c r="S880" s="337"/>
      <c r="V880" s="337"/>
      <c r="Y880" s="337"/>
      <c r="AB880" s="337"/>
    </row>
    <row r="881" spans="1:28" x14ac:dyDescent="0.45">
      <c r="A881" s="337"/>
      <c r="D881" s="337"/>
      <c r="G881" s="337"/>
      <c r="J881" s="337"/>
      <c r="M881" s="337"/>
      <c r="P881" s="337"/>
      <c r="S881" s="337"/>
      <c r="V881" s="337"/>
      <c r="Y881" s="337"/>
      <c r="AB881" s="337"/>
    </row>
    <row r="882" spans="1:28" x14ac:dyDescent="0.45">
      <c r="A882" s="337"/>
      <c r="D882" s="337"/>
      <c r="G882" s="337"/>
      <c r="J882" s="337"/>
      <c r="M882" s="337"/>
      <c r="P882" s="337"/>
      <c r="S882" s="337"/>
      <c r="V882" s="337"/>
      <c r="Y882" s="337"/>
      <c r="AB882" s="337"/>
    </row>
    <row r="883" spans="1:28" x14ac:dyDescent="0.45">
      <c r="A883" s="337"/>
      <c r="D883" s="337"/>
      <c r="G883" s="337"/>
      <c r="J883" s="337"/>
      <c r="M883" s="337"/>
      <c r="P883" s="337"/>
      <c r="S883" s="337"/>
      <c r="V883" s="337"/>
      <c r="Y883" s="337"/>
      <c r="AB883" s="337"/>
    </row>
    <row r="884" spans="1:28" x14ac:dyDescent="0.45">
      <c r="A884" s="337"/>
      <c r="D884" s="337"/>
      <c r="G884" s="337"/>
      <c r="J884" s="337"/>
      <c r="M884" s="337"/>
      <c r="P884" s="337"/>
      <c r="S884" s="337"/>
      <c r="V884" s="337"/>
      <c r="Y884" s="337"/>
      <c r="AB884" s="337"/>
    </row>
    <row r="885" spans="1:28" x14ac:dyDescent="0.45">
      <c r="A885" s="337"/>
      <c r="D885" s="337"/>
      <c r="G885" s="337"/>
      <c r="J885" s="337"/>
      <c r="M885" s="337"/>
      <c r="P885" s="337"/>
      <c r="S885" s="337"/>
      <c r="V885" s="337"/>
      <c r="Y885" s="337"/>
      <c r="AB885" s="337"/>
    </row>
    <row r="886" spans="1:28" x14ac:dyDescent="0.45">
      <c r="A886" s="337"/>
      <c r="D886" s="337"/>
      <c r="G886" s="337"/>
      <c r="J886" s="337"/>
      <c r="M886" s="337"/>
      <c r="P886" s="337"/>
      <c r="S886" s="337"/>
      <c r="V886" s="337"/>
      <c r="Y886" s="337"/>
      <c r="AB886" s="337"/>
    </row>
    <row r="887" spans="1:28" x14ac:dyDescent="0.45">
      <c r="A887" s="337"/>
      <c r="D887" s="337"/>
      <c r="G887" s="337"/>
      <c r="J887" s="337"/>
      <c r="M887" s="337"/>
      <c r="P887" s="337"/>
      <c r="S887" s="337"/>
      <c r="V887" s="337"/>
      <c r="Y887" s="337"/>
      <c r="AB887" s="337"/>
    </row>
    <row r="888" spans="1:28" x14ac:dyDescent="0.45">
      <c r="A888" s="337"/>
      <c r="D888" s="337"/>
      <c r="G888" s="337"/>
      <c r="J888" s="337"/>
      <c r="M888" s="337"/>
      <c r="P888" s="337"/>
      <c r="S888" s="337"/>
      <c r="V888" s="337"/>
      <c r="Y888" s="337"/>
      <c r="AB888" s="337"/>
    </row>
    <row r="889" spans="1:28" x14ac:dyDescent="0.45">
      <c r="A889" s="337"/>
      <c r="D889" s="337"/>
      <c r="G889" s="337"/>
      <c r="J889" s="337"/>
      <c r="M889" s="337"/>
      <c r="P889" s="337"/>
      <c r="S889" s="337"/>
      <c r="V889" s="337"/>
      <c r="Y889" s="337"/>
      <c r="AB889" s="337"/>
    </row>
    <row r="890" spans="1:28" x14ac:dyDescent="0.45">
      <c r="A890" s="337"/>
      <c r="D890" s="337"/>
      <c r="G890" s="337"/>
      <c r="J890" s="337"/>
      <c r="M890" s="337"/>
      <c r="P890" s="337"/>
      <c r="S890" s="337"/>
      <c r="V890" s="337"/>
      <c r="Y890" s="337"/>
      <c r="AB890" s="337"/>
    </row>
    <row r="891" spans="1:28" x14ac:dyDescent="0.45">
      <c r="A891" s="337"/>
      <c r="D891" s="337"/>
      <c r="G891" s="337"/>
      <c r="J891" s="337"/>
      <c r="M891" s="337"/>
      <c r="P891" s="337"/>
      <c r="S891" s="337"/>
      <c r="V891" s="337"/>
      <c r="Y891" s="337"/>
      <c r="AB891" s="337"/>
    </row>
    <row r="892" spans="1:28" x14ac:dyDescent="0.45">
      <c r="A892" s="337"/>
      <c r="D892" s="337"/>
      <c r="G892" s="337"/>
      <c r="J892" s="337"/>
      <c r="M892" s="337"/>
      <c r="P892" s="337"/>
      <c r="S892" s="337"/>
      <c r="V892" s="337"/>
      <c r="Y892" s="337"/>
      <c r="AB892" s="337"/>
    </row>
    <row r="893" spans="1:28" x14ac:dyDescent="0.45">
      <c r="A893" s="337"/>
      <c r="D893" s="337"/>
      <c r="G893" s="337"/>
      <c r="J893" s="337"/>
      <c r="M893" s="337"/>
      <c r="P893" s="337"/>
      <c r="S893" s="337"/>
      <c r="V893" s="337"/>
      <c r="Y893" s="337"/>
      <c r="AB893" s="337"/>
    </row>
    <row r="894" spans="1:28" x14ac:dyDescent="0.45">
      <c r="A894" s="337"/>
      <c r="D894" s="337"/>
      <c r="G894" s="337"/>
      <c r="J894" s="337"/>
      <c r="M894" s="337"/>
      <c r="P894" s="337"/>
      <c r="S894" s="337"/>
      <c r="V894" s="337"/>
      <c r="Y894" s="337"/>
      <c r="AB894" s="337"/>
    </row>
    <row r="895" spans="1:28" x14ac:dyDescent="0.45">
      <c r="A895" s="337"/>
      <c r="D895" s="337"/>
      <c r="G895" s="337"/>
      <c r="J895" s="337"/>
      <c r="M895" s="337"/>
      <c r="P895" s="337"/>
      <c r="S895" s="337"/>
      <c r="V895" s="337"/>
      <c r="Y895" s="337"/>
      <c r="AB895" s="337"/>
    </row>
    <row r="896" spans="1:28" x14ac:dyDescent="0.45">
      <c r="A896" s="337"/>
      <c r="D896" s="337"/>
      <c r="G896" s="337"/>
      <c r="J896" s="337"/>
      <c r="M896" s="337"/>
      <c r="P896" s="337"/>
      <c r="S896" s="337"/>
      <c r="V896" s="337"/>
      <c r="Y896" s="337"/>
      <c r="AB896" s="337"/>
    </row>
    <row r="897" spans="1:28" x14ac:dyDescent="0.45">
      <c r="A897" s="337"/>
      <c r="D897" s="337"/>
      <c r="G897" s="337"/>
      <c r="J897" s="337"/>
      <c r="M897" s="337"/>
      <c r="P897" s="337"/>
      <c r="S897" s="337"/>
      <c r="V897" s="337"/>
      <c r="Y897" s="337"/>
      <c r="AB897" s="337"/>
    </row>
    <row r="898" spans="1:28" x14ac:dyDescent="0.45">
      <c r="A898" s="337"/>
      <c r="D898" s="337"/>
      <c r="G898" s="337"/>
      <c r="J898" s="337"/>
      <c r="M898" s="337"/>
      <c r="P898" s="337"/>
      <c r="S898" s="337"/>
      <c r="V898" s="337"/>
      <c r="Y898" s="337"/>
      <c r="AB898" s="337"/>
    </row>
    <row r="899" spans="1:28" x14ac:dyDescent="0.45">
      <c r="A899" s="337"/>
      <c r="D899" s="337"/>
      <c r="G899" s="337"/>
      <c r="J899" s="337"/>
      <c r="M899" s="337"/>
      <c r="P899" s="337"/>
      <c r="S899" s="337"/>
      <c r="V899" s="337"/>
      <c r="Y899" s="337"/>
      <c r="AB899" s="337"/>
    </row>
    <row r="900" spans="1:28" x14ac:dyDescent="0.45">
      <c r="A900" s="337"/>
      <c r="D900" s="337"/>
      <c r="G900" s="337"/>
      <c r="J900" s="337"/>
      <c r="M900" s="337"/>
      <c r="P900" s="337"/>
      <c r="S900" s="337"/>
      <c r="V900" s="337"/>
      <c r="Y900" s="337"/>
      <c r="AB900" s="337"/>
    </row>
    <row r="901" spans="1:28" x14ac:dyDescent="0.45">
      <c r="A901" s="337"/>
      <c r="D901" s="337"/>
      <c r="G901" s="337"/>
      <c r="J901" s="337"/>
      <c r="M901" s="337"/>
      <c r="P901" s="337"/>
      <c r="S901" s="337"/>
      <c r="V901" s="337"/>
      <c r="Y901" s="337"/>
      <c r="AB901" s="337"/>
    </row>
    <row r="902" spans="1:28" x14ac:dyDescent="0.45">
      <c r="A902" s="337"/>
      <c r="D902" s="337"/>
      <c r="G902" s="337"/>
      <c r="J902" s="337"/>
      <c r="M902" s="337"/>
      <c r="P902" s="337"/>
      <c r="S902" s="337"/>
      <c r="V902" s="337"/>
      <c r="Y902" s="337"/>
      <c r="AB902" s="337"/>
    </row>
    <row r="903" spans="1:28" x14ac:dyDescent="0.45">
      <c r="A903" s="337"/>
      <c r="D903" s="337"/>
      <c r="G903" s="337"/>
      <c r="J903" s="337"/>
      <c r="M903" s="337"/>
      <c r="P903" s="337"/>
      <c r="S903" s="337"/>
      <c r="V903" s="337"/>
      <c r="Y903" s="337"/>
      <c r="AB903" s="337"/>
    </row>
    <row r="904" spans="1:28" x14ac:dyDescent="0.45">
      <c r="A904" s="337"/>
      <c r="D904" s="337"/>
      <c r="G904" s="337"/>
      <c r="J904" s="337"/>
      <c r="M904" s="337"/>
      <c r="P904" s="337"/>
      <c r="S904" s="337"/>
      <c r="V904" s="337"/>
      <c r="Y904" s="337"/>
      <c r="AB904" s="337"/>
    </row>
    <row r="905" spans="1:28" x14ac:dyDescent="0.45">
      <c r="A905" s="337"/>
      <c r="D905" s="337"/>
      <c r="G905" s="337"/>
      <c r="J905" s="337"/>
      <c r="M905" s="337"/>
      <c r="P905" s="337"/>
      <c r="S905" s="337"/>
      <c r="V905" s="337"/>
      <c r="Y905" s="337"/>
      <c r="AB905" s="337"/>
    </row>
    <row r="906" spans="1:28" x14ac:dyDescent="0.45">
      <c r="A906" s="337"/>
      <c r="D906" s="337"/>
      <c r="G906" s="337"/>
      <c r="J906" s="337"/>
      <c r="M906" s="337"/>
      <c r="P906" s="337"/>
      <c r="S906" s="337"/>
      <c r="V906" s="337"/>
      <c r="Y906" s="337"/>
      <c r="AB906" s="337"/>
    </row>
    <row r="907" spans="1:28" x14ac:dyDescent="0.45">
      <c r="A907" s="337"/>
      <c r="D907" s="337"/>
      <c r="G907" s="337"/>
      <c r="J907" s="337"/>
      <c r="M907" s="337"/>
      <c r="P907" s="337"/>
      <c r="S907" s="337"/>
      <c r="V907" s="337"/>
      <c r="Y907" s="337"/>
      <c r="AB907" s="337"/>
    </row>
    <row r="908" spans="1:28" x14ac:dyDescent="0.45">
      <c r="A908" s="337"/>
      <c r="D908" s="337"/>
      <c r="G908" s="337"/>
      <c r="J908" s="337"/>
      <c r="M908" s="337"/>
      <c r="P908" s="337"/>
      <c r="S908" s="337"/>
      <c r="V908" s="337"/>
      <c r="Y908" s="337"/>
      <c r="AB908" s="337"/>
    </row>
    <row r="909" spans="1:28" x14ac:dyDescent="0.45">
      <c r="A909" s="337"/>
      <c r="D909" s="337"/>
      <c r="G909" s="337"/>
      <c r="J909" s="337"/>
      <c r="M909" s="337"/>
      <c r="P909" s="337"/>
      <c r="S909" s="337"/>
      <c r="V909" s="337"/>
      <c r="Y909" s="337"/>
      <c r="AB909" s="337"/>
    </row>
    <row r="910" spans="1:28" x14ac:dyDescent="0.45">
      <c r="A910" s="337"/>
      <c r="D910" s="337"/>
      <c r="G910" s="337"/>
      <c r="J910" s="337"/>
      <c r="M910" s="337"/>
      <c r="P910" s="337"/>
      <c r="S910" s="337"/>
      <c r="V910" s="337"/>
      <c r="Y910" s="337"/>
      <c r="AB910" s="337"/>
    </row>
    <row r="911" spans="1:28" x14ac:dyDescent="0.45">
      <c r="A911" s="337"/>
      <c r="D911" s="337"/>
      <c r="G911" s="337"/>
      <c r="J911" s="337"/>
      <c r="M911" s="337"/>
      <c r="P911" s="337"/>
      <c r="S911" s="337"/>
      <c r="V911" s="337"/>
      <c r="Y911" s="337"/>
      <c r="AB911" s="337"/>
    </row>
    <row r="912" spans="1:28" x14ac:dyDescent="0.45">
      <c r="A912" s="337"/>
      <c r="D912" s="337"/>
      <c r="G912" s="337"/>
      <c r="J912" s="337"/>
      <c r="M912" s="337"/>
      <c r="P912" s="337"/>
      <c r="S912" s="337"/>
      <c r="V912" s="337"/>
      <c r="Y912" s="337"/>
      <c r="AB912" s="337"/>
    </row>
    <row r="913" spans="1:28" x14ac:dyDescent="0.45">
      <c r="A913" s="337"/>
      <c r="D913" s="337"/>
      <c r="G913" s="337"/>
      <c r="J913" s="337"/>
      <c r="M913" s="337"/>
      <c r="P913" s="337"/>
      <c r="S913" s="337"/>
      <c r="V913" s="337"/>
      <c r="Y913" s="337"/>
      <c r="AB913" s="337"/>
    </row>
    <row r="914" spans="1:28" x14ac:dyDescent="0.45">
      <c r="A914" s="337"/>
      <c r="D914" s="337"/>
      <c r="G914" s="337"/>
      <c r="J914" s="337"/>
      <c r="M914" s="337"/>
      <c r="P914" s="337"/>
      <c r="S914" s="337"/>
      <c r="V914" s="337"/>
      <c r="Y914" s="337"/>
      <c r="AB914" s="337"/>
    </row>
    <row r="915" spans="1:28" x14ac:dyDescent="0.45">
      <c r="A915" s="337"/>
      <c r="D915" s="337"/>
      <c r="G915" s="337"/>
      <c r="J915" s="337"/>
      <c r="M915" s="337"/>
      <c r="P915" s="337"/>
      <c r="S915" s="337"/>
      <c r="V915" s="337"/>
      <c r="Y915" s="337"/>
      <c r="AB915" s="337"/>
    </row>
    <row r="916" spans="1:28" x14ac:dyDescent="0.45">
      <c r="A916" s="337"/>
      <c r="D916" s="337"/>
      <c r="G916" s="337"/>
      <c r="J916" s="337"/>
      <c r="M916" s="337"/>
      <c r="P916" s="337"/>
      <c r="S916" s="337"/>
      <c r="V916" s="337"/>
      <c r="Y916" s="337"/>
      <c r="AB916" s="337"/>
    </row>
    <row r="917" spans="1:28" x14ac:dyDescent="0.45">
      <c r="A917" s="337"/>
      <c r="D917" s="337"/>
      <c r="G917" s="337"/>
      <c r="J917" s="337"/>
      <c r="M917" s="337"/>
      <c r="P917" s="337"/>
      <c r="S917" s="337"/>
      <c r="V917" s="337"/>
      <c r="Y917" s="337"/>
      <c r="AB917" s="337"/>
    </row>
    <row r="918" spans="1:28" x14ac:dyDescent="0.45">
      <c r="A918" s="337"/>
      <c r="D918" s="337"/>
      <c r="G918" s="337"/>
      <c r="J918" s="337"/>
      <c r="M918" s="337"/>
      <c r="P918" s="337"/>
      <c r="S918" s="337"/>
      <c r="V918" s="337"/>
      <c r="Y918" s="337"/>
      <c r="AB918" s="337"/>
    </row>
    <row r="919" spans="1:28" x14ac:dyDescent="0.45">
      <c r="A919" s="337"/>
      <c r="D919" s="337"/>
      <c r="G919" s="337"/>
      <c r="J919" s="337"/>
      <c r="M919" s="337"/>
      <c r="P919" s="337"/>
      <c r="S919" s="337"/>
      <c r="V919" s="337"/>
      <c r="Y919" s="337"/>
      <c r="AB919" s="337"/>
    </row>
    <row r="920" spans="1:28" x14ac:dyDescent="0.45">
      <c r="A920" s="337"/>
      <c r="D920" s="337"/>
      <c r="G920" s="337"/>
      <c r="J920" s="337"/>
      <c r="M920" s="337"/>
      <c r="P920" s="337"/>
      <c r="S920" s="337"/>
      <c r="V920" s="337"/>
      <c r="Y920" s="337"/>
      <c r="AB920" s="337"/>
    </row>
    <row r="921" spans="1:28" x14ac:dyDescent="0.45">
      <c r="A921" s="337"/>
      <c r="D921" s="337"/>
      <c r="G921" s="337"/>
      <c r="J921" s="337"/>
      <c r="M921" s="337"/>
      <c r="P921" s="337"/>
      <c r="S921" s="337"/>
      <c r="V921" s="337"/>
      <c r="Y921" s="337"/>
      <c r="AB921" s="337"/>
    </row>
    <row r="922" spans="1:28" x14ac:dyDescent="0.45">
      <c r="A922" s="337"/>
      <c r="D922" s="337"/>
      <c r="G922" s="337"/>
      <c r="J922" s="337"/>
      <c r="M922" s="337"/>
      <c r="P922" s="337"/>
      <c r="S922" s="337"/>
      <c r="V922" s="337"/>
      <c r="Y922" s="337"/>
      <c r="AB922" s="337"/>
    </row>
    <row r="923" spans="1:28" x14ac:dyDescent="0.45">
      <c r="A923" s="337"/>
      <c r="D923" s="337"/>
      <c r="G923" s="337"/>
      <c r="J923" s="337"/>
      <c r="M923" s="337"/>
      <c r="P923" s="337"/>
      <c r="S923" s="337"/>
      <c r="V923" s="337"/>
      <c r="Y923" s="337"/>
      <c r="AB923" s="337"/>
    </row>
    <row r="924" spans="1:28" x14ac:dyDescent="0.45">
      <c r="A924" s="337"/>
      <c r="D924" s="337"/>
      <c r="G924" s="337"/>
      <c r="J924" s="337"/>
      <c r="M924" s="337"/>
      <c r="P924" s="337"/>
      <c r="S924" s="337"/>
      <c r="V924" s="337"/>
      <c r="Y924" s="337"/>
      <c r="AB924" s="337"/>
    </row>
    <row r="925" spans="1:28" x14ac:dyDescent="0.45">
      <c r="A925" s="337"/>
      <c r="D925" s="337"/>
      <c r="G925" s="337"/>
      <c r="J925" s="337"/>
      <c r="M925" s="337"/>
      <c r="P925" s="337"/>
      <c r="S925" s="337"/>
      <c r="V925" s="337"/>
      <c r="Y925" s="337"/>
      <c r="AB925" s="337"/>
    </row>
    <row r="926" spans="1:28" x14ac:dyDescent="0.45">
      <c r="A926" s="337"/>
      <c r="D926" s="337"/>
      <c r="G926" s="337"/>
      <c r="J926" s="337"/>
      <c r="M926" s="337"/>
      <c r="P926" s="337"/>
      <c r="S926" s="337"/>
      <c r="V926" s="337"/>
      <c r="Y926" s="337"/>
      <c r="AB926" s="337"/>
    </row>
    <row r="927" spans="1:28" x14ac:dyDescent="0.45">
      <c r="A927" s="337"/>
      <c r="D927" s="337"/>
      <c r="G927" s="337"/>
      <c r="J927" s="337"/>
      <c r="M927" s="337"/>
      <c r="P927" s="337"/>
      <c r="S927" s="337"/>
      <c r="V927" s="337"/>
      <c r="Y927" s="337"/>
      <c r="AB927" s="337"/>
    </row>
    <row r="928" spans="1:28" x14ac:dyDescent="0.45">
      <c r="A928" s="337"/>
      <c r="D928" s="337"/>
      <c r="G928" s="337"/>
      <c r="J928" s="337"/>
      <c r="M928" s="337"/>
      <c r="P928" s="337"/>
      <c r="S928" s="337"/>
      <c r="V928" s="337"/>
      <c r="Y928" s="337"/>
      <c r="AB928" s="337"/>
    </row>
    <row r="929" spans="1:28" x14ac:dyDescent="0.45">
      <c r="A929" s="337"/>
      <c r="D929" s="337"/>
      <c r="G929" s="337"/>
      <c r="J929" s="337"/>
      <c r="M929" s="337"/>
      <c r="P929" s="337"/>
      <c r="S929" s="337"/>
      <c r="V929" s="337"/>
      <c r="Y929" s="337"/>
      <c r="AB929" s="337"/>
    </row>
    <row r="930" spans="1:28" x14ac:dyDescent="0.45">
      <c r="A930" s="337"/>
      <c r="D930" s="337"/>
      <c r="G930" s="337"/>
      <c r="J930" s="337"/>
      <c r="M930" s="337"/>
      <c r="P930" s="337"/>
      <c r="S930" s="337"/>
      <c r="V930" s="337"/>
      <c r="Y930" s="337"/>
      <c r="AB930" s="337"/>
    </row>
    <row r="931" spans="1:28" x14ac:dyDescent="0.45">
      <c r="A931" s="337"/>
      <c r="D931" s="337"/>
      <c r="G931" s="337"/>
      <c r="J931" s="337"/>
      <c r="M931" s="337"/>
      <c r="P931" s="337"/>
      <c r="S931" s="337"/>
      <c r="V931" s="337"/>
      <c r="Y931" s="337"/>
      <c r="AB931" s="337"/>
    </row>
    <row r="932" spans="1:28" x14ac:dyDescent="0.45">
      <c r="A932" s="337"/>
      <c r="D932" s="337"/>
      <c r="G932" s="337"/>
      <c r="J932" s="337"/>
      <c r="M932" s="337"/>
      <c r="P932" s="337"/>
      <c r="S932" s="337"/>
      <c r="V932" s="337"/>
      <c r="Y932" s="337"/>
      <c r="AB932" s="337"/>
    </row>
    <row r="933" spans="1:28" x14ac:dyDescent="0.45">
      <c r="A933" s="337"/>
      <c r="D933" s="337"/>
      <c r="G933" s="337"/>
      <c r="J933" s="337"/>
      <c r="M933" s="337"/>
      <c r="P933" s="337"/>
      <c r="S933" s="337"/>
      <c r="V933" s="337"/>
      <c r="Y933" s="337"/>
      <c r="AB933" s="337"/>
    </row>
    <row r="934" spans="1:28" x14ac:dyDescent="0.45">
      <c r="A934" s="337"/>
      <c r="D934" s="337"/>
      <c r="G934" s="337"/>
      <c r="J934" s="337"/>
      <c r="M934" s="337"/>
      <c r="P934" s="337"/>
      <c r="S934" s="337"/>
      <c r="V934" s="337"/>
      <c r="Y934" s="337"/>
      <c r="AB934" s="337"/>
    </row>
    <row r="935" spans="1:28" x14ac:dyDescent="0.45">
      <c r="A935" s="337"/>
      <c r="D935" s="337"/>
      <c r="G935" s="337"/>
      <c r="J935" s="337"/>
      <c r="M935" s="337"/>
      <c r="P935" s="337"/>
      <c r="S935" s="337"/>
      <c r="V935" s="337"/>
      <c r="Y935" s="337"/>
      <c r="AB935" s="337"/>
    </row>
    <row r="936" spans="1:28" x14ac:dyDescent="0.45">
      <c r="A936" s="337"/>
      <c r="D936" s="337"/>
      <c r="G936" s="337"/>
      <c r="J936" s="337"/>
      <c r="M936" s="337"/>
      <c r="P936" s="337"/>
      <c r="S936" s="337"/>
      <c r="V936" s="337"/>
      <c r="Y936" s="337"/>
      <c r="AB936" s="337"/>
    </row>
    <row r="937" spans="1:28" x14ac:dyDescent="0.45">
      <c r="A937" s="337"/>
      <c r="D937" s="337"/>
      <c r="G937" s="337"/>
      <c r="J937" s="337"/>
      <c r="M937" s="337"/>
      <c r="P937" s="337"/>
      <c r="S937" s="337"/>
      <c r="V937" s="337"/>
      <c r="Y937" s="337"/>
      <c r="AB937" s="337"/>
    </row>
    <row r="938" spans="1:28" x14ac:dyDescent="0.45">
      <c r="A938" s="337"/>
      <c r="D938" s="337"/>
      <c r="G938" s="337"/>
      <c r="J938" s="337"/>
      <c r="M938" s="337"/>
      <c r="P938" s="337"/>
      <c r="S938" s="337"/>
      <c r="V938" s="337"/>
      <c r="Y938" s="337"/>
      <c r="AB938" s="337"/>
    </row>
    <row r="939" spans="1:28" x14ac:dyDescent="0.45">
      <c r="A939" s="337"/>
      <c r="D939" s="337"/>
      <c r="G939" s="337"/>
      <c r="J939" s="337"/>
      <c r="M939" s="337"/>
      <c r="P939" s="337"/>
      <c r="S939" s="337"/>
      <c r="V939" s="337"/>
      <c r="Y939" s="337"/>
      <c r="AB939" s="337"/>
    </row>
    <row r="940" spans="1:28" x14ac:dyDescent="0.45">
      <c r="A940" s="337"/>
      <c r="D940" s="337"/>
      <c r="G940" s="337"/>
      <c r="J940" s="337"/>
      <c r="M940" s="337"/>
      <c r="P940" s="337"/>
      <c r="S940" s="337"/>
      <c r="V940" s="337"/>
      <c r="Y940" s="337"/>
      <c r="AB940" s="337"/>
    </row>
    <row r="941" spans="1:28" x14ac:dyDescent="0.45">
      <c r="A941" s="337"/>
      <c r="D941" s="337"/>
      <c r="G941" s="337"/>
      <c r="J941" s="337"/>
      <c r="M941" s="337"/>
      <c r="P941" s="337"/>
      <c r="S941" s="337"/>
      <c r="V941" s="337"/>
      <c r="Y941" s="337"/>
      <c r="AB941" s="337"/>
    </row>
    <row r="942" spans="1:28" x14ac:dyDescent="0.45">
      <c r="A942" s="337"/>
      <c r="D942" s="337"/>
      <c r="G942" s="337"/>
      <c r="J942" s="337"/>
      <c r="M942" s="337"/>
      <c r="P942" s="337"/>
      <c r="S942" s="337"/>
      <c r="V942" s="337"/>
      <c r="Y942" s="337"/>
      <c r="AB942" s="337"/>
    </row>
    <row r="943" spans="1:28" x14ac:dyDescent="0.45">
      <c r="A943" s="337"/>
      <c r="D943" s="337"/>
      <c r="G943" s="337"/>
      <c r="J943" s="337"/>
      <c r="M943" s="337"/>
      <c r="P943" s="337"/>
      <c r="S943" s="337"/>
      <c r="V943" s="337"/>
      <c r="Y943" s="337"/>
      <c r="AB943" s="337"/>
    </row>
    <row r="944" spans="1:28" x14ac:dyDescent="0.45">
      <c r="A944" s="337"/>
      <c r="D944" s="337"/>
      <c r="G944" s="337"/>
      <c r="J944" s="337"/>
      <c r="M944" s="337"/>
      <c r="P944" s="337"/>
      <c r="S944" s="337"/>
      <c r="V944" s="337"/>
      <c r="Y944" s="337"/>
      <c r="AB944" s="337"/>
    </row>
    <row r="945" spans="1:28" x14ac:dyDescent="0.45">
      <c r="A945" s="337"/>
      <c r="D945" s="337"/>
      <c r="G945" s="337"/>
      <c r="J945" s="337"/>
      <c r="M945" s="337"/>
      <c r="P945" s="337"/>
      <c r="S945" s="337"/>
      <c r="V945" s="337"/>
      <c r="Y945" s="337"/>
      <c r="AB945" s="337"/>
    </row>
    <row r="946" spans="1:28" x14ac:dyDescent="0.45">
      <c r="A946" s="337"/>
      <c r="D946" s="337"/>
      <c r="G946" s="337"/>
      <c r="J946" s="337"/>
      <c r="M946" s="337"/>
      <c r="P946" s="337"/>
      <c r="S946" s="337"/>
      <c r="V946" s="337"/>
      <c r="Y946" s="337"/>
      <c r="AB946" s="337"/>
    </row>
    <row r="947" spans="1:28" x14ac:dyDescent="0.45">
      <c r="A947" s="337"/>
      <c r="D947" s="337"/>
      <c r="G947" s="337"/>
      <c r="J947" s="337"/>
      <c r="M947" s="337"/>
      <c r="P947" s="337"/>
      <c r="S947" s="337"/>
      <c r="V947" s="337"/>
      <c r="Y947" s="337"/>
      <c r="AB947" s="337"/>
    </row>
    <row r="948" spans="1:28" x14ac:dyDescent="0.45">
      <c r="A948" s="337"/>
      <c r="D948" s="337"/>
      <c r="G948" s="337"/>
      <c r="J948" s="337"/>
      <c r="M948" s="337"/>
      <c r="P948" s="337"/>
      <c r="S948" s="337"/>
      <c r="V948" s="337"/>
      <c r="Y948" s="337"/>
      <c r="AB948" s="337"/>
    </row>
    <row r="949" spans="1:28" x14ac:dyDescent="0.45">
      <c r="A949" s="337"/>
      <c r="D949" s="337"/>
      <c r="G949" s="337"/>
      <c r="J949" s="337"/>
      <c r="M949" s="337"/>
      <c r="P949" s="337"/>
      <c r="S949" s="337"/>
      <c r="V949" s="337"/>
      <c r="Y949" s="337"/>
      <c r="AB949" s="337"/>
    </row>
    <row r="950" spans="1:28" x14ac:dyDescent="0.45">
      <c r="A950" s="337"/>
      <c r="D950" s="337"/>
      <c r="G950" s="337"/>
      <c r="J950" s="337"/>
      <c r="M950" s="337"/>
      <c r="P950" s="337"/>
      <c r="S950" s="337"/>
      <c r="V950" s="337"/>
      <c r="Y950" s="337"/>
      <c r="AB950" s="337"/>
    </row>
    <row r="951" spans="1:28" x14ac:dyDescent="0.45">
      <c r="A951" s="337"/>
      <c r="D951" s="337"/>
      <c r="G951" s="337"/>
      <c r="J951" s="337"/>
      <c r="M951" s="337"/>
      <c r="P951" s="337"/>
      <c r="S951" s="337"/>
      <c r="V951" s="337"/>
      <c r="Y951" s="337"/>
      <c r="AB951" s="337"/>
    </row>
    <row r="952" spans="1:28" x14ac:dyDescent="0.45">
      <c r="A952" s="337"/>
      <c r="D952" s="337"/>
      <c r="G952" s="337"/>
      <c r="J952" s="337"/>
      <c r="M952" s="337"/>
      <c r="P952" s="337"/>
      <c r="S952" s="337"/>
      <c r="V952" s="337"/>
      <c r="Y952" s="337"/>
      <c r="AB952" s="337"/>
    </row>
    <row r="953" spans="1:28" x14ac:dyDescent="0.45">
      <c r="A953" s="337"/>
      <c r="D953" s="337"/>
      <c r="G953" s="337"/>
      <c r="J953" s="337"/>
      <c r="M953" s="337"/>
      <c r="P953" s="337"/>
      <c r="S953" s="337"/>
      <c r="V953" s="337"/>
      <c r="Y953" s="337"/>
      <c r="AB953" s="337"/>
    </row>
    <row r="954" spans="1:28" x14ac:dyDescent="0.45">
      <c r="A954" s="337"/>
      <c r="D954" s="337"/>
      <c r="G954" s="337"/>
      <c r="J954" s="337"/>
      <c r="M954" s="337"/>
      <c r="P954" s="337"/>
      <c r="S954" s="337"/>
      <c r="V954" s="337"/>
      <c r="Y954" s="337"/>
      <c r="AB954" s="337"/>
    </row>
    <row r="955" spans="1:28" x14ac:dyDescent="0.45">
      <c r="A955" s="337"/>
      <c r="D955" s="337"/>
      <c r="G955" s="337"/>
      <c r="J955" s="337"/>
      <c r="M955" s="337"/>
      <c r="P955" s="337"/>
      <c r="S955" s="337"/>
      <c r="V955" s="337"/>
      <c r="Y955" s="337"/>
      <c r="AB955" s="337"/>
    </row>
    <row r="956" spans="1:28" x14ac:dyDescent="0.45">
      <c r="A956" s="337"/>
      <c r="D956" s="337"/>
      <c r="G956" s="337"/>
      <c r="J956" s="337"/>
      <c r="M956" s="337"/>
      <c r="P956" s="337"/>
      <c r="S956" s="337"/>
      <c r="V956" s="337"/>
      <c r="Y956" s="337"/>
      <c r="AB956" s="337"/>
    </row>
    <row r="957" spans="1:28" x14ac:dyDescent="0.45">
      <c r="A957" s="337"/>
      <c r="D957" s="337"/>
      <c r="G957" s="337"/>
      <c r="J957" s="337"/>
      <c r="M957" s="337"/>
      <c r="P957" s="337"/>
      <c r="S957" s="337"/>
      <c r="V957" s="337"/>
      <c r="Y957" s="337"/>
      <c r="AB957" s="337"/>
    </row>
    <row r="958" spans="1:28" x14ac:dyDescent="0.45">
      <c r="A958" s="337"/>
      <c r="D958" s="337"/>
      <c r="G958" s="337"/>
      <c r="J958" s="337"/>
      <c r="M958" s="337"/>
      <c r="P958" s="337"/>
      <c r="S958" s="337"/>
      <c r="V958" s="337"/>
      <c r="Y958" s="337"/>
      <c r="AB958" s="337"/>
    </row>
    <row r="959" spans="1:28" x14ac:dyDescent="0.45">
      <c r="A959" s="337"/>
      <c r="D959" s="337"/>
      <c r="G959" s="337"/>
      <c r="J959" s="337"/>
      <c r="M959" s="337"/>
      <c r="P959" s="337"/>
      <c r="S959" s="337"/>
      <c r="V959" s="337"/>
      <c r="Y959" s="337"/>
      <c r="AB959" s="337"/>
    </row>
    <row r="960" spans="1:28" x14ac:dyDescent="0.45">
      <c r="A960" s="337"/>
      <c r="D960" s="337"/>
      <c r="G960" s="337"/>
      <c r="J960" s="337"/>
      <c r="M960" s="337"/>
      <c r="P960" s="337"/>
      <c r="S960" s="337"/>
      <c r="V960" s="337"/>
      <c r="Y960" s="337"/>
      <c r="AB960" s="337"/>
    </row>
    <row r="961" spans="1:28" x14ac:dyDescent="0.45">
      <c r="A961" s="337"/>
      <c r="D961" s="337"/>
      <c r="G961" s="337"/>
      <c r="J961" s="337"/>
      <c r="M961" s="337"/>
      <c r="P961" s="337"/>
      <c r="S961" s="337"/>
      <c r="V961" s="337"/>
      <c r="Y961" s="337"/>
      <c r="AB961" s="337"/>
    </row>
    <row r="962" spans="1:28" x14ac:dyDescent="0.45">
      <c r="A962" s="337"/>
      <c r="D962" s="337"/>
      <c r="G962" s="337"/>
      <c r="J962" s="337"/>
      <c r="M962" s="337"/>
      <c r="P962" s="337"/>
      <c r="S962" s="337"/>
      <c r="V962" s="337"/>
      <c r="Y962" s="337"/>
      <c r="AB962" s="337"/>
    </row>
    <row r="963" spans="1:28" x14ac:dyDescent="0.45">
      <c r="A963" s="337"/>
      <c r="D963" s="337"/>
      <c r="G963" s="337"/>
      <c r="J963" s="337"/>
      <c r="M963" s="337"/>
      <c r="P963" s="337"/>
      <c r="S963" s="337"/>
      <c r="V963" s="337"/>
      <c r="Y963" s="337"/>
      <c r="AB963" s="337"/>
    </row>
    <row r="964" spans="1:28" x14ac:dyDescent="0.45">
      <c r="A964" s="337"/>
      <c r="D964" s="337"/>
      <c r="G964" s="337"/>
      <c r="J964" s="337"/>
      <c r="M964" s="337"/>
      <c r="P964" s="337"/>
      <c r="S964" s="337"/>
      <c r="V964" s="337"/>
      <c r="Y964" s="337"/>
      <c r="AB964" s="337"/>
    </row>
    <row r="965" spans="1:28" x14ac:dyDescent="0.45">
      <c r="A965" s="337"/>
      <c r="D965" s="337"/>
      <c r="G965" s="337"/>
      <c r="J965" s="337"/>
      <c r="M965" s="337"/>
      <c r="P965" s="337"/>
      <c r="S965" s="337"/>
      <c r="V965" s="337"/>
      <c r="Y965" s="337"/>
      <c r="AB965" s="337"/>
    </row>
    <row r="966" spans="1:28" x14ac:dyDescent="0.45">
      <c r="A966" s="337"/>
      <c r="D966" s="337"/>
      <c r="G966" s="337"/>
      <c r="J966" s="337"/>
      <c r="M966" s="337"/>
      <c r="P966" s="337"/>
      <c r="S966" s="337"/>
      <c r="V966" s="337"/>
      <c r="Y966" s="337"/>
      <c r="AB966" s="337"/>
    </row>
    <row r="967" spans="1:28" x14ac:dyDescent="0.45">
      <c r="A967" s="337"/>
      <c r="D967" s="337"/>
      <c r="G967" s="337"/>
      <c r="J967" s="337"/>
      <c r="M967" s="337"/>
      <c r="P967" s="337"/>
      <c r="S967" s="337"/>
      <c r="V967" s="337"/>
      <c r="Y967" s="337"/>
      <c r="AB967" s="337"/>
    </row>
    <row r="968" spans="1:28" x14ac:dyDescent="0.45">
      <c r="A968" s="337"/>
      <c r="D968" s="337"/>
      <c r="G968" s="337"/>
      <c r="J968" s="337"/>
      <c r="M968" s="337"/>
      <c r="P968" s="337"/>
      <c r="S968" s="337"/>
      <c r="V968" s="337"/>
      <c r="Y968" s="337"/>
      <c r="AB968" s="337"/>
    </row>
    <row r="969" spans="1:28" x14ac:dyDescent="0.45">
      <c r="A969" s="337"/>
      <c r="D969" s="337"/>
      <c r="G969" s="337"/>
      <c r="J969" s="337"/>
      <c r="M969" s="337"/>
      <c r="P969" s="337"/>
      <c r="S969" s="337"/>
      <c r="V969" s="337"/>
      <c r="Y969" s="337"/>
      <c r="AB969" s="337"/>
    </row>
    <row r="970" spans="1:28" x14ac:dyDescent="0.45">
      <c r="A970" s="337"/>
      <c r="D970" s="337"/>
      <c r="G970" s="337"/>
      <c r="J970" s="337"/>
      <c r="M970" s="337"/>
      <c r="P970" s="337"/>
      <c r="S970" s="337"/>
      <c r="V970" s="337"/>
      <c r="Y970" s="337"/>
      <c r="AB970" s="337"/>
    </row>
    <row r="971" spans="1:28" x14ac:dyDescent="0.45">
      <c r="A971" s="337"/>
      <c r="D971" s="337"/>
      <c r="G971" s="337"/>
      <c r="J971" s="337"/>
      <c r="M971" s="337"/>
      <c r="P971" s="337"/>
      <c r="S971" s="337"/>
      <c r="V971" s="337"/>
      <c r="Y971" s="337"/>
      <c r="AB971" s="337"/>
    </row>
    <row r="972" spans="1:28" x14ac:dyDescent="0.45">
      <c r="A972" s="337"/>
      <c r="D972" s="337"/>
      <c r="G972" s="337"/>
      <c r="J972" s="337"/>
      <c r="M972" s="337"/>
      <c r="P972" s="337"/>
      <c r="S972" s="337"/>
      <c r="V972" s="337"/>
      <c r="Y972" s="337"/>
      <c r="AB972" s="337"/>
    </row>
    <row r="973" spans="1:28" x14ac:dyDescent="0.45">
      <c r="A973" s="337"/>
      <c r="D973" s="337"/>
      <c r="G973" s="337"/>
      <c r="J973" s="337"/>
      <c r="M973" s="337"/>
      <c r="P973" s="337"/>
      <c r="S973" s="337"/>
      <c r="V973" s="337"/>
      <c r="Y973" s="337"/>
      <c r="AB973" s="337"/>
    </row>
    <row r="974" spans="1:28" x14ac:dyDescent="0.45">
      <c r="A974" s="337"/>
      <c r="D974" s="337"/>
      <c r="G974" s="337"/>
      <c r="J974" s="337"/>
      <c r="M974" s="337"/>
      <c r="P974" s="337"/>
      <c r="S974" s="337"/>
      <c r="V974" s="337"/>
      <c r="Y974" s="337"/>
      <c r="AB974" s="337"/>
    </row>
    <row r="975" spans="1:28" x14ac:dyDescent="0.45">
      <c r="A975" s="337"/>
      <c r="D975" s="337"/>
      <c r="G975" s="337"/>
      <c r="J975" s="337"/>
      <c r="M975" s="337"/>
      <c r="P975" s="337"/>
      <c r="S975" s="337"/>
      <c r="V975" s="337"/>
      <c r="Y975" s="337"/>
      <c r="AB975" s="337"/>
    </row>
    <row r="976" spans="1:28" x14ac:dyDescent="0.45">
      <c r="A976" s="337"/>
      <c r="D976" s="337"/>
      <c r="G976" s="337"/>
      <c r="J976" s="337"/>
      <c r="M976" s="337"/>
      <c r="P976" s="337"/>
      <c r="S976" s="337"/>
      <c r="V976" s="337"/>
      <c r="Y976" s="337"/>
      <c r="AB976" s="337"/>
    </row>
    <row r="977" spans="1:28" x14ac:dyDescent="0.45">
      <c r="A977" s="337"/>
      <c r="D977" s="337"/>
      <c r="G977" s="337"/>
      <c r="J977" s="337"/>
      <c r="M977" s="337"/>
      <c r="P977" s="337"/>
      <c r="S977" s="337"/>
      <c r="V977" s="337"/>
      <c r="Y977" s="337"/>
      <c r="AB977" s="337"/>
    </row>
    <row r="978" spans="1:28" x14ac:dyDescent="0.45">
      <c r="A978" s="337"/>
      <c r="D978" s="337"/>
      <c r="G978" s="337"/>
      <c r="J978" s="337"/>
      <c r="M978" s="337"/>
      <c r="P978" s="337"/>
      <c r="S978" s="337"/>
      <c r="V978" s="337"/>
      <c r="Y978" s="337"/>
      <c r="AB978" s="337"/>
    </row>
    <row r="979" spans="1:28" x14ac:dyDescent="0.45">
      <c r="A979" s="337"/>
      <c r="D979" s="337"/>
      <c r="G979" s="337"/>
      <c r="J979" s="337"/>
      <c r="M979" s="337"/>
      <c r="P979" s="337"/>
      <c r="S979" s="337"/>
      <c r="V979" s="337"/>
      <c r="Y979" s="337"/>
      <c r="AB979" s="337"/>
    </row>
    <row r="980" spans="1:28" x14ac:dyDescent="0.45">
      <c r="A980" s="337"/>
      <c r="D980" s="337"/>
      <c r="G980" s="337"/>
      <c r="J980" s="337"/>
      <c r="M980" s="337"/>
      <c r="P980" s="337"/>
      <c r="S980" s="337"/>
      <c r="V980" s="337"/>
      <c r="Y980" s="337"/>
      <c r="AB980" s="337"/>
    </row>
    <row r="981" spans="1:28" x14ac:dyDescent="0.45">
      <c r="A981" s="337"/>
      <c r="D981" s="337"/>
      <c r="G981" s="337"/>
      <c r="J981" s="337"/>
      <c r="M981" s="337"/>
      <c r="P981" s="337"/>
      <c r="S981" s="337"/>
      <c r="V981" s="337"/>
      <c r="Y981" s="337"/>
      <c r="AB981" s="337"/>
    </row>
    <row r="982" spans="1:28" x14ac:dyDescent="0.45">
      <c r="A982" s="337"/>
      <c r="D982" s="337"/>
      <c r="G982" s="337"/>
      <c r="J982" s="337"/>
      <c r="M982" s="337"/>
      <c r="P982" s="337"/>
      <c r="S982" s="337"/>
      <c r="V982" s="337"/>
      <c r="Y982" s="337"/>
      <c r="AB982" s="337"/>
    </row>
    <row r="983" spans="1:28" x14ac:dyDescent="0.45">
      <c r="A983" s="337"/>
      <c r="D983" s="337"/>
      <c r="G983" s="337"/>
      <c r="J983" s="337"/>
      <c r="M983" s="337"/>
      <c r="P983" s="337"/>
      <c r="S983" s="337"/>
      <c r="V983" s="337"/>
      <c r="Y983" s="337"/>
      <c r="AB983" s="337"/>
    </row>
    <row r="984" spans="1:28" x14ac:dyDescent="0.45">
      <c r="A984" s="337"/>
      <c r="D984" s="337"/>
      <c r="G984" s="337"/>
      <c r="J984" s="337"/>
      <c r="M984" s="337"/>
      <c r="P984" s="337"/>
      <c r="S984" s="337"/>
      <c r="V984" s="337"/>
      <c r="Y984" s="337"/>
      <c r="AB984" s="337"/>
    </row>
    <row r="985" spans="1:28" x14ac:dyDescent="0.45">
      <c r="A985" s="337"/>
      <c r="D985" s="337"/>
      <c r="G985" s="337"/>
      <c r="J985" s="337"/>
      <c r="M985" s="337"/>
      <c r="P985" s="337"/>
      <c r="S985" s="337"/>
      <c r="V985" s="337"/>
      <c r="Y985" s="337"/>
      <c r="AB985" s="337"/>
    </row>
    <row r="986" spans="1:28" x14ac:dyDescent="0.45">
      <c r="A986" s="337"/>
      <c r="D986" s="337"/>
      <c r="G986" s="337"/>
      <c r="J986" s="337"/>
      <c r="M986" s="337"/>
      <c r="P986" s="337"/>
      <c r="S986" s="337"/>
      <c r="V986" s="337"/>
      <c r="Y986" s="337"/>
      <c r="AB986" s="337"/>
    </row>
    <row r="987" spans="1:28" x14ac:dyDescent="0.45">
      <c r="A987" s="337"/>
      <c r="D987" s="337"/>
      <c r="G987" s="337"/>
      <c r="J987" s="337"/>
      <c r="M987" s="337"/>
      <c r="P987" s="337"/>
      <c r="S987" s="337"/>
      <c r="V987" s="337"/>
      <c r="Y987" s="337"/>
      <c r="AB987" s="337"/>
    </row>
    <row r="988" spans="1:28" x14ac:dyDescent="0.45">
      <c r="A988" s="337"/>
      <c r="D988" s="337"/>
      <c r="G988" s="337"/>
      <c r="J988" s="337"/>
      <c r="M988" s="337"/>
      <c r="P988" s="337"/>
      <c r="S988" s="337"/>
      <c r="V988" s="337"/>
      <c r="Y988" s="337"/>
      <c r="AB988" s="337"/>
    </row>
    <row r="989" spans="1:28" x14ac:dyDescent="0.45">
      <c r="A989" s="337"/>
      <c r="D989" s="337"/>
      <c r="G989" s="337"/>
      <c r="J989" s="337"/>
      <c r="M989" s="337"/>
      <c r="P989" s="337"/>
      <c r="S989" s="337"/>
      <c r="V989" s="337"/>
      <c r="Y989" s="337"/>
      <c r="AB989" s="337"/>
    </row>
    <row r="990" spans="1:28" x14ac:dyDescent="0.45">
      <c r="A990" s="337"/>
      <c r="D990" s="337"/>
      <c r="G990" s="337"/>
      <c r="J990" s="337"/>
      <c r="M990" s="337"/>
      <c r="P990" s="337"/>
      <c r="S990" s="337"/>
      <c r="V990" s="337"/>
      <c r="Y990" s="337"/>
      <c r="AB990" s="337"/>
    </row>
    <row r="991" spans="1:28" x14ac:dyDescent="0.45">
      <c r="A991" s="337"/>
      <c r="D991" s="337"/>
      <c r="G991" s="337"/>
      <c r="J991" s="337"/>
      <c r="M991" s="337"/>
      <c r="P991" s="337"/>
      <c r="S991" s="337"/>
      <c r="V991" s="337"/>
      <c r="Y991" s="337"/>
      <c r="AB991" s="337"/>
    </row>
    <row r="992" spans="1:28" x14ac:dyDescent="0.45">
      <c r="A992" s="337"/>
      <c r="D992" s="337"/>
      <c r="G992" s="337"/>
      <c r="J992" s="337"/>
      <c r="M992" s="337"/>
      <c r="P992" s="337"/>
      <c r="S992" s="337"/>
      <c r="V992" s="337"/>
      <c r="Y992" s="337"/>
      <c r="AB992" s="337"/>
    </row>
    <row r="993" spans="1:28" x14ac:dyDescent="0.45">
      <c r="A993" s="337"/>
      <c r="D993" s="337"/>
      <c r="G993" s="337"/>
      <c r="J993" s="337"/>
      <c r="M993" s="337"/>
      <c r="P993" s="337"/>
      <c r="S993" s="337"/>
      <c r="V993" s="337"/>
      <c r="Y993" s="337"/>
      <c r="AB993" s="337"/>
    </row>
    <row r="994" spans="1:28" x14ac:dyDescent="0.45">
      <c r="A994" s="337"/>
      <c r="D994" s="337"/>
      <c r="G994" s="337"/>
      <c r="J994" s="337"/>
      <c r="M994" s="337"/>
      <c r="P994" s="337"/>
      <c r="S994" s="337"/>
      <c r="V994" s="337"/>
      <c r="Y994" s="337"/>
      <c r="AB994" s="337"/>
    </row>
    <row r="995" spans="1:28" x14ac:dyDescent="0.45">
      <c r="A995" s="337"/>
      <c r="D995" s="337"/>
      <c r="G995" s="337"/>
      <c r="J995" s="337"/>
      <c r="M995" s="337"/>
      <c r="P995" s="337"/>
      <c r="S995" s="337"/>
      <c r="V995" s="337"/>
      <c r="Y995" s="337"/>
      <c r="AB995" s="337"/>
    </row>
    <row r="996" spans="1:28" x14ac:dyDescent="0.45">
      <c r="A996" s="337"/>
      <c r="D996" s="337"/>
      <c r="G996" s="337"/>
      <c r="J996" s="337"/>
      <c r="M996" s="337"/>
      <c r="P996" s="337"/>
      <c r="S996" s="337"/>
      <c r="V996" s="337"/>
      <c r="Y996" s="337"/>
      <c r="AB996" s="337"/>
    </row>
    <row r="997" spans="1:28" x14ac:dyDescent="0.45">
      <c r="A997" s="337"/>
      <c r="D997" s="337"/>
      <c r="G997" s="337"/>
      <c r="J997" s="337"/>
      <c r="M997" s="337"/>
      <c r="P997" s="337"/>
      <c r="S997" s="337"/>
      <c r="V997" s="337"/>
      <c r="Y997" s="337"/>
      <c r="AB997" s="337"/>
    </row>
    <row r="998" spans="1:28" x14ac:dyDescent="0.45">
      <c r="A998" s="337"/>
      <c r="D998" s="337"/>
      <c r="G998" s="337"/>
      <c r="J998" s="337"/>
      <c r="M998" s="337"/>
      <c r="P998" s="337"/>
      <c r="S998" s="337"/>
      <c r="V998" s="337"/>
      <c r="Y998" s="337"/>
      <c r="AB998" s="337"/>
    </row>
    <row r="999" spans="1:28" x14ac:dyDescent="0.45">
      <c r="A999" s="337"/>
      <c r="D999" s="337"/>
      <c r="G999" s="337"/>
      <c r="J999" s="337"/>
      <c r="M999" s="337"/>
      <c r="P999" s="337"/>
      <c r="S999" s="337"/>
      <c r="V999" s="337"/>
      <c r="Y999" s="337"/>
      <c r="AB999" s="337"/>
    </row>
    <row r="1000" spans="1:28" x14ac:dyDescent="0.45">
      <c r="A1000" s="337"/>
      <c r="D1000" s="337"/>
      <c r="G1000" s="337"/>
      <c r="J1000" s="337"/>
      <c r="M1000" s="337"/>
      <c r="P1000" s="337"/>
      <c r="S1000" s="337"/>
      <c r="V1000" s="337"/>
      <c r="Y1000" s="337"/>
      <c r="AB1000" s="337"/>
    </row>
    <row r="1001" spans="1:28" x14ac:dyDescent="0.45">
      <c r="A1001" s="337"/>
      <c r="D1001" s="337"/>
      <c r="G1001" s="337"/>
      <c r="J1001" s="337"/>
      <c r="M1001" s="337"/>
      <c r="P1001" s="337"/>
      <c r="S1001" s="337"/>
      <c r="V1001" s="337"/>
      <c r="Y1001" s="337"/>
      <c r="AB1001" s="337"/>
    </row>
    <row r="1002" spans="1:28" x14ac:dyDescent="0.45">
      <c r="A1002" s="337"/>
      <c r="D1002" s="337"/>
      <c r="G1002" s="337"/>
      <c r="J1002" s="337"/>
      <c r="M1002" s="337"/>
      <c r="P1002" s="337"/>
      <c r="S1002" s="337"/>
      <c r="V1002" s="337"/>
      <c r="Y1002" s="337"/>
      <c r="AB1002" s="337"/>
    </row>
    <row r="1003" spans="1:28" x14ac:dyDescent="0.45">
      <c r="A1003" s="337"/>
      <c r="D1003" s="337"/>
      <c r="G1003" s="337"/>
      <c r="J1003" s="337"/>
      <c r="M1003" s="337"/>
      <c r="P1003" s="337"/>
      <c r="S1003" s="337"/>
      <c r="V1003" s="337"/>
      <c r="Y1003" s="337"/>
      <c r="AB1003" s="337"/>
    </row>
    <row r="1004" spans="1:28" x14ac:dyDescent="0.45">
      <c r="A1004" s="337"/>
      <c r="D1004" s="337"/>
      <c r="G1004" s="337"/>
      <c r="J1004" s="337"/>
      <c r="M1004" s="337"/>
      <c r="P1004" s="337"/>
      <c r="S1004" s="337"/>
      <c r="V1004" s="337"/>
      <c r="Y1004" s="337"/>
      <c r="AB1004" s="337"/>
    </row>
    <row r="1005" spans="1:28" x14ac:dyDescent="0.45">
      <c r="A1005" s="337"/>
      <c r="D1005" s="337"/>
      <c r="G1005" s="337"/>
      <c r="J1005" s="337"/>
      <c r="M1005" s="337"/>
      <c r="P1005" s="337"/>
      <c r="S1005" s="337"/>
      <c r="V1005" s="337"/>
      <c r="Y1005" s="337"/>
      <c r="AB1005" s="337"/>
    </row>
    <row r="1006" spans="1:28" x14ac:dyDescent="0.45">
      <c r="A1006" s="337"/>
      <c r="D1006" s="337"/>
      <c r="G1006" s="337"/>
      <c r="J1006" s="337"/>
      <c r="M1006" s="337"/>
      <c r="P1006" s="337"/>
      <c r="S1006" s="337"/>
      <c r="V1006" s="337"/>
      <c r="Y1006" s="337"/>
      <c r="AB1006" s="337"/>
    </row>
    <row r="1007" spans="1:28" x14ac:dyDescent="0.45">
      <c r="A1007" s="337"/>
      <c r="D1007" s="337"/>
      <c r="G1007" s="337"/>
      <c r="J1007" s="337"/>
      <c r="M1007" s="337"/>
      <c r="P1007" s="337"/>
      <c r="S1007" s="337"/>
      <c r="V1007" s="337"/>
      <c r="Y1007" s="337"/>
      <c r="AB1007" s="337"/>
    </row>
    <row r="1008" spans="1:28" x14ac:dyDescent="0.45">
      <c r="A1008" s="337"/>
      <c r="D1008" s="337"/>
      <c r="G1008" s="337"/>
      <c r="J1008" s="337"/>
      <c r="M1008" s="337"/>
      <c r="P1008" s="337"/>
      <c r="S1008" s="337"/>
      <c r="V1008" s="337"/>
      <c r="Y1008" s="337"/>
      <c r="AB1008" s="337"/>
    </row>
    <row r="1009" spans="1:28" x14ac:dyDescent="0.45">
      <c r="A1009" s="337"/>
      <c r="D1009" s="337"/>
      <c r="G1009" s="337"/>
      <c r="J1009" s="337"/>
      <c r="M1009" s="337"/>
      <c r="P1009" s="337"/>
      <c r="S1009" s="337"/>
      <c r="V1009" s="337"/>
      <c r="Y1009" s="337"/>
      <c r="AB1009" s="337"/>
    </row>
    <row r="1010" spans="1:28" x14ac:dyDescent="0.45">
      <c r="A1010" s="337"/>
      <c r="D1010" s="337"/>
      <c r="G1010" s="337"/>
      <c r="J1010" s="337"/>
      <c r="M1010" s="337"/>
      <c r="P1010" s="337"/>
      <c r="S1010" s="337"/>
      <c r="V1010" s="337"/>
      <c r="Y1010" s="337"/>
      <c r="AB1010" s="337"/>
    </row>
    <row r="1011" spans="1:28" x14ac:dyDescent="0.45">
      <c r="A1011" s="337"/>
      <c r="D1011" s="337"/>
      <c r="G1011" s="337"/>
      <c r="J1011" s="337"/>
      <c r="M1011" s="337"/>
      <c r="P1011" s="337"/>
      <c r="S1011" s="337"/>
      <c r="V1011" s="337"/>
      <c r="Y1011" s="337"/>
      <c r="AB1011" s="337"/>
    </row>
    <row r="1012" spans="1:28" x14ac:dyDescent="0.45">
      <c r="A1012" s="337"/>
      <c r="D1012" s="337"/>
      <c r="G1012" s="337"/>
      <c r="J1012" s="337"/>
      <c r="M1012" s="337"/>
      <c r="P1012" s="337"/>
      <c r="S1012" s="337"/>
      <c r="V1012" s="337"/>
      <c r="Y1012" s="337"/>
      <c r="AB1012" s="337"/>
    </row>
    <row r="1013" spans="1:28" x14ac:dyDescent="0.45">
      <c r="A1013" s="337"/>
      <c r="D1013" s="337"/>
      <c r="G1013" s="337"/>
      <c r="J1013" s="337"/>
      <c r="M1013" s="337"/>
      <c r="P1013" s="337"/>
      <c r="S1013" s="337"/>
      <c r="V1013" s="337"/>
      <c r="Y1013" s="337"/>
      <c r="AB1013" s="337"/>
    </row>
    <row r="1014" spans="1:28" x14ac:dyDescent="0.45">
      <c r="A1014" s="337"/>
      <c r="D1014" s="337"/>
      <c r="G1014" s="337"/>
      <c r="J1014" s="337"/>
      <c r="M1014" s="337"/>
      <c r="P1014" s="337"/>
      <c r="S1014" s="337"/>
      <c r="V1014" s="337"/>
      <c r="Y1014" s="337"/>
      <c r="AB1014" s="337"/>
    </row>
    <row r="1015" spans="1:28" x14ac:dyDescent="0.45">
      <c r="A1015" s="337"/>
      <c r="D1015" s="337"/>
      <c r="G1015" s="337"/>
      <c r="J1015" s="337"/>
      <c r="M1015" s="337"/>
      <c r="P1015" s="337"/>
      <c r="S1015" s="337"/>
      <c r="V1015" s="337"/>
      <c r="Y1015" s="337"/>
      <c r="AB1015" s="337"/>
    </row>
    <row r="1016" spans="1:28" x14ac:dyDescent="0.45">
      <c r="A1016" s="337"/>
      <c r="D1016" s="337"/>
      <c r="G1016" s="337"/>
      <c r="J1016" s="337"/>
      <c r="M1016" s="337"/>
      <c r="P1016" s="337"/>
      <c r="S1016" s="337"/>
      <c r="V1016" s="337"/>
      <c r="Y1016" s="337"/>
      <c r="AB1016" s="337"/>
    </row>
    <row r="1017" spans="1:28" x14ac:dyDescent="0.45">
      <c r="A1017" s="337"/>
      <c r="D1017" s="337"/>
      <c r="G1017" s="337"/>
      <c r="J1017" s="337"/>
      <c r="M1017" s="337"/>
      <c r="P1017" s="337"/>
      <c r="S1017" s="337"/>
      <c r="V1017" s="337"/>
      <c r="Y1017" s="337"/>
      <c r="AB1017" s="337"/>
    </row>
    <row r="1018" spans="1:28" x14ac:dyDescent="0.45">
      <c r="A1018" s="337"/>
      <c r="D1018" s="337"/>
      <c r="G1018" s="337"/>
      <c r="J1018" s="337"/>
      <c r="M1018" s="337"/>
      <c r="P1018" s="337"/>
      <c r="S1018" s="337"/>
      <c r="V1018" s="337"/>
      <c r="Y1018" s="337"/>
      <c r="AB1018" s="337"/>
    </row>
    <row r="1019" spans="1:28" x14ac:dyDescent="0.45">
      <c r="A1019" s="337"/>
      <c r="D1019" s="337"/>
      <c r="G1019" s="337"/>
      <c r="J1019" s="337"/>
      <c r="M1019" s="337"/>
      <c r="P1019" s="337"/>
      <c r="S1019" s="337"/>
      <c r="V1019" s="337"/>
      <c r="Y1019" s="337"/>
      <c r="AB1019" s="337"/>
    </row>
    <row r="1020" spans="1:28" x14ac:dyDescent="0.45">
      <c r="A1020" s="337"/>
      <c r="D1020" s="337"/>
      <c r="G1020" s="337"/>
      <c r="J1020" s="337"/>
      <c r="M1020" s="337"/>
      <c r="P1020" s="337"/>
      <c r="S1020" s="337"/>
      <c r="V1020" s="337"/>
      <c r="Y1020" s="337"/>
      <c r="AB1020" s="337"/>
    </row>
    <row r="1021" spans="1:28" x14ac:dyDescent="0.45">
      <c r="A1021" s="337"/>
      <c r="D1021" s="337"/>
      <c r="G1021" s="337"/>
      <c r="J1021" s="337"/>
      <c r="M1021" s="337"/>
      <c r="P1021" s="337"/>
      <c r="S1021" s="337"/>
      <c r="V1021" s="337"/>
      <c r="Y1021" s="337"/>
      <c r="AB1021" s="337"/>
    </row>
    <row r="1022" spans="1:28" x14ac:dyDescent="0.45">
      <c r="A1022" s="337"/>
      <c r="D1022" s="337"/>
      <c r="G1022" s="337"/>
      <c r="J1022" s="337"/>
      <c r="M1022" s="337"/>
      <c r="P1022" s="337"/>
      <c r="S1022" s="337"/>
      <c r="V1022" s="337"/>
      <c r="Y1022" s="337"/>
      <c r="AB1022" s="337"/>
    </row>
    <row r="1023" spans="1:28" x14ac:dyDescent="0.45">
      <c r="A1023" s="337"/>
      <c r="D1023" s="337"/>
      <c r="G1023" s="337"/>
      <c r="J1023" s="337"/>
      <c r="M1023" s="337"/>
      <c r="P1023" s="337"/>
      <c r="S1023" s="337"/>
      <c r="V1023" s="337"/>
      <c r="Y1023" s="337"/>
      <c r="AB1023" s="337"/>
    </row>
    <row r="1024" spans="1:28" x14ac:dyDescent="0.45">
      <c r="A1024" s="337"/>
      <c r="D1024" s="337"/>
      <c r="G1024" s="337"/>
      <c r="J1024" s="337"/>
      <c r="M1024" s="337"/>
      <c r="P1024" s="337"/>
      <c r="S1024" s="337"/>
      <c r="V1024" s="337"/>
      <c r="Y1024" s="337"/>
      <c r="AB1024" s="337"/>
    </row>
    <row r="1025" spans="1:28" x14ac:dyDescent="0.45">
      <c r="A1025" s="337"/>
      <c r="D1025" s="337"/>
      <c r="G1025" s="337"/>
      <c r="J1025" s="337"/>
      <c r="M1025" s="337"/>
      <c r="P1025" s="337"/>
      <c r="S1025" s="337"/>
      <c r="V1025" s="337"/>
      <c r="Y1025" s="337"/>
      <c r="AB1025" s="337"/>
    </row>
    <row r="1026" spans="1:28" x14ac:dyDescent="0.45">
      <c r="A1026" s="337"/>
      <c r="D1026" s="337"/>
      <c r="G1026" s="337"/>
      <c r="J1026" s="337"/>
      <c r="M1026" s="337"/>
      <c r="P1026" s="337"/>
      <c r="S1026" s="337"/>
      <c r="V1026" s="337"/>
      <c r="Y1026" s="337"/>
      <c r="AB1026" s="337"/>
    </row>
    <row r="1027" spans="1:28" x14ac:dyDescent="0.45">
      <c r="A1027" s="337"/>
      <c r="D1027" s="337"/>
      <c r="G1027" s="337"/>
      <c r="J1027" s="337"/>
      <c r="M1027" s="337"/>
      <c r="P1027" s="337"/>
      <c r="S1027" s="337"/>
      <c r="V1027" s="337"/>
      <c r="Y1027" s="337"/>
      <c r="AB1027" s="337"/>
    </row>
    <row r="1028" spans="1:28" x14ac:dyDescent="0.45">
      <c r="A1028" s="337"/>
      <c r="D1028" s="337"/>
      <c r="G1028" s="337"/>
      <c r="J1028" s="337"/>
      <c r="M1028" s="337"/>
      <c r="P1028" s="337"/>
      <c r="S1028" s="337"/>
      <c r="V1028" s="337"/>
      <c r="Y1028" s="337"/>
      <c r="AB1028" s="337"/>
    </row>
    <row r="1029" spans="1:28" x14ac:dyDescent="0.45">
      <c r="A1029" s="337"/>
      <c r="D1029" s="337"/>
      <c r="G1029" s="337"/>
      <c r="J1029" s="337"/>
      <c r="M1029" s="337"/>
      <c r="P1029" s="337"/>
      <c r="S1029" s="337"/>
      <c r="V1029" s="337"/>
      <c r="Y1029" s="337"/>
      <c r="AB1029" s="337"/>
    </row>
  </sheetData>
  <mergeCells count="11">
    <mergeCell ref="A28:AD28"/>
    <mergeCell ref="A2:AD2"/>
    <mergeCell ref="A10:AD10"/>
    <mergeCell ref="A13:AD13"/>
    <mergeCell ref="A18:AD18"/>
    <mergeCell ref="A22:AD22"/>
    <mergeCell ref="A32:AD32"/>
    <mergeCell ref="A39:AD39"/>
    <mergeCell ref="A56:AD56"/>
    <mergeCell ref="A64:AD64"/>
    <mergeCell ref="A74:AD74"/>
  </mergeCells>
  <phoneticPr fontId="2"/>
  <pageMargins left="0.70866141732283472" right="0.70866141732283472" top="0.74803149606299213" bottom="0.74803149606299213" header="0.31496062992125984" footer="0.31496062992125984"/>
  <pageSetup paperSize="8" scale="56" fitToHeight="0" orientation="landscape" r:id="rId1"/>
  <rowBreaks count="1" manualBreakCount="1">
    <brk id="55" max="2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D321-EAE6-46EF-8221-A787B480EFFA}">
  <sheetPr codeName="Sheet9">
    <pageSetUpPr fitToPage="1"/>
  </sheetPr>
  <dimension ref="A1:AP1120"/>
  <sheetViews>
    <sheetView showGridLines="0" view="pageBreakPreview" zoomScale="60" zoomScaleNormal="100" workbookViewId="0">
      <pane xSplit="1" ySplit="1" topLeftCell="B2" activePane="bottomRight" state="frozen"/>
      <selection pane="topRight" activeCell="B1" sqref="B1"/>
      <selection pane="bottomLeft" activeCell="A2" sqref="A2"/>
      <selection pane="bottomRight" activeCell="M86" sqref="M86"/>
    </sheetView>
  </sheetViews>
  <sheetFormatPr defaultColWidth="8.8984375" defaultRowHeight="17.399999999999999" x14ac:dyDescent="0.45"/>
  <cols>
    <col min="1" max="1" width="10.5" style="144" bestFit="1" customWidth="1"/>
    <col min="2" max="2" width="26" style="253" bestFit="1" customWidth="1"/>
    <col min="3" max="3" width="3.19921875" style="120" customWidth="1"/>
    <col min="4" max="4" width="17.19921875" style="15" bestFit="1" customWidth="1"/>
    <col min="5" max="5" width="7.3984375" style="13" customWidth="1"/>
    <col min="6" max="6" width="3.19921875" style="120" customWidth="1"/>
    <col min="7" max="7" width="17.19921875" style="15" bestFit="1" customWidth="1"/>
    <col min="8" max="8" width="7.3984375" style="13" customWidth="1"/>
    <col min="9" max="9" width="3.19921875" style="120" customWidth="1"/>
    <col min="10" max="10" width="17.19921875" style="15" bestFit="1" customWidth="1"/>
    <col min="11" max="11" width="7.3984375" style="15" bestFit="1" customWidth="1"/>
    <col min="12" max="12" width="3.19921875" style="120" customWidth="1"/>
    <col min="13" max="13" width="17.19921875" style="15" bestFit="1" customWidth="1"/>
    <col min="14" max="14" width="7.3984375" style="15" bestFit="1" customWidth="1"/>
    <col min="15" max="15" width="3.19921875" style="120" customWidth="1"/>
    <col min="16" max="16" width="23" style="15" bestFit="1" customWidth="1"/>
    <col min="17" max="17" width="7.3984375" style="15" bestFit="1" customWidth="1"/>
    <col min="18" max="18" width="3.19921875" style="120" customWidth="1"/>
    <col min="19" max="19" width="23" style="15" bestFit="1" customWidth="1"/>
    <col min="20" max="20" width="10.69921875" style="15" bestFit="1" customWidth="1"/>
    <col min="21" max="21" width="3.19921875" style="120" customWidth="1"/>
    <col min="22" max="22" width="23" style="15" bestFit="1" customWidth="1"/>
    <col min="23" max="23" width="7.3984375" style="15" customWidth="1"/>
    <col min="24" max="24" width="3.19921875" style="120" customWidth="1"/>
    <col min="25" max="25" width="20.69921875" style="15" bestFit="1" customWidth="1"/>
    <col min="26" max="26" width="9.09765625" style="15" bestFit="1" customWidth="1"/>
    <col min="27" max="27" width="3.19921875" style="120" customWidth="1"/>
    <col min="28" max="28" width="21.19921875" style="15" bestFit="1" customWidth="1"/>
    <col min="29" max="29" width="10.69921875" style="15" customWidth="1"/>
    <col min="30" max="30" width="3.19921875" style="120" customWidth="1"/>
    <col min="31" max="31" width="23" style="15" bestFit="1" customWidth="1"/>
    <col min="32" max="32" width="4.19921875" style="15" bestFit="1" customWidth="1"/>
    <col min="33" max="37" width="8.8984375" style="15"/>
    <col min="38" max="38" width="8.8984375" style="312"/>
    <col min="39" max="39" width="10.5" style="144" bestFit="1" customWidth="1"/>
    <col min="40" max="16384" width="8.8984375" style="15"/>
  </cols>
  <sheetData>
    <row r="1" spans="1:42" s="13" customFormat="1" ht="18" thickBot="1" x14ac:dyDescent="0.5">
      <c r="A1" s="145" t="s">
        <v>434</v>
      </c>
      <c r="B1" s="218"/>
      <c r="C1" s="121"/>
      <c r="D1" s="70" t="s">
        <v>442</v>
      </c>
      <c r="E1" s="150"/>
      <c r="F1" s="108"/>
      <c r="G1" s="11" t="s">
        <v>443</v>
      </c>
      <c r="H1" s="150"/>
      <c r="I1" s="108"/>
      <c r="J1" s="11" t="s">
        <v>444</v>
      </c>
      <c r="K1" s="150"/>
      <c r="L1" s="108"/>
      <c r="M1" s="11" t="s">
        <v>445</v>
      </c>
      <c r="N1" s="150"/>
      <c r="O1" s="108"/>
      <c r="P1" s="11" t="s">
        <v>446</v>
      </c>
      <c r="Q1" s="150"/>
      <c r="R1" s="108"/>
      <c r="S1" s="11" t="s">
        <v>447</v>
      </c>
      <c r="T1" s="150"/>
      <c r="U1" s="108"/>
      <c r="V1" s="11" t="s">
        <v>448</v>
      </c>
      <c r="W1" s="150"/>
      <c r="X1" s="108"/>
      <c r="Y1" s="11" t="s">
        <v>449</v>
      </c>
      <c r="Z1" s="150"/>
      <c r="AA1" s="108"/>
      <c r="AB1" s="11" t="s">
        <v>450</v>
      </c>
      <c r="AC1" s="150"/>
      <c r="AD1" s="108"/>
      <c r="AE1" s="93" t="s">
        <v>451</v>
      </c>
      <c r="AF1" s="12"/>
      <c r="AI1" s="13">
        <f>COUNTA(Y2:Y180)</f>
        <v>42</v>
      </c>
      <c r="AJ1" s="13">
        <f>COUNTA(AB2:AB180)</f>
        <v>46</v>
      </c>
      <c r="AK1" s="13">
        <f>COUNTA(AE2:AE180)</f>
        <v>32</v>
      </c>
      <c r="AL1" s="312"/>
      <c r="AM1" s="149" t="s">
        <v>434</v>
      </c>
      <c r="AP1" s="13" t="s">
        <v>732</v>
      </c>
    </row>
    <row r="2" spans="1:42" ht="35.4" thickBot="1" x14ac:dyDescent="0.5">
      <c r="A2" s="133" t="s">
        <v>435</v>
      </c>
      <c r="B2" s="219" t="s">
        <v>587</v>
      </c>
      <c r="C2" s="122" t="s">
        <v>696</v>
      </c>
      <c r="D2" s="71" t="s">
        <v>452</v>
      </c>
      <c r="E2" s="193" t="s">
        <v>707</v>
      </c>
      <c r="F2" s="107" t="s">
        <v>696</v>
      </c>
      <c r="G2" s="23" t="s">
        <v>456</v>
      </c>
      <c r="H2" s="193" t="s">
        <v>708</v>
      </c>
      <c r="I2" s="107"/>
      <c r="J2" s="23"/>
      <c r="K2" s="151"/>
      <c r="L2" s="107"/>
      <c r="M2" s="23"/>
      <c r="N2" s="151"/>
      <c r="O2" s="107"/>
      <c r="P2" s="23"/>
      <c r="Q2" s="151"/>
      <c r="R2" s="107"/>
      <c r="S2" s="23"/>
      <c r="T2" s="151"/>
      <c r="U2" s="107"/>
      <c r="V2" s="23"/>
      <c r="W2" s="151"/>
      <c r="X2" s="107"/>
      <c r="Y2" s="60"/>
      <c r="Z2" s="179"/>
      <c r="AA2" s="107" t="s">
        <v>696</v>
      </c>
      <c r="AB2" s="60" t="s">
        <v>473</v>
      </c>
      <c r="AC2" s="179" t="s">
        <v>708</v>
      </c>
      <c r="AD2" s="107"/>
      <c r="AE2" s="94"/>
      <c r="AF2" s="61"/>
      <c r="AI2" s="15">
        <f>COUNTA(Y2:Y52)</f>
        <v>13</v>
      </c>
      <c r="AJ2" s="15">
        <f>COUNTA(AB2:AB52)</f>
        <v>13</v>
      </c>
      <c r="AK2" s="15">
        <f>COUNTA(AE2:AE52)</f>
        <v>0</v>
      </c>
      <c r="AM2" s="148" t="s">
        <v>435</v>
      </c>
      <c r="AN2" s="15">
        <f>COUNTA(D2:D20,G2:G20,J2:J20,M2:M20,P2:P20,S2:S20,V2:V20,Y2:Y20,AB2:AB20,AE2:AE20)</f>
        <v>28</v>
      </c>
      <c r="AP2" s="15">
        <f>COUNTA(Y2:Y20,AB2:AB20,AE2:AE20)</f>
        <v>9</v>
      </c>
    </row>
    <row r="3" spans="1:42" ht="35.4" thickBot="1" x14ac:dyDescent="0.5">
      <c r="A3" s="134"/>
      <c r="B3" s="220" t="s">
        <v>586</v>
      </c>
      <c r="C3" s="122" t="s">
        <v>696</v>
      </c>
      <c r="D3" s="72" t="s">
        <v>455</v>
      </c>
      <c r="E3" s="13" t="s">
        <v>708</v>
      </c>
      <c r="F3" s="112"/>
      <c r="G3" s="18"/>
      <c r="I3" s="112"/>
      <c r="J3" s="18"/>
      <c r="L3" s="112"/>
      <c r="M3" s="18"/>
      <c r="O3" s="112"/>
      <c r="P3" s="18"/>
      <c r="R3" s="112"/>
      <c r="S3" s="18"/>
      <c r="U3" s="112"/>
      <c r="V3" s="18"/>
      <c r="X3" s="112"/>
      <c r="Y3" s="52"/>
      <c r="Z3" s="180"/>
      <c r="AA3" s="112"/>
      <c r="AB3" s="52"/>
      <c r="AC3" s="180"/>
      <c r="AD3" s="112"/>
      <c r="AE3" s="95"/>
      <c r="AF3" s="59"/>
      <c r="AI3" s="15">
        <f>COUNTA(Y53:Y180)</f>
        <v>29</v>
      </c>
      <c r="AJ3" s="15">
        <f>COUNTA(AB53:AB180)</f>
        <v>33</v>
      </c>
      <c r="AK3" s="15">
        <f>COUNTA(AE53:AE180)</f>
        <v>32</v>
      </c>
      <c r="AL3" s="312" t="s">
        <v>733</v>
      </c>
      <c r="AM3" s="146" t="s">
        <v>437</v>
      </c>
      <c r="AN3" s="15">
        <f>COUNTA(D21:D28,G21:G28,J21:J28,M21:M28,P21:P28,S21:S28,V21:V28,Y21:Y28,AB21:AB28,AE21:AE28)</f>
        <v>9</v>
      </c>
      <c r="AP3" s="15">
        <f>COUNTA(Y21:Y28,AB21:AB28,AE21:AE28)</f>
        <v>1</v>
      </c>
    </row>
    <row r="4" spans="1:42" ht="35.4" thickBot="1" x14ac:dyDescent="0.5">
      <c r="A4" s="134"/>
      <c r="B4" s="219" t="s">
        <v>588</v>
      </c>
      <c r="C4" s="122" t="s">
        <v>696</v>
      </c>
      <c r="D4" s="71" t="s">
        <v>453</v>
      </c>
      <c r="E4" s="193" t="s">
        <v>708</v>
      </c>
      <c r="F4" s="107" t="s">
        <v>695</v>
      </c>
      <c r="G4" s="23" t="s">
        <v>457</v>
      </c>
      <c r="H4" s="193" t="s">
        <v>708</v>
      </c>
      <c r="I4" s="107"/>
      <c r="J4" s="23"/>
      <c r="K4" s="151"/>
      <c r="L4" s="107"/>
      <c r="M4" s="23"/>
      <c r="N4" s="151"/>
      <c r="O4" s="107"/>
      <c r="P4" s="23"/>
      <c r="Q4" s="151"/>
      <c r="R4" s="107"/>
      <c r="S4" s="23"/>
      <c r="T4" s="151"/>
      <c r="U4" s="107"/>
      <c r="V4" s="23"/>
      <c r="W4" s="151"/>
      <c r="X4" s="107"/>
      <c r="Y4" s="60"/>
      <c r="Z4" s="179"/>
      <c r="AA4" s="107"/>
      <c r="AB4" s="60"/>
      <c r="AC4" s="179"/>
      <c r="AD4" s="107"/>
      <c r="AE4" s="94"/>
      <c r="AF4" s="61"/>
      <c r="AL4" s="312" t="s">
        <v>733</v>
      </c>
      <c r="AM4" s="146" t="s">
        <v>436</v>
      </c>
      <c r="AN4" s="15">
        <f>COUNTA(D29:D36,G29:G36,J29:J36,M29:M36,P29:P36,S29:S36,V29:V36,Y29:Y36,AB29:AB36,AE29:AE36)</f>
        <v>9</v>
      </c>
      <c r="AP4" s="15">
        <f>COUNTA(Y29:Y36,AB29:AB36,AE29:AE36)</f>
        <v>3</v>
      </c>
    </row>
    <row r="5" spans="1:42" ht="35.4" thickBot="1" x14ac:dyDescent="0.5">
      <c r="A5" s="134"/>
      <c r="B5" s="219" t="s">
        <v>589</v>
      </c>
      <c r="C5" s="122" t="s">
        <v>696</v>
      </c>
      <c r="D5" s="71" t="s">
        <v>454</v>
      </c>
      <c r="E5" s="193" t="s">
        <v>708</v>
      </c>
      <c r="F5" s="107"/>
      <c r="G5" s="23"/>
      <c r="H5" s="193"/>
      <c r="I5" s="107"/>
      <c r="J5" s="23"/>
      <c r="K5" s="151"/>
      <c r="L5" s="107" t="s">
        <v>695</v>
      </c>
      <c r="M5" s="23" t="s">
        <v>462</v>
      </c>
      <c r="N5" s="217" t="s">
        <v>710</v>
      </c>
      <c r="O5" s="107" t="s">
        <v>695</v>
      </c>
      <c r="P5" s="23" t="s">
        <v>465</v>
      </c>
      <c r="Q5" s="151" t="s">
        <v>709</v>
      </c>
      <c r="R5" s="107"/>
      <c r="S5" s="23"/>
      <c r="T5" s="151"/>
      <c r="U5" s="107"/>
      <c r="V5" s="23"/>
      <c r="W5" s="151"/>
      <c r="X5" s="107"/>
      <c r="Y5" s="60"/>
      <c r="Z5" s="179"/>
      <c r="AA5" s="107"/>
      <c r="AB5" s="60"/>
      <c r="AC5" s="179"/>
      <c r="AD5" s="107"/>
      <c r="AE5" s="94"/>
      <c r="AF5" s="61"/>
      <c r="AL5" s="312" t="s">
        <v>733</v>
      </c>
      <c r="AM5" s="146" t="s">
        <v>438</v>
      </c>
      <c r="AN5" s="15">
        <f>COUNTA(D37:D42,G37:G42,J37:J42,M37:M42,P37:P42,S37:S42,V37:V42,Y37:Y42,AB37:AB42,AE37:AE42)</f>
        <v>6</v>
      </c>
      <c r="AP5" s="15">
        <f>COUNTA(Y37:Y42,AB37:AB42,AE37:AE42)</f>
        <v>4</v>
      </c>
    </row>
    <row r="6" spans="1:42" ht="34.799999999999997" x14ac:dyDescent="0.45">
      <c r="A6" s="134"/>
      <c r="B6" s="218" t="s">
        <v>590</v>
      </c>
      <c r="C6" s="123"/>
      <c r="D6" s="73"/>
      <c r="E6" s="194"/>
      <c r="F6" s="109"/>
      <c r="G6" s="14"/>
      <c r="H6" s="194"/>
      <c r="I6" s="109" t="s">
        <v>695</v>
      </c>
      <c r="J6" s="14" t="s">
        <v>458</v>
      </c>
      <c r="K6" s="214" t="s">
        <v>710</v>
      </c>
      <c r="L6" s="109"/>
      <c r="M6" s="14"/>
      <c r="N6" s="152"/>
      <c r="O6" s="109"/>
      <c r="P6" s="14"/>
      <c r="Q6" s="152"/>
      <c r="R6" s="109"/>
      <c r="S6" s="14"/>
      <c r="T6" s="152"/>
      <c r="U6" s="109"/>
      <c r="V6" s="14"/>
      <c r="W6" s="152"/>
      <c r="X6" s="109"/>
      <c r="Y6" s="48"/>
      <c r="Z6" s="181"/>
      <c r="AA6" s="109" t="s">
        <v>695</v>
      </c>
      <c r="AB6" s="48" t="s">
        <v>471</v>
      </c>
      <c r="AC6" s="258" t="s">
        <v>710</v>
      </c>
      <c r="AD6" s="109"/>
      <c r="AE6" s="96"/>
      <c r="AF6" s="49"/>
      <c r="AL6" s="312" t="s">
        <v>733</v>
      </c>
      <c r="AM6" s="146" t="s">
        <v>439</v>
      </c>
      <c r="AN6" s="15">
        <f>COUNTA(D43:D47,G43:G47,J43:J47,M43:M47,P43:P47,S43:S47,V43:V47,Y43:Y47,AB43:AB47,AE43:AE47)</f>
        <v>6</v>
      </c>
      <c r="AP6" s="15">
        <f>COUNTA(Y43:Y47,AB43:AB47,AE43:AE47)</f>
        <v>6</v>
      </c>
    </row>
    <row r="7" spans="1:42" ht="35.4" thickBot="1" x14ac:dyDescent="0.5">
      <c r="A7" s="134"/>
      <c r="B7" s="221"/>
      <c r="C7" s="124"/>
      <c r="D7" s="74"/>
      <c r="E7" s="195"/>
      <c r="F7" s="110"/>
      <c r="G7" s="17"/>
      <c r="H7" s="195"/>
      <c r="I7" s="110" t="s">
        <v>695</v>
      </c>
      <c r="J7" s="17" t="s">
        <v>459</v>
      </c>
      <c r="K7" s="215" t="s">
        <v>710</v>
      </c>
      <c r="L7" s="110"/>
      <c r="M7" s="17"/>
      <c r="N7" s="153"/>
      <c r="O7" s="110"/>
      <c r="P7" s="17"/>
      <c r="Q7" s="153"/>
      <c r="R7" s="110"/>
      <c r="S7" s="17"/>
      <c r="T7" s="153"/>
      <c r="U7" s="110"/>
      <c r="V7" s="17"/>
      <c r="W7" s="153"/>
      <c r="X7" s="110"/>
      <c r="Y7" s="46"/>
      <c r="Z7" s="182"/>
      <c r="AA7" s="110"/>
      <c r="AB7" s="46"/>
      <c r="AC7" s="182"/>
      <c r="AD7" s="110"/>
      <c r="AE7" s="97"/>
      <c r="AF7" s="47"/>
      <c r="AL7" s="312" t="s">
        <v>733</v>
      </c>
      <c r="AM7" s="146" t="s">
        <v>440</v>
      </c>
      <c r="AN7" s="15">
        <f>COUNTA(D48:D52,G48:G52,J48:J52,M48:M52,P48:P52,S48:S52,V48:V52,Y48:Y52,AB48:AB52,AE48:AE52)</f>
        <v>5</v>
      </c>
      <c r="AP7" s="15">
        <f>COUNTA(Y48:Y52,AB48:AB52,AE48:AE52)</f>
        <v>3</v>
      </c>
    </row>
    <row r="8" spans="1:42" ht="34.799999999999997" x14ac:dyDescent="0.45">
      <c r="A8" s="134"/>
      <c r="B8" s="218" t="s">
        <v>591</v>
      </c>
      <c r="C8" s="123"/>
      <c r="D8" s="73"/>
      <c r="E8" s="194"/>
      <c r="F8" s="109"/>
      <c r="G8" s="14"/>
      <c r="H8" s="194"/>
      <c r="I8" s="109"/>
      <c r="J8" s="14"/>
      <c r="K8" s="152"/>
      <c r="L8" s="109"/>
      <c r="M8" s="14"/>
      <c r="N8" s="152"/>
      <c r="O8" s="109" t="s">
        <v>695</v>
      </c>
      <c r="P8" s="14" t="s">
        <v>474</v>
      </c>
      <c r="Q8" s="152" t="s">
        <v>708</v>
      </c>
      <c r="R8" s="109"/>
      <c r="S8" s="14"/>
      <c r="T8" s="152"/>
      <c r="U8" s="109"/>
      <c r="V8" s="14"/>
      <c r="W8" s="152"/>
      <c r="X8" s="109"/>
      <c r="Y8" s="48"/>
      <c r="Z8" s="181"/>
      <c r="AA8" s="109"/>
      <c r="AB8" s="48"/>
      <c r="AC8" s="181"/>
      <c r="AD8" s="109"/>
      <c r="AE8" s="96"/>
      <c r="AF8" s="49"/>
      <c r="AL8" s="312" t="s">
        <v>733</v>
      </c>
      <c r="AM8" s="147" t="s">
        <v>441</v>
      </c>
      <c r="AN8" s="15">
        <f>COUNTA(D53:D75,G53:G75,J53:J75,M53:M75,P53:P75,S53:S75,V53:V75,Y53:Y75,AB53:AB75,AE53:AE75)</f>
        <v>29</v>
      </c>
      <c r="AP8" s="15">
        <f>COUNTA(Y53:Y75,AB53:AB75,AE53:AE75)</f>
        <v>3</v>
      </c>
    </row>
    <row r="9" spans="1:42" x14ac:dyDescent="0.45">
      <c r="A9" s="134"/>
      <c r="B9" s="220"/>
      <c r="C9" s="125"/>
      <c r="D9" s="75"/>
      <c r="E9" s="196"/>
      <c r="F9" s="111"/>
      <c r="G9" s="16"/>
      <c r="H9" s="196"/>
      <c r="I9" s="111"/>
      <c r="J9" s="16"/>
      <c r="K9" s="154"/>
      <c r="L9" s="111"/>
      <c r="M9" s="16"/>
      <c r="N9" s="154"/>
      <c r="O9" s="111" t="s">
        <v>695</v>
      </c>
      <c r="P9" s="16" t="s">
        <v>48</v>
      </c>
      <c r="Q9" s="154" t="s">
        <v>708</v>
      </c>
      <c r="R9" s="111"/>
      <c r="S9" s="16"/>
      <c r="T9" s="154"/>
      <c r="U9" s="111"/>
      <c r="V9" s="16"/>
      <c r="W9" s="154"/>
      <c r="X9" s="111"/>
      <c r="Y9" s="44"/>
      <c r="Z9" s="183"/>
      <c r="AA9" s="111"/>
      <c r="AB9" s="44"/>
      <c r="AC9" s="183"/>
      <c r="AD9" s="111"/>
      <c r="AE9" s="98"/>
      <c r="AF9" s="45"/>
      <c r="AL9" s="312" t="s">
        <v>733</v>
      </c>
      <c r="AM9" s="147" t="s">
        <v>202</v>
      </c>
      <c r="AN9" s="15">
        <f>COUNTA(D76:D111,G76:G111,J76:J111,M76:M111,P76:P111,S76:S111,V76:V111,Y76:Y111,AB76:AB111,AE76:AE111)</f>
        <v>50</v>
      </c>
      <c r="AP9" s="15">
        <f>COUNTA(Y76:Y111,AB76:AB111,AE76:AE111)</f>
        <v>34</v>
      </c>
    </row>
    <row r="10" spans="1:42" ht="18" thickBot="1" x14ac:dyDescent="0.5">
      <c r="A10" s="134"/>
      <c r="B10" s="221"/>
      <c r="C10" s="124"/>
      <c r="D10" s="74"/>
      <c r="E10" s="195"/>
      <c r="F10" s="110"/>
      <c r="G10" s="17"/>
      <c r="H10" s="195"/>
      <c r="I10" s="110"/>
      <c r="J10" s="17"/>
      <c r="K10" s="153"/>
      <c r="L10" s="110"/>
      <c r="M10" s="17"/>
      <c r="N10" s="153"/>
      <c r="O10" s="110" t="s">
        <v>695</v>
      </c>
      <c r="P10" s="17" t="s">
        <v>49</v>
      </c>
      <c r="Q10" s="153" t="s">
        <v>708</v>
      </c>
      <c r="R10" s="110"/>
      <c r="S10" s="17"/>
      <c r="T10" s="153"/>
      <c r="U10" s="110"/>
      <c r="V10" s="17"/>
      <c r="W10" s="153"/>
      <c r="X10" s="110"/>
      <c r="Y10" s="46"/>
      <c r="Z10" s="182"/>
      <c r="AA10" s="110"/>
      <c r="AB10" s="46"/>
      <c r="AC10" s="182"/>
      <c r="AD10" s="110"/>
      <c r="AE10" s="97"/>
      <c r="AF10" s="47"/>
      <c r="AM10" s="147" t="s">
        <v>289</v>
      </c>
      <c r="AN10" s="15">
        <f>COUNTA(D112:D126,G112:G126,J112:J126,M112:M126,P112:P126,S112:S126,V112:V126,Y112:Y126,AB112:AB126,AE112:AE126)</f>
        <v>17</v>
      </c>
      <c r="AP10" s="15">
        <f>COUNTA(Y112:Y126,AB112:AB126,AE112:AE126)</f>
        <v>16</v>
      </c>
    </row>
    <row r="11" spans="1:42" ht="34.799999999999997" x14ac:dyDescent="0.45">
      <c r="A11" s="134"/>
      <c r="B11" s="218" t="s">
        <v>592</v>
      </c>
      <c r="C11" s="123"/>
      <c r="D11" s="73"/>
      <c r="E11" s="194"/>
      <c r="F11" s="109"/>
      <c r="G11" s="14"/>
      <c r="H11" s="194"/>
      <c r="I11" s="109" t="s">
        <v>695</v>
      </c>
      <c r="J11" s="14" t="s">
        <v>460</v>
      </c>
      <c r="K11" s="214" t="s">
        <v>710</v>
      </c>
      <c r="L11" s="109"/>
      <c r="M11" s="14"/>
      <c r="N11" s="152"/>
      <c r="O11" s="109"/>
      <c r="P11" s="14"/>
      <c r="Q11" s="152"/>
      <c r="R11" s="109"/>
      <c r="S11" s="14"/>
      <c r="T11" s="152"/>
      <c r="U11" s="109"/>
      <c r="V11" s="14"/>
      <c r="W11" s="152"/>
      <c r="X11" s="109"/>
      <c r="Y11" s="48"/>
      <c r="Z11" s="181"/>
      <c r="AA11" s="109" t="s">
        <v>695</v>
      </c>
      <c r="AB11" s="48" t="s">
        <v>470</v>
      </c>
      <c r="AC11" s="258" t="s">
        <v>710</v>
      </c>
      <c r="AD11" s="109"/>
      <c r="AE11" s="96"/>
      <c r="AF11" s="49"/>
      <c r="AM11" s="147" t="s">
        <v>324</v>
      </c>
      <c r="AN11" s="15">
        <f>COUNTA(D127:D150,G127:G150,J127:J150,M127:M150,P127:P150,S127:S150,V127:V150,Y127:Y150,AB127:AB150,AE127:AE1482)</f>
        <v>42</v>
      </c>
      <c r="AP11" s="15">
        <f>COUNTA(Y127:Y150,AB127:AB150,AE127:AE150)</f>
        <v>17</v>
      </c>
    </row>
    <row r="12" spans="1:42" ht="35.4" thickBot="1" x14ac:dyDescent="0.5">
      <c r="A12" s="134"/>
      <c r="B12" s="221"/>
      <c r="C12" s="124"/>
      <c r="D12" s="74"/>
      <c r="E12" s="195"/>
      <c r="F12" s="110"/>
      <c r="G12" s="17"/>
      <c r="H12" s="195"/>
      <c r="I12" s="110" t="s">
        <v>695</v>
      </c>
      <c r="J12" s="17" t="s">
        <v>461</v>
      </c>
      <c r="K12" s="215" t="s">
        <v>710</v>
      </c>
      <c r="L12" s="110"/>
      <c r="M12" s="17"/>
      <c r="N12" s="153"/>
      <c r="O12" s="110"/>
      <c r="P12" s="17"/>
      <c r="Q12" s="153"/>
      <c r="R12" s="110"/>
      <c r="S12" s="17"/>
      <c r="T12" s="153"/>
      <c r="U12" s="110"/>
      <c r="V12" s="17"/>
      <c r="W12" s="153"/>
      <c r="X12" s="110"/>
      <c r="Y12" s="46"/>
      <c r="Z12" s="182"/>
      <c r="AA12" s="110"/>
      <c r="AB12" s="46"/>
      <c r="AC12" s="182"/>
      <c r="AD12" s="110"/>
      <c r="AE12" s="97"/>
      <c r="AF12" s="47"/>
      <c r="AM12" s="147" t="s">
        <v>360</v>
      </c>
      <c r="AN12" s="15">
        <f>COUNTA(D151:D180,G151:G180,J151:J180,M151:M180,P151:P180,S151:S180,V151:V180,Y151:Y180,AB151:AB180,AE151:AE180)</f>
        <v>32</v>
      </c>
      <c r="AP12" s="15">
        <f>COUNTA(Y151:Y180,AB151:AB180,AE151:AE180)</f>
        <v>24</v>
      </c>
    </row>
    <row r="13" spans="1:42" ht="34.799999999999997" x14ac:dyDescent="0.45">
      <c r="A13" s="134"/>
      <c r="B13" s="218" t="s">
        <v>593</v>
      </c>
      <c r="C13" s="123"/>
      <c r="D13" s="73"/>
      <c r="E13" s="194"/>
      <c r="F13" s="109"/>
      <c r="G13" s="14"/>
      <c r="H13" s="194"/>
      <c r="I13" s="109"/>
      <c r="J13" s="14"/>
      <c r="K13" s="152"/>
      <c r="L13" s="109" t="s">
        <v>695</v>
      </c>
      <c r="M13" s="14" t="s">
        <v>463</v>
      </c>
      <c r="N13" s="152" t="s">
        <v>708</v>
      </c>
      <c r="O13" s="109" t="s">
        <v>695</v>
      </c>
      <c r="P13" s="14" t="s">
        <v>37</v>
      </c>
      <c r="Q13" s="152" t="s">
        <v>708</v>
      </c>
      <c r="R13" s="109"/>
      <c r="S13" s="14"/>
      <c r="T13" s="152"/>
      <c r="U13" s="109"/>
      <c r="V13" s="14"/>
      <c r="W13" s="152"/>
      <c r="X13" s="109"/>
      <c r="Y13" s="48"/>
      <c r="Z13" s="181"/>
      <c r="AA13" s="109"/>
      <c r="AB13" s="48"/>
      <c r="AC13" s="181"/>
      <c r="AD13" s="109"/>
      <c r="AE13" s="96"/>
      <c r="AF13" s="49"/>
      <c r="AM13"/>
    </row>
    <row r="14" spans="1:42" ht="18.600000000000001" thickBot="1" x14ac:dyDescent="0.5">
      <c r="A14" s="134"/>
      <c r="B14" s="221"/>
      <c r="C14" s="124"/>
      <c r="D14" s="74"/>
      <c r="E14" s="195"/>
      <c r="F14" s="110"/>
      <c r="G14" s="17"/>
      <c r="H14" s="195"/>
      <c r="I14" s="110"/>
      <c r="J14" s="17"/>
      <c r="K14" s="153"/>
      <c r="L14" s="110" t="s">
        <v>695</v>
      </c>
      <c r="M14" s="17" t="s">
        <v>464</v>
      </c>
      <c r="N14" s="153" t="s">
        <v>709</v>
      </c>
      <c r="O14" s="110" t="s">
        <v>695</v>
      </c>
      <c r="P14" s="17" t="s">
        <v>466</v>
      </c>
      <c r="Q14" s="153" t="s">
        <v>709</v>
      </c>
      <c r="R14" s="110"/>
      <c r="S14" s="17"/>
      <c r="T14" s="153"/>
      <c r="U14" s="110"/>
      <c r="V14" s="17"/>
      <c r="W14" s="153"/>
      <c r="X14" s="110"/>
      <c r="Y14" s="46"/>
      <c r="Z14" s="182"/>
      <c r="AA14" s="110"/>
      <c r="AB14" s="46"/>
      <c r="AC14" s="182"/>
      <c r="AD14" s="110"/>
      <c r="AE14" s="97"/>
      <c r="AF14" s="47"/>
      <c r="AM14"/>
    </row>
    <row r="15" spans="1:42" ht="34.799999999999997" x14ac:dyDescent="0.45">
      <c r="A15" s="134"/>
      <c r="B15" s="218" t="s">
        <v>594</v>
      </c>
      <c r="C15" s="123"/>
      <c r="D15" s="73"/>
      <c r="E15" s="194"/>
      <c r="F15" s="109"/>
      <c r="G15" s="14"/>
      <c r="H15" s="194"/>
      <c r="I15" s="109"/>
      <c r="J15" s="14"/>
      <c r="K15" s="152"/>
      <c r="L15" s="109"/>
      <c r="M15" s="14"/>
      <c r="N15" s="152"/>
      <c r="O15" s="109"/>
      <c r="P15" s="14"/>
      <c r="Q15" s="152"/>
      <c r="R15" s="109"/>
      <c r="S15" s="14"/>
      <c r="T15" s="152"/>
      <c r="U15" s="109"/>
      <c r="V15" s="14"/>
      <c r="W15" s="152"/>
      <c r="X15" s="109" t="s">
        <v>695</v>
      </c>
      <c r="Y15" s="48" t="s">
        <v>475</v>
      </c>
      <c r="Z15" s="258" t="s">
        <v>723</v>
      </c>
      <c r="AA15" s="109"/>
      <c r="AB15" s="48"/>
      <c r="AC15" s="181"/>
      <c r="AD15" s="109"/>
      <c r="AE15" s="96"/>
      <c r="AF15" s="49"/>
      <c r="AM15"/>
    </row>
    <row r="16" spans="1:42" ht="18.600000000000001" thickBot="1" x14ac:dyDescent="0.5">
      <c r="A16" s="134"/>
      <c r="B16" s="221"/>
      <c r="C16" s="124"/>
      <c r="D16" s="74"/>
      <c r="E16" s="195"/>
      <c r="F16" s="110"/>
      <c r="G16" s="17"/>
      <c r="H16" s="195"/>
      <c r="I16" s="110"/>
      <c r="J16" s="17"/>
      <c r="K16" s="153"/>
      <c r="L16" s="110"/>
      <c r="M16" s="17"/>
      <c r="N16" s="153"/>
      <c r="O16" s="110"/>
      <c r="P16" s="17"/>
      <c r="Q16" s="153"/>
      <c r="R16" s="110"/>
      <c r="S16" s="17"/>
      <c r="T16" s="153"/>
      <c r="U16" s="110"/>
      <c r="V16" s="17"/>
      <c r="W16" s="153"/>
      <c r="X16" s="110" t="s">
        <v>695</v>
      </c>
      <c r="Y16" s="46" t="s">
        <v>467</v>
      </c>
      <c r="Z16" s="182" t="s">
        <v>708</v>
      </c>
      <c r="AA16" s="110"/>
      <c r="AB16" s="46"/>
      <c r="AC16" s="182"/>
      <c r="AD16" s="110"/>
      <c r="AE16" s="97"/>
      <c r="AF16" s="47"/>
      <c r="AM16"/>
    </row>
    <row r="17" spans="1:39" ht="34.799999999999997" x14ac:dyDescent="0.45">
      <c r="A17" s="134"/>
      <c r="B17" s="218" t="s">
        <v>595</v>
      </c>
      <c r="C17" s="123"/>
      <c r="D17" s="73"/>
      <c r="E17" s="194"/>
      <c r="F17" s="109"/>
      <c r="G17" s="14"/>
      <c r="H17" s="194"/>
      <c r="I17" s="109"/>
      <c r="J17" s="14"/>
      <c r="K17" s="152"/>
      <c r="L17" s="109"/>
      <c r="M17" s="14"/>
      <c r="N17" s="152"/>
      <c r="O17" s="109"/>
      <c r="P17" s="14"/>
      <c r="Q17" s="152"/>
      <c r="R17" s="109"/>
      <c r="S17" s="14"/>
      <c r="T17" s="152"/>
      <c r="U17" s="109"/>
      <c r="V17" s="14"/>
      <c r="W17" s="152"/>
      <c r="X17" s="109"/>
      <c r="Y17" s="48"/>
      <c r="Z17" s="181"/>
      <c r="AA17" s="109" t="s">
        <v>695</v>
      </c>
      <c r="AB17" s="22" t="s">
        <v>468</v>
      </c>
      <c r="AC17" s="172" t="s">
        <v>708</v>
      </c>
      <c r="AD17" s="109"/>
      <c r="AE17" s="96"/>
      <c r="AF17" s="49"/>
      <c r="AM17"/>
    </row>
    <row r="18" spans="1:39" ht="18" x14ac:dyDescent="0.45">
      <c r="A18" s="134"/>
      <c r="B18" s="220"/>
      <c r="C18" s="125"/>
      <c r="D18" s="75"/>
      <c r="E18" s="196"/>
      <c r="F18" s="111"/>
      <c r="G18" s="16"/>
      <c r="H18" s="196"/>
      <c r="I18" s="111"/>
      <c r="J18" s="16"/>
      <c r="K18" s="154"/>
      <c r="L18" s="111"/>
      <c r="M18" s="16"/>
      <c r="N18" s="154"/>
      <c r="O18" s="111"/>
      <c r="P18" s="16"/>
      <c r="Q18" s="154"/>
      <c r="R18" s="111"/>
      <c r="S18" s="16"/>
      <c r="T18" s="154"/>
      <c r="U18" s="111"/>
      <c r="V18" s="16"/>
      <c r="W18" s="154"/>
      <c r="X18" s="111"/>
      <c r="Y18" s="44"/>
      <c r="Z18" s="183"/>
      <c r="AA18" s="111" t="s">
        <v>695</v>
      </c>
      <c r="AB18" s="44" t="s">
        <v>469</v>
      </c>
      <c r="AC18" s="183" t="s">
        <v>708</v>
      </c>
      <c r="AD18" s="111"/>
      <c r="AE18" s="98"/>
      <c r="AF18" s="45"/>
      <c r="AM18"/>
    </row>
    <row r="19" spans="1:39" ht="18.600000000000001" thickBot="1" x14ac:dyDescent="0.5">
      <c r="A19" s="134"/>
      <c r="B19" s="221"/>
      <c r="C19" s="124"/>
      <c r="D19" s="74"/>
      <c r="E19" s="195"/>
      <c r="F19" s="110"/>
      <c r="G19" s="17"/>
      <c r="H19" s="195"/>
      <c r="I19" s="110"/>
      <c r="J19" s="17"/>
      <c r="K19" s="153"/>
      <c r="L19" s="110"/>
      <c r="M19" s="17"/>
      <c r="N19" s="153"/>
      <c r="O19" s="110"/>
      <c r="P19" s="17"/>
      <c r="Q19" s="153"/>
      <c r="R19" s="110"/>
      <c r="S19" s="17"/>
      <c r="T19" s="153"/>
      <c r="U19" s="110"/>
      <c r="V19" s="17"/>
      <c r="W19" s="153"/>
      <c r="X19" s="110"/>
      <c r="Y19" s="46"/>
      <c r="Z19" s="182"/>
      <c r="AA19" s="110" t="s">
        <v>695</v>
      </c>
      <c r="AB19" s="46" t="s">
        <v>472</v>
      </c>
      <c r="AC19" s="182" t="s">
        <v>708</v>
      </c>
      <c r="AD19" s="110"/>
      <c r="AE19" s="97"/>
      <c r="AF19" s="47"/>
      <c r="AM19"/>
    </row>
    <row r="20" spans="1:39" ht="18.600000000000001" thickBot="1" x14ac:dyDescent="0.5">
      <c r="A20" s="134"/>
      <c r="B20" s="220" t="s">
        <v>596</v>
      </c>
      <c r="C20" s="126"/>
      <c r="D20" s="72"/>
      <c r="F20" s="112"/>
      <c r="G20" s="18"/>
      <c r="I20" s="112"/>
      <c r="J20" s="18"/>
      <c r="L20" s="112"/>
      <c r="M20" s="18"/>
      <c r="O20" s="112"/>
      <c r="P20" s="18"/>
      <c r="R20" s="112"/>
      <c r="S20" s="18"/>
      <c r="U20" s="112"/>
      <c r="V20" s="18"/>
      <c r="X20" s="112"/>
      <c r="Y20" s="52"/>
      <c r="Z20" s="180"/>
      <c r="AA20" s="112" t="s">
        <v>695</v>
      </c>
      <c r="AB20" s="52" t="s">
        <v>51</v>
      </c>
      <c r="AC20" s="180"/>
      <c r="AD20" s="112"/>
      <c r="AE20" s="95"/>
      <c r="AF20" s="59"/>
      <c r="AM20"/>
    </row>
    <row r="21" spans="1:39" ht="34.799999999999997" x14ac:dyDescent="0.45">
      <c r="A21" s="133" t="s">
        <v>437</v>
      </c>
      <c r="B21" s="222" t="s">
        <v>595</v>
      </c>
      <c r="C21" s="123"/>
      <c r="D21" s="76"/>
      <c r="E21" s="197"/>
      <c r="F21" s="109" t="s">
        <v>695</v>
      </c>
      <c r="G21" s="33" t="s">
        <v>476</v>
      </c>
      <c r="H21" s="197" t="s">
        <v>708</v>
      </c>
      <c r="I21" s="109"/>
      <c r="J21" s="33"/>
      <c r="K21" s="155"/>
      <c r="L21" s="109"/>
      <c r="M21" s="33"/>
      <c r="N21" s="155"/>
      <c r="O21" s="109"/>
      <c r="P21" s="33"/>
      <c r="Q21" s="155"/>
      <c r="R21" s="109"/>
      <c r="S21" s="33"/>
      <c r="T21" s="155"/>
      <c r="U21" s="109"/>
      <c r="V21" s="33"/>
      <c r="W21" s="155"/>
      <c r="X21" s="109"/>
      <c r="Y21" s="48"/>
      <c r="Z21" s="181"/>
      <c r="AA21" s="109"/>
      <c r="AB21" s="48"/>
      <c r="AC21" s="181"/>
      <c r="AD21" s="109"/>
      <c r="AE21" s="96"/>
      <c r="AF21" s="49"/>
      <c r="AM21"/>
    </row>
    <row r="22" spans="1:39" ht="18.600000000000001" thickBot="1" x14ac:dyDescent="0.5">
      <c r="A22" s="135"/>
      <c r="B22" s="223"/>
      <c r="C22" s="124"/>
      <c r="D22" s="77"/>
      <c r="E22" s="198"/>
      <c r="F22" s="110" t="s">
        <v>695</v>
      </c>
      <c r="G22" s="34" t="s">
        <v>477</v>
      </c>
      <c r="H22" s="198" t="s">
        <v>708</v>
      </c>
      <c r="I22" s="110"/>
      <c r="J22" s="34"/>
      <c r="K22" s="156"/>
      <c r="L22" s="110"/>
      <c r="M22" s="34"/>
      <c r="N22" s="156"/>
      <c r="O22" s="110"/>
      <c r="P22" s="34"/>
      <c r="Q22" s="156"/>
      <c r="R22" s="110"/>
      <c r="S22" s="34"/>
      <c r="T22" s="156"/>
      <c r="U22" s="110"/>
      <c r="V22" s="34"/>
      <c r="W22" s="156"/>
      <c r="X22" s="110"/>
      <c r="Y22" s="46"/>
      <c r="Z22" s="182"/>
      <c r="AA22" s="110"/>
      <c r="AB22" s="46"/>
      <c r="AC22" s="182"/>
      <c r="AD22" s="110"/>
      <c r="AE22" s="97"/>
      <c r="AF22" s="47"/>
      <c r="AM22"/>
    </row>
    <row r="23" spans="1:39" ht="34.799999999999997" x14ac:dyDescent="0.45">
      <c r="A23" s="135"/>
      <c r="B23" s="222" t="s">
        <v>597</v>
      </c>
      <c r="C23" s="123"/>
      <c r="D23" s="76"/>
      <c r="E23" s="197"/>
      <c r="F23" s="109"/>
      <c r="G23" s="33"/>
      <c r="H23" s="197"/>
      <c r="I23" s="109"/>
      <c r="J23" s="33"/>
      <c r="K23" s="155"/>
      <c r="L23" s="109"/>
      <c r="M23" s="33"/>
      <c r="N23" s="155"/>
      <c r="O23" s="109" t="s">
        <v>695</v>
      </c>
      <c r="P23" s="22" t="s">
        <v>478</v>
      </c>
      <c r="Q23" s="172" t="s">
        <v>709</v>
      </c>
      <c r="R23" s="109"/>
      <c r="S23" s="33"/>
      <c r="T23" s="155"/>
      <c r="U23" s="109" t="s">
        <v>695</v>
      </c>
      <c r="V23" s="22" t="s">
        <v>80</v>
      </c>
      <c r="W23" s="172" t="s">
        <v>709</v>
      </c>
      <c r="X23" s="109"/>
      <c r="Y23" s="48"/>
      <c r="Z23" s="181"/>
      <c r="AA23" s="109"/>
      <c r="AB23" s="48"/>
      <c r="AC23" s="181"/>
      <c r="AD23" s="109"/>
      <c r="AE23" s="96"/>
      <c r="AF23" s="49"/>
      <c r="AM23"/>
    </row>
    <row r="24" spans="1:39" ht="18.600000000000001" thickBot="1" x14ac:dyDescent="0.5">
      <c r="A24" s="135"/>
      <c r="B24" s="223"/>
      <c r="C24" s="124"/>
      <c r="D24" s="77"/>
      <c r="E24" s="198"/>
      <c r="F24" s="110"/>
      <c r="G24" s="34"/>
      <c r="H24" s="198"/>
      <c r="I24" s="110"/>
      <c r="J24" s="34"/>
      <c r="K24" s="156"/>
      <c r="L24" s="110"/>
      <c r="M24" s="34"/>
      <c r="N24" s="156"/>
      <c r="O24" s="110" t="s">
        <v>695</v>
      </c>
      <c r="P24" s="27" t="s">
        <v>479</v>
      </c>
      <c r="Q24" s="173" t="s">
        <v>708</v>
      </c>
      <c r="R24" s="110"/>
      <c r="S24" s="34"/>
      <c r="T24" s="156"/>
      <c r="U24" s="110"/>
      <c r="V24" s="34"/>
      <c r="W24" s="156"/>
      <c r="X24" s="110"/>
      <c r="Y24" s="46"/>
      <c r="Z24" s="182"/>
      <c r="AA24" s="110"/>
      <c r="AB24" s="46"/>
      <c r="AC24" s="182"/>
      <c r="AD24" s="110"/>
      <c r="AE24" s="97"/>
      <c r="AF24" s="47"/>
      <c r="AM24"/>
    </row>
    <row r="25" spans="1:39" ht="35.4" thickBot="1" x14ac:dyDescent="0.5">
      <c r="A25" s="135"/>
      <c r="B25" s="224" t="s">
        <v>599</v>
      </c>
      <c r="C25" s="122"/>
      <c r="D25" s="78"/>
      <c r="E25" s="199"/>
      <c r="F25" s="107"/>
      <c r="G25" s="35"/>
      <c r="H25" s="199"/>
      <c r="I25" s="107"/>
      <c r="J25" s="35"/>
      <c r="K25" s="157"/>
      <c r="L25" s="107" t="s">
        <v>695</v>
      </c>
      <c r="M25" s="35" t="s">
        <v>713</v>
      </c>
      <c r="N25" s="157" t="s">
        <v>708</v>
      </c>
      <c r="O25" s="107"/>
      <c r="P25" s="35"/>
      <c r="Q25" s="157"/>
      <c r="R25" s="107"/>
      <c r="S25" s="35"/>
      <c r="T25" s="157"/>
      <c r="U25" s="107"/>
      <c r="V25" s="35"/>
      <c r="W25" s="157"/>
      <c r="X25" s="107"/>
      <c r="Y25" s="60"/>
      <c r="Z25" s="179"/>
      <c r="AA25" s="107"/>
      <c r="AB25" s="60"/>
      <c r="AC25" s="179"/>
      <c r="AD25" s="107"/>
      <c r="AE25" s="94"/>
      <c r="AF25" s="61"/>
      <c r="AM25"/>
    </row>
    <row r="26" spans="1:39" ht="34.799999999999997" x14ac:dyDescent="0.45">
      <c r="A26" s="135"/>
      <c r="B26" s="225" t="s">
        <v>598</v>
      </c>
      <c r="C26" s="127"/>
      <c r="D26" s="79"/>
      <c r="E26" s="200"/>
      <c r="F26" s="113"/>
      <c r="G26" s="36"/>
      <c r="H26" s="200"/>
      <c r="I26" s="113"/>
      <c r="J26" s="36"/>
      <c r="K26" s="158"/>
      <c r="L26" s="113"/>
      <c r="M26" s="36"/>
      <c r="N26" s="158"/>
      <c r="O26" s="113"/>
      <c r="P26" s="36"/>
      <c r="Q26" s="158"/>
      <c r="R26" s="113" t="s">
        <v>695</v>
      </c>
      <c r="S26" s="36" t="s">
        <v>67</v>
      </c>
      <c r="T26" s="158" t="s">
        <v>709</v>
      </c>
      <c r="U26" s="113"/>
      <c r="V26" s="36"/>
      <c r="W26" s="158"/>
      <c r="X26" s="113"/>
      <c r="Y26" s="52"/>
      <c r="Z26" s="184"/>
      <c r="AA26" s="113"/>
      <c r="AB26" s="52"/>
      <c r="AC26" s="184"/>
      <c r="AD26" s="113"/>
      <c r="AE26" s="95"/>
      <c r="AF26" s="53"/>
      <c r="AM26"/>
    </row>
    <row r="27" spans="1:39" ht="34.799999999999997" x14ac:dyDescent="0.45">
      <c r="A27" s="135"/>
      <c r="B27" s="226" t="s">
        <v>600</v>
      </c>
      <c r="C27" s="126"/>
      <c r="D27" s="80"/>
      <c r="E27" s="201"/>
      <c r="F27" s="112"/>
      <c r="G27" s="37"/>
      <c r="H27" s="201"/>
      <c r="I27" s="112"/>
      <c r="J27" s="37"/>
      <c r="K27" s="159"/>
      <c r="L27" s="112"/>
      <c r="M27" s="37"/>
      <c r="N27" s="159"/>
      <c r="O27" s="112"/>
      <c r="P27" s="37"/>
      <c r="Q27" s="159"/>
      <c r="R27" s="112"/>
      <c r="S27" s="37"/>
      <c r="T27" s="159"/>
      <c r="U27" s="112" t="s">
        <v>695</v>
      </c>
      <c r="V27" s="37" t="s">
        <v>71</v>
      </c>
      <c r="W27" s="159" t="s">
        <v>709</v>
      </c>
      <c r="X27" s="112"/>
      <c r="Y27" s="58"/>
      <c r="Z27" s="180"/>
      <c r="AA27" s="112"/>
      <c r="AB27" s="58"/>
      <c r="AC27" s="180"/>
      <c r="AD27" s="112"/>
      <c r="AE27" s="99"/>
      <c r="AF27" s="59"/>
      <c r="AM27"/>
    </row>
    <row r="28" spans="1:39" ht="35.4" thickBot="1" x14ac:dyDescent="0.5">
      <c r="A28" s="136"/>
      <c r="B28" s="227" t="s">
        <v>601</v>
      </c>
      <c r="C28" s="124"/>
      <c r="D28" s="77"/>
      <c r="E28" s="198"/>
      <c r="F28" s="110"/>
      <c r="G28" s="34"/>
      <c r="H28" s="198"/>
      <c r="I28" s="110"/>
      <c r="J28" s="34"/>
      <c r="K28" s="156"/>
      <c r="L28" s="110"/>
      <c r="M28" s="34"/>
      <c r="N28" s="156"/>
      <c r="O28" s="110"/>
      <c r="P28" s="34"/>
      <c r="Q28" s="156"/>
      <c r="R28" s="110"/>
      <c r="S28" s="34"/>
      <c r="T28" s="156"/>
      <c r="U28" s="110"/>
      <c r="V28" s="34"/>
      <c r="W28" s="156"/>
      <c r="X28" s="110"/>
      <c r="Y28" s="46"/>
      <c r="Z28" s="182"/>
      <c r="AA28" s="110" t="s">
        <v>695</v>
      </c>
      <c r="AB28" s="46" t="s">
        <v>480</v>
      </c>
      <c r="AC28" s="182" t="s">
        <v>724</v>
      </c>
      <c r="AD28" s="110"/>
      <c r="AE28" s="97"/>
      <c r="AF28" s="47"/>
      <c r="AM28"/>
    </row>
    <row r="29" spans="1:39" ht="18" x14ac:dyDescent="0.45">
      <c r="A29" s="133" t="s">
        <v>436</v>
      </c>
      <c r="B29" s="225" t="s">
        <v>602</v>
      </c>
      <c r="C29" s="123"/>
      <c r="D29" s="76"/>
      <c r="E29" s="197"/>
      <c r="F29" s="109"/>
      <c r="G29" s="33"/>
      <c r="H29" s="197"/>
      <c r="I29" s="109"/>
      <c r="J29" s="33"/>
      <c r="K29" s="155"/>
      <c r="L29" s="109" t="s">
        <v>695</v>
      </c>
      <c r="M29" s="22" t="s">
        <v>89</v>
      </c>
      <c r="N29" s="172" t="s">
        <v>709</v>
      </c>
      <c r="O29" s="109"/>
      <c r="P29" s="33"/>
      <c r="Q29" s="155"/>
      <c r="R29" s="109"/>
      <c r="S29" s="33"/>
      <c r="T29" s="155"/>
      <c r="U29" s="109"/>
      <c r="V29" s="33"/>
      <c r="W29" s="155"/>
      <c r="X29" s="109" t="s">
        <v>695</v>
      </c>
      <c r="Y29" s="22" t="s">
        <v>104</v>
      </c>
      <c r="Z29" s="172" t="s">
        <v>708</v>
      </c>
      <c r="AA29" s="109"/>
      <c r="AB29" s="48"/>
      <c r="AC29" s="181"/>
      <c r="AD29" s="109"/>
      <c r="AE29" s="96"/>
      <c r="AF29" s="49"/>
      <c r="AM29"/>
    </row>
    <row r="30" spans="1:39" ht="18.600000000000001" thickBot="1" x14ac:dyDescent="0.5">
      <c r="A30" s="135"/>
      <c r="B30" s="228" t="s">
        <v>603</v>
      </c>
      <c r="C30" s="126"/>
      <c r="D30" s="79"/>
      <c r="E30" s="201"/>
      <c r="F30" s="112"/>
      <c r="G30" s="36"/>
      <c r="H30" s="201"/>
      <c r="I30" s="112"/>
      <c r="J30" s="36"/>
      <c r="K30" s="159"/>
      <c r="L30" s="112"/>
      <c r="M30" s="36"/>
      <c r="N30" s="159"/>
      <c r="O30" s="112"/>
      <c r="P30" s="36"/>
      <c r="Q30" s="159"/>
      <c r="R30" s="112"/>
      <c r="S30" s="36"/>
      <c r="T30" s="159"/>
      <c r="U30" s="112"/>
      <c r="V30" s="36"/>
      <c r="W30" s="159"/>
      <c r="X30" s="112" t="s">
        <v>695</v>
      </c>
      <c r="Y30" s="29" t="s">
        <v>92</v>
      </c>
      <c r="Z30" s="174" t="s">
        <v>709</v>
      </c>
      <c r="AA30" s="112"/>
      <c r="AB30" s="52"/>
      <c r="AC30" s="180"/>
      <c r="AD30" s="112"/>
      <c r="AE30" s="95"/>
      <c r="AF30" s="59"/>
      <c r="AM30"/>
    </row>
    <row r="31" spans="1:39" ht="18" x14ac:dyDescent="0.45">
      <c r="A31" s="135"/>
      <c r="B31" s="225" t="s">
        <v>604</v>
      </c>
      <c r="C31" s="123"/>
      <c r="D31" s="76"/>
      <c r="E31" s="197"/>
      <c r="F31" s="109"/>
      <c r="G31" s="33"/>
      <c r="H31" s="197"/>
      <c r="I31" s="109"/>
      <c r="J31" s="33"/>
      <c r="K31" s="155"/>
      <c r="L31" s="109"/>
      <c r="M31" s="33"/>
      <c r="N31" s="155"/>
      <c r="O31" s="109" t="s">
        <v>695</v>
      </c>
      <c r="P31" s="22" t="s">
        <v>481</v>
      </c>
      <c r="Q31" s="172" t="s">
        <v>709</v>
      </c>
      <c r="R31" s="109"/>
      <c r="S31" s="33"/>
      <c r="T31" s="155"/>
      <c r="U31" s="109"/>
      <c r="V31" s="33"/>
      <c r="W31" s="155"/>
      <c r="X31" s="109"/>
      <c r="Y31" s="48"/>
      <c r="Z31" s="181"/>
      <c r="AA31" s="109"/>
      <c r="AB31" s="48"/>
      <c r="AC31" s="181"/>
      <c r="AD31" s="109"/>
      <c r="AE31" s="96"/>
      <c r="AF31" s="49"/>
      <c r="AM31"/>
    </row>
    <row r="32" spans="1:39" ht="18.600000000000001" thickBot="1" x14ac:dyDescent="0.5">
      <c r="A32" s="135"/>
      <c r="B32" s="223" t="s">
        <v>605</v>
      </c>
      <c r="C32" s="128"/>
      <c r="D32" s="81"/>
      <c r="E32" s="202"/>
      <c r="F32" s="114"/>
      <c r="G32" s="38"/>
      <c r="H32" s="202"/>
      <c r="I32" s="114"/>
      <c r="J32" s="38"/>
      <c r="K32" s="160"/>
      <c r="L32" s="114"/>
      <c r="M32" s="38"/>
      <c r="N32" s="160"/>
      <c r="O32" s="114"/>
      <c r="P32" s="38"/>
      <c r="Q32" s="160"/>
      <c r="R32" s="114" t="s">
        <v>695</v>
      </c>
      <c r="S32" s="68" t="s">
        <v>482</v>
      </c>
      <c r="T32" s="175" t="s">
        <v>709</v>
      </c>
      <c r="U32" s="114"/>
      <c r="V32" s="38"/>
      <c r="W32" s="160"/>
      <c r="X32" s="114"/>
      <c r="Y32" s="62"/>
      <c r="Z32" s="185"/>
      <c r="AA32" s="114"/>
      <c r="AB32" s="62"/>
      <c r="AC32" s="185"/>
      <c r="AD32" s="114"/>
      <c r="AE32" s="100"/>
      <c r="AF32" s="63"/>
      <c r="AM32"/>
    </row>
    <row r="33" spans="1:39" ht="18.600000000000001" thickBot="1" x14ac:dyDescent="0.5">
      <c r="A33" s="135"/>
      <c r="B33" s="224" t="s">
        <v>606</v>
      </c>
      <c r="C33" s="122"/>
      <c r="D33" s="78"/>
      <c r="E33" s="199"/>
      <c r="F33" s="107"/>
      <c r="G33" s="35"/>
      <c r="H33" s="199"/>
      <c r="I33" s="107"/>
      <c r="J33" s="35"/>
      <c r="K33" s="157"/>
      <c r="L33" s="107"/>
      <c r="M33" s="35"/>
      <c r="N33" s="157"/>
      <c r="O33" s="107"/>
      <c r="P33" s="35"/>
      <c r="Q33" s="157"/>
      <c r="R33" s="107" t="s">
        <v>695</v>
      </c>
      <c r="S33" s="69" t="s">
        <v>96</v>
      </c>
      <c r="T33" s="176" t="s">
        <v>709</v>
      </c>
      <c r="U33" s="107"/>
      <c r="V33" s="35"/>
      <c r="W33" s="157"/>
      <c r="X33" s="107"/>
      <c r="Y33" s="60"/>
      <c r="Z33" s="179"/>
      <c r="AA33" s="107"/>
      <c r="AB33" s="60"/>
      <c r="AC33" s="179"/>
      <c r="AD33" s="107"/>
      <c r="AE33" s="94"/>
      <c r="AF33" s="61"/>
      <c r="AM33"/>
    </row>
    <row r="34" spans="1:39" ht="35.4" thickBot="1" x14ac:dyDescent="0.5">
      <c r="A34" s="135"/>
      <c r="B34" s="228" t="s">
        <v>607</v>
      </c>
      <c r="C34" s="126"/>
      <c r="D34" s="80"/>
      <c r="E34" s="201"/>
      <c r="F34" s="112"/>
      <c r="G34" s="37"/>
      <c r="H34" s="201"/>
      <c r="I34" s="112"/>
      <c r="J34" s="37"/>
      <c r="K34" s="159"/>
      <c r="L34" s="112"/>
      <c r="M34" s="37"/>
      <c r="N34" s="159"/>
      <c r="O34" s="112"/>
      <c r="P34" s="37"/>
      <c r="Q34" s="159"/>
      <c r="R34" s="112" t="s">
        <v>695</v>
      </c>
      <c r="S34" s="32" t="s">
        <v>483</v>
      </c>
      <c r="T34" s="174" t="s">
        <v>709</v>
      </c>
      <c r="U34" s="112"/>
      <c r="V34" s="37"/>
      <c r="W34" s="159"/>
      <c r="X34" s="112"/>
      <c r="Y34" s="58"/>
      <c r="Z34" s="180"/>
      <c r="AA34" s="112"/>
      <c r="AB34" s="58"/>
      <c r="AC34" s="180"/>
      <c r="AD34" s="112"/>
      <c r="AE34" s="99"/>
      <c r="AF34" s="59"/>
      <c r="AM34"/>
    </row>
    <row r="35" spans="1:39" ht="18" x14ac:dyDescent="0.45">
      <c r="A35" s="135"/>
      <c r="B35" s="225" t="s">
        <v>608</v>
      </c>
      <c r="C35" s="123"/>
      <c r="D35" s="76"/>
      <c r="E35" s="197"/>
      <c r="F35" s="109"/>
      <c r="G35" s="33"/>
      <c r="H35" s="197"/>
      <c r="I35" s="109"/>
      <c r="J35" s="33"/>
      <c r="K35" s="155"/>
      <c r="L35" s="109"/>
      <c r="M35" s="33"/>
      <c r="N35" s="155"/>
      <c r="O35" s="109"/>
      <c r="P35" s="33"/>
      <c r="Q35" s="155"/>
      <c r="R35" s="109"/>
      <c r="S35" s="33"/>
      <c r="T35" s="155"/>
      <c r="U35" s="109"/>
      <c r="V35" s="33"/>
      <c r="W35" s="155"/>
      <c r="X35" s="109"/>
      <c r="Y35" s="48"/>
      <c r="Z35" s="181"/>
      <c r="AA35" s="109" t="s">
        <v>695</v>
      </c>
      <c r="AB35" s="22" t="s">
        <v>91</v>
      </c>
      <c r="AC35" s="172" t="s">
        <v>708</v>
      </c>
      <c r="AD35" s="109"/>
      <c r="AE35" s="96"/>
      <c r="AF35" s="49"/>
      <c r="AM35"/>
    </row>
    <row r="36" spans="1:39" ht="35.4" thickBot="1" x14ac:dyDescent="0.5">
      <c r="A36" s="137"/>
      <c r="B36" s="223" t="s">
        <v>609</v>
      </c>
      <c r="C36" s="124"/>
      <c r="D36" s="77"/>
      <c r="E36" s="198"/>
      <c r="F36" s="110"/>
      <c r="G36" s="34"/>
      <c r="H36" s="198"/>
      <c r="I36" s="110"/>
      <c r="J36" s="34"/>
      <c r="K36" s="156"/>
      <c r="L36" s="110"/>
      <c r="M36" s="34"/>
      <c r="N36" s="156"/>
      <c r="O36" s="110"/>
      <c r="P36" s="34"/>
      <c r="Q36" s="156"/>
      <c r="R36" s="110" t="s">
        <v>695</v>
      </c>
      <c r="S36" s="27" t="s">
        <v>98</v>
      </c>
      <c r="T36" s="173" t="s">
        <v>709</v>
      </c>
      <c r="U36" s="110"/>
      <c r="V36" s="34"/>
      <c r="W36" s="156"/>
      <c r="X36" s="110"/>
      <c r="Y36" s="46"/>
      <c r="Z36" s="182"/>
      <c r="AA36" s="110"/>
      <c r="AB36" s="46"/>
      <c r="AC36" s="182"/>
      <c r="AD36" s="110"/>
      <c r="AE36" s="97"/>
      <c r="AF36" s="47"/>
      <c r="AM36"/>
    </row>
    <row r="37" spans="1:39" ht="18" x14ac:dyDescent="0.45">
      <c r="A37" s="133" t="s">
        <v>438</v>
      </c>
      <c r="B37" s="222" t="s">
        <v>610</v>
      </c>
      <c r="C37" s="123"/>
      <c r="D37" s="76"/>
      <c r="E37" s="197"/>
      <c r="F37" s="109"/>
      <c r="G37" s="33"/>
      <c r="H37" s="197"/>
      <c r="I37" s="109"/>
      <c r="J37" s="33"/>
      <c r="K37" s="155"/>
      <c r="L37" s="109"/>
      <c r="M37" s="33"/>
      <c r="N37" s="155"/>
      <c r="O37" s="109"/>
      <c r="P37" s="33"/>
      <c r="Q37" s="155"/>
      <c r="R37" s="109" t="s">
        <v>695</v>
      </c>
      <c r="S37" s="33" t="s">
        <v>107</v>
      </c>
      <c r="T37" s="155" t="s">
        <v>709</v>
      </c>
      <c r="U37" s="109"/>
      <c r="V37" s="33"/>
      <c r="W37" s="155"/>
      <c r="X37" s="109"/>
      <c r="Y37" s="48"/>
      <c r="Z37" s="181"/>
      <c r="AA37" s="109"/>
      <c r="AB37" s="48"/>
      <c r="AC37" s="181"/>
      <c r="AD37" s="109"/>
      <c r="AE37" s="96"/>
      <c r="AF37" s="49"/>
      <c r="AM37"/>
    </row>
    <row r="38" spans="1:39" ht="18.600000000000001" thickBot="1" x14ac:dyDescent="0.5">
      <c r="A38" s="135"/>
      <c r="B38" s="228"/>
      <c r="C38" s="124"/>
      <c r="D38" s="77"/>
      <c r="E38" s="198"/>
      <c r="F38" s="110"/>
      <c r="G38" s="34"/>
      <c r="H38" s="198"/>
      <c r="I38" s="110"/>
      <c r="J38" s="34"/>
      <c r="K38" s="156"/>
      <c r="L38" s="110"/>
      <c r="M38" s="34"/>
      <c r="N38" s="156"/>
      <c r="O38" s="110"/>
      <c r="P38" s="34"/>
      <c r="Q38" s="156"/>
      <c r="R38" s="110" t="s">
        <v>695</v>
      </c>
      <c r="S38" s="34" t="s">
        <v>110</v>
      </c>
      <c r="T38" s="156" t="s">
        <v>708</v>
      </c>
      <c r="U38" s="110"/>
      <c r="V38" s="34"/>
      <c r="W38" s="156"/>
      <c r="X38" s="110"/>
      <c r="Y38" s="46"/>
      <c r="Z38" s="182"/>
      <c r="AA38" s="110"/>
      <c r="AB38" s="46"/>
      <c r="AC38" s="182"/>
      <c r="AD38" s="110"/>
      <c r="AE38" s="97"/>
      <c r="AF38" s="47"/>
      <c r="AM38"/>
    </row>
    <row r="39" spans="1:39" ht="18.600000000000001" thickBot="1" x14ac:dyDescent="0.5">
      <c r="A39" s="135"/>
      <c r="B39" s="224" t="s">
        <v>611</v>
      </c>
      <c r="C39" s="122"/>
      <c r="D39" s="78"/>
      <c r="E39" s="199"/>
      <c r="F39" s="107"/>
      <c r="G39" s="35"/>
      <c r="H39" s="199"/>
      <c r="I39" s="107"/>
      <c r="J39" s="35"/>
      <c r="K39" s="157"/>
      <c r="L39" s="107"/>
      <c r="M39" s="35"/>
      <c r="N39" s="157"/>
      <c r="O39" s="107"/>
      <c r="P39" s="35"/>
      <c r="Q39" s="157"/>
      <c r="R39" s="107"/>
      <c r="S39" s="35"/>
      <c r="T39" s="157"/>
      <c r="U39" s="107"/>
      <c r="V39" s="35"/>
      <c r="W39" s="157"/>
      <c r="X39" s="107" t="s">
        <v>695</v>
      </c>
      <c r="Y39" s="60" t="s">
        <v>484</v>
      </c>
      <c r="Z39" s="179" t="s">
        <v>709</v>
      </c>
      <c r="AA39" s="107"/>
      <c r="AB39" s="60"/>
      <c r="AC39" s="179"/>
      <c r="AD39" s="107"/>
      <c r="AE39" s="94"/>
      <c r="AF39" s="61"/>
      <c r="AM39"/>
    </row>
    <row r="40" spans="1:39" ht="34.799999999999997" x14ac:dyDescent="0.45">
      <c r="A40" s="135"/>
      <c r="B40" s="225" t="s">
        <v>612</v>
      </c>
      <c r="C40" s="123"/>
      <c r="D40" s="76"/>
      <c r="E40" s="197"/>
      <c r="F40" s="109"/>
      <c r="G40" s="33"/>
      <c r="H40" s="197"/>
      <c r="I40" s="109"/>
      <c r="J40" s="33"/>
      <c r="K40" s="155"/>
      <c r="L40" s="109"/>
      <c r="M40" s="33"/>
      <c r="N40" s="155"/>
      <c r="O40" s="109"/>
      <c r="P40" s="33"/>
      <c r="Q40" s="155"/>
      <c r="R40" s="109"/>
      <c r="S40" s="33"/>
      <c r="T40" s="155"/>
      <c r="U40" s="109"/>
      <c r="V40" s="33"/>
      <c r="W40" s="155"/>
      <c r="X40" s="109"/>
      <c r="Y40" s="48"/>
      <c r="Z40" s="181"/>
      <c r="AA40" s="109" t="s">
        <v>695</v>
      </c>
      <c r="AB40" s="48" t="s">
        <v>485</v>
      </c>
      <c r="AC40" s="181" t="s">
        <v>708</v>
      </c>
      <c r="AD40" s="109"/>
      <c r="AE40" s="96"/>
      <c r="AF40" s="49"/>
      <c r="AM40"/>
    </row>
    <row r="41" spans="1:39" ht="34.799999999999997" x14ac:dyDescent="0.45">
      <c r="A41" s="135"/>
      <c r="B41" s="228" t="s">
        <v>613</v>
      </c>
      <c r="C41" s="125"/>
      <c r="D41" s="84"/>
      <c r="E41" s="203"/>
      <c r="F41" s="111"/>
      <c r="G41" s="41"/>
      <c r="H41" s="203"/>
      <c r="I41" s="111"/>
      <c r="J41" s="41"/>
      <c r="K41" s="161"/>
      <c r="L41" s="111"/>
      <c r="M41" s="41"/>
      <c r="N41" s="161"/>
      <c r="O41" s="111"/>
      <c r="P41" s="41"/>
      <c r="Q41" s="161"/>
      <c r="R41" s="111"/>
      <c r="S41" s="41"/>
      <c r="T41" s="161"/>
      <c r="U41" s="111"/>
      <c r="V41" s="41"/>
      <c r="W41" s="161"/>
      <c r="X41" s="111"/>
      <c r="Y41" s="44"/>
      <c r="Z41" s="183"/>
      <c r="AA41" s="111" t="s">
        <v>695</v>
      </c>
      <c r="AB41" s="44" t="s">
        <v>117</v>
      </c>
      <c r="AC41" s="183" t="s">
        <v>708</v>
      </c>
      <c r="AD41" s="111"/>
      <c r="AE41" s="98"/>
      <c r="AF41" s="45"/>
      <c r="AM41"/>
    </row>
    <row r="42" spans="1:39" ht="18.600000000000001" thickBot="1" x14ac:dyDescent="0.5">
      <c r="A42" s="136"/>
      <c r="B42" s="223"/>
      <c r="C42" s="124"/>
      <c r="D42" s="77"/>
      <c r="E42" s="198"/>
      <c r="F42" s="110"/>
      <c r="G42" s="34"/>
      <c r="H42" s="198"/>
      <c r="I42" s="110"/>
      <c r="J42" s="34"/>
      <c r="K42" s="156"/>
      <c r="L42" s="110"/>
      <c r="M42" s="34"/>
      <c r="N42" s="156"/>
      <c r="O42" s="110"/>
      <c r="P42" s="34"/>
      <c r="Q42" s="156"/>
      <c r="R42" s="110"/>
      <c r="S42" s="34"/>
      <c r="T42" s="156"/>
      <c r="U42" s="110"/>
      <c r="V42" s="34"/>
      <c r="W42" s="156"/>
      <c r="X42" s="110"/>
      <c r="Y42" s="46"/>
      <c r="Z42" s="182"/>
      <c r="AA42" s="110" t="s">
        <v>695</v>
      </c>
      <c r="AB42" s="46" t="s">
        <v>486</v>
      </c>
      <c r="AC42" s="182" t="s">
        <v>708</v>
      </c>
      <c r="AD42" s="110"/>
      <c r="AE42" s="97"/>
      <c r="AF42" s="47"/>
      <c r="AM42"/>
    </row>
    <row r="43" spans="1:39" ht="18" x14ac:dyDescent="0.45">
      <c r="A43" s="133" t="s">
        <v>439</v>
      </c>
      <c r="B43" s="222" t="s">
        <v>614</v>
      </c>
      <c r="C43" s="123"/>
      <c r="D43" s="76"/>
      <c r="E43" s="197"/>
      <c r="F43" s="109"/>
      <c r="G43" s="33"/>
      <c r="H43" s="197"/>
      <c r="I43" s="109"/>
      <c r="J43" s="33"/>
      <c r="K43" s="155"/>
      <c r="L43" s="109"/>
      <c r="M43" s="33"/>
      <c r="N43" s="155"/>
      <c r="O43" s="109"/>
      <c r="P43" s="33"/>
      <c r="Q43" s="155"/>
      <c r="R43" s="109"/>
      <c r="S43" s="33"/>
      <c r="T43" s="155"/>
      <c r="U43" s="109"/>
      <c r="V43" s="33"/>
      <c r="W43" s="155"/>
      <c r="X43" s="109" t="s">
        <v>695</v>
      </c>
      <c r="Y43" s="48" t="s">
        <v>122</v>
      </c>
      <c r="Z43" s="181" t="s">
        <v>708</v>
      </c>
      <c r="AA43" s="109"/>
      <c r="AB43" s="48"/>
      <c r="AC43" s="181"/>
      <c r="AD43" s="109"/>
      <c r="AE43" s="96"/>
      <c r="AF43" s="49"/>
      <c r="AM43"/>
    </row>
    <row r="44" spans="1:39" ht="18.600000000000001" thickBot="1" x14ac:dyDescent="0.5">
      <c r="A44" s="134"/>
      <c r="B44" s="228"/>
      <c r="C44" s="124"/>
      <c r="D44" s="77"/>
      <c r="E44" s="198"/>
      <c r="F44" s="110"/>
      <c r="G44" s="34"/>
      <c r="H44" s="198"/>
      <c r="I44" s="110"/>
      <c r="J44" s="34"/>
      <c r="K44" s="156"/>
      <c r="L44" s="110"/>
      <c r="M44" s="34"/>
      <c r="N44" s="156"/>
      <c r="O44" s="110"/>
      <c r="P44" s="34"/>
      <c r="Q44" s="156"/>
      <c r="R44" s="110"/>
      <c r="S44" s="34"/>
      <c r="T44" s="156"/>
      <c r="U44" s="110"/>
      <c r="V44" s="34"/>
      <c r="W44" s="156"/>
      <c r="X44" s="110" t="s">
        <v>695</v>
      </c>
      <c r="Y44" s="46" t="s">
        <v>487</v>
      </c>
      <c r="Z44" s="182" t="s">
        <v>709</v>
      </c>
      <c r="AA44" s="110"/>
      <c r="AB44" s="46"/>
      <c r="AC44" s="182"/>
      <c r="AD44" s="110"/>
      <c r="AE44" s="97"/>
      <c r="AF44" s="47"/>
      <c r="AM44"/>
    </row>
    <row r="45" spans="1:39" ht="35.4" thickBot="1" x14ac:dyDescent="0.5">
      <c r="A45" s="134"/>
      <c r="B45" s="224" t="s">
        <v>615</v>
      </c>
      <c r="C45" s="122"/>
      <c r="D45" s="78"/>
      <c r="E45" s="199"/>
      <c r="F45" s="107"/>
      <c r="G45" s="35"/>
      <c r="H45" s="199"/>
      <c r="I45" s="107"/>
      <c r="J45" s="35"/>
      <c r="K45" s="157"/>
      <c r="L45" s="107"/>
      <c r="M45" s="35"/>
      <c r="N45" s="157"/>
      <c r="O45" s="107"/>
      <c r="P45" s="35"/>
      <c r="Q45" s="157"/>
      <c r="R45" s="107"/>
      <c r="S45" s="35"/>
      <c r="T45" s="157"/>
      <c r="U45" s="107"/>
      <c r="V45" s="35"/>
      <c r="W45" s="157"/>
      <c r="X45" s="107" t="s">
        <v>695</v>
      </c>
      <c r="Y45" s="60" t="s">
        <v>128</v>
      </c>
      <c r="Z45" s="179"/>
      <c r="AA45" s="107" t="s">
        <v>695</v>
      </c>
      <c r="AB45" s="60" t="s">
        <v>126</v>
      </c>
      <c r="AC45" s="179"/>
      <c r="AD45" s="107"/>
      <c r="AE45" s="94"/>
      <c r="AF45" s="61"/>
      <c r="AM45"/>
    </row>
    <row r="46" spans="1:39" ht="34.799999999999997" x14ac:dyDescent="0.45">
      <c r="A46" s="134"/>
      <c r="B46" s="225" t="s">
        <v>616</v>
      </c>
      <c r="C46" s="127"/>
      <c r="D46" s="79"/>
      <c r="E46" s="200"/>
      <c r="F46" s="113"/>
      <c r="G46" s="36"/>
      <c r="H46" s="200"/>
      <c r="I46" s="113"/>
      <c r="J46" s="36"/>
      <c r="K46" s="158"/>
      <c r="L46" s="113"/>
      <c r="M46" s="36"/>
      <c r="N46" s="158"/>
      <c r="O46" s="113"/>
      <c r="P46" s="36"/>
      <c r="Q46" s="158"/>
      <c r="R46" s="113"/>
      <c r="S46" s="36"/>
      <c r="T46" s="158"/>
      <c r="U46" s="113"/>
      <c r="V46" s="36"/>
      <c r="W46" s="158"/>
      <c r="X46" s="113" t="s">
        <v>695</v>
      </c>
      <c r="Y46" s="29" t="s">
        <v>488</v>
      </c>
      <c r="Z46" s="177" t="s">
        <v>709</v>
      </c>
      <c r="AA46" s="113"/>
      <c r="AB46" s="52"/>
      <c r="AC46" s="184"/>
      <c r="AD46" s="113"/>
      <c r="AE46" s="95"/>
      <c r="AF46" s="53"/>
      <c r="AM46"/>
    </row>
    <row r="47" spans="1:39" ht="35.4" thickBot="1" x14ac:dyDescent="0.5">
      <c r="A47" s="137"/>
      <c r="B47" s="223" t="s">
        <v>617</v>
      </c>
      <c r="C47" s="128"/>
      <c r="D47" s="77"/>
      <c r="E47" s="202"/>
      <c r="F47" s="114"/>
      <c r="G47" s="34"/>
      <c r="H47" s="202"/>
      <c r="I47" s="114"/>
      <c r="J47" s="34"/>
      <c r="K47" s="160"/>
      <c r="L47" s="114"/>
      <c r="M47" s="34"/>
      <c r="N47" s="160"/>
      <c r="O47" s="114"/>
      <c r="P47" s="34"/>
      <c r="Q47" s="160"/>
      <c r="R47" s="114"/>
      <c r="S47" s="34"/>
      <c r="T47" s="160"/>
      <c r="U47" s="114"/>
      <c r="V47" s="34"/>
      <c r="W47" s="160"/>
      <c r="X47" s="114" t="s">
        <v>695</v>
      </c>
      <c r="Y47" s="27" t="s">
        <v>489</v>
      </c>
      <c r="Z47" s="175" t="s">
        <v>709</v>
      </c>
      <c r="AA47" s="114"/>
      <c r="AB47" s="46"/>
      <c r="AC47" s="185"/>
      <c r="AD47" s="114"/>
      <c r="AE47" s="97"/>
      <c r="AF47" s="63"/>
      <c r="AM47"/>
    </row>
    <row r="48" spans="1:39" ht="34.799999999999997" x14ac:dyDescent="0.45">
      <c r="A48" s="133" t="s">
        <v>440</v>
      </c>
      <c r="B48" s="225" t="s">
        <v>618</v>
      </c>
      <c r="C48" s="123"/>
      <c r="D48" s="76"/>
      <c r="E48" s="197"/>
      <c r="F48" s="109"/>
      <c r="G48" s="33"/>
      <c r="H48" s="197"/>
      <c r="I48" s="109"/>
      <c r="J48" s="33"/>
      <c r="K48" s="155"/>
      <c r="L48" s="109"/>
      <c r="M48" s="33"/>
      <c r="N48" s="155"/>
      <c r="O48" s="109"/>
      <c r="P48" s="33"/>
      <c r="Q48" s="155"/>
      <c r="R48" s="109"/>
      <c r="S48" s="33"/>
      <c r="T48" s="155"/>
      <c r="U48" s="109" t="s">
        <v>695</v>
      </c>
      <c r="V48" s="33" t="s">
        <v>490</v>
      </c>
      <c r="W48" s="155" t="s">
        <v>708</v>
      </c>
      <c r="X48" s="109"/>
      <c r="Y48" s="48"/>
      <c r="Z48" s="181"/>
      <c r="AA48" s="109"/>
      <c r="AB48" s="48"/>
      <c r="AC48" s="181"/>
      <c r="AD48" s="109"/>
      <c r="AE48" s="96"/>
      <c r="AF48" s="49"/>
      <c r="AM48"/>
    </row>
    <row r="49" spans="1:39" ht="35.4" thickBot="1" x14ac:dyDescent="0.5">
      <c r="A49" s="134"/>
      <c r="B49" s="228" t="s">
        <v>620</v>
      </c>
      <c r="C49" s="126"/>
      <c r="D49" s="82"/>
      <c r="E49" s="201"/>
      <c r="F49" s="112"/>
      <c r="G49" s="39"/>
      <c r="H49" s="201"/>
      <c r="I49" s="112"/>
      <c r="J49" s="39"/>
      <c r="K49" s="159"/>
      <c r="L49" s="112"/>
      <c r="M49" s="39"/>
      <c r="N49" s="159"/>
      <c r="O49" s="112"/>
      <c r="P49" s="39"/>
      <c r="Q49" s="159"/>
      <c r="R49" s="112"/>
      <c r="S49" s="39"/>
      <c r="T49" s="159"/>
      <c r="U49" s="112" t="s">
        <v>695</v>
      </c>
      <c r="V49" s="28" t="s">
        <v>491</v>
      </c>
      <c r="W49" s="174" t="s">
        <v>709</v>
      </c>
      <c r="X49" s="112"/>
      <c r="Y49" s="56"/>
      <c r="Z49" s="180"/>
      <c r="AA49" s="112"/>
      <c r="AB49" s="56"/>
      <c r="AC49" s="180"/>
      <c r="AD49" s="112"/>
      <c r="AE49" s="101"/>
      <c r="AF49" s="59"/>
      <c r="AM49"/>
    </row>
    <row r="50" spans="1:39" ht="35.4" thickBot="1" x14ac:dyDescent="0.5">
      <c r="A50" s="134"/>
      <c r="B50" s="224" t="s">
        <v>619</v>
      </c>
      <c r="C50" s="122"/>
      <c r="D50" s="78"/>
      <c r="E50" s="199"/>
      <c r="F50" s="107"/>
      <c r="G50" s="35"/>
      <c r="H50" s="199"/>
      <c r="I50" s="107"/>
      <c r="J50" s="35"/>
      <c r="K50" s="157"/>
      <c r="L50" s="107"/>
      <c r="M50" s="35"/>
      <c r="N50" s="157"/>
      <c r="O50" s="107"/>
      <c r="P50" s="35"/>
      <c r="Q50" s="157"/>
      <c r="R50" s="107"/>
      <c r="S50" s="35"/>
      <c r="T50" s="157"/>
      <c r="U50" s="107"/>
      <c r="V50" s="35"/>
      <c r="W50" s="157"/>
      <c r="X50" s="107" t="s">
        <v>695</v>
      </c>
      <c r="Y50" s="60" t="s">
        <v>492</v>
      </c>
      <c r="Z50" s="179" t="s">
        <v>708</v>
      </c>
      <c r="AA50" s="107"/>
      <c r="AB50" s="60"/>
      <c r="AC50" s="179"/>
      <c r="AD50" s="107"/>
      <c r="AE50" s="94"/>
      <c r="AF50" s="61"/>
      <c r="AM50"/>
    </row>
    <row r="51" spans="1:39" ht="34.799999999999997" x14ac:dyDescent="0.45">
      <c r="A51" s="134"/>
      <c r="B51" s="225" t="s">
        <v>621</v>
      </c>
      <c r="C51" s="123"/>
      <c r="D51" s="76"/>
      <c r="E51" s="197"/>
      <c r="F51" s="109"/>
      <c r="G51" s="33"/>
      <c r="H51" s="197"/>
      <c r="I51" s="109"/>
      <c r="J51" s="33"/>
      <c r="K51" s="155"/>
      <c r="L51" s="109"/>
      <c r="M51" s="33"/>
      <c r="N51" s="155"/>
      <c r="O51" s="109"/>
      <c r="P51" s="33"/>
      <c r="Q51" s="155"/>
      <c r="R51" s="109"/>
      <c r="S51" s="33"/>
      <c r="T51" s="155"/>
      <c r="U51" s="109"/>
      <c r="V51" s="33"/>
      <c r="W51" s="155"/>
      <c r="X51" s="109" t="s">
        <v>695</v>
      </c>
      <c r="Y51" s="48" t="s">
        <v>493</v>
      </c>
      <c r="Z51" s="181" t="s">
        <v>708</v>
      </c>
      <c r="AA51" s="109"/>
      <c r="AB51" s="48"/>
      <c r="AC51" s="181"/>
      <c r="AD51" s="109"/>
      <c r="AE51" s="96"/>
      <c r="AF51" s="49"/>
      <c r="AM51"/>
    </row>
    <row r="52" spans="1:39" ht="35.4" thickBot="1" x14ac:dyDescent="0.5">
      <c r="A52" s="137"/>
      <c r="B52" s="223" t="s">
        <v>622</v>
      </c>
      <c r="C52" s="128"/>
      <c r="D52" s="77"/>
      <c r="E52" s="202"/>
      <c r="F52" s="114"/>
      <c r="G52" s="34"/>
      <c r="H52" s="202"/>
      <c r="I52" s="114"/>
      <c r="J52" s="34"/>
      <c r="K52" s="160"/>
      <c r="L52" s="114"/>
      <c r="M52" s="34"/>
      <c r="N52" s="160"/>
      <c r="O52" s="114"/>
      <c r="P52" s="34"/>
      <c r="Q52" s="160"/>
      <c r="R52" s="114"/>
      <c r="S52" s="34"/>
      <c r="T52" s="160"/>
      <c r="U52" s="114"/>
      <c r="V52" s="34"/>
      <c r="W52" s="160"/>
      <c r="X52" s="114" t="s">
        <v>695</v>
      </c>
      <c r="Y52" s="27" t="s">
        <v>494</v>
      </c>
      <c r="Z52" s="175" t="s">
        <v>708</v>
      </c>
      <c r="AA52" s="114"/>
      <c r="AB52" s="46"/>
      <c r="AC52" s="185"/>
      <c r="AD52" s="114"/>
      <c r="AE52" s="97"/>
      <c r="AF52" s="63"/>
      <c r="AM52"/>
    </row>
    <row r="53" spans="1:39" ht="18" x14ac:dyDescent="0.45">
      <c r="A53" s="138" t="s">
        <v>441</v>
      </c>
      <c r="B53" s="225" t="s">
        <v>623</v>
      </c>
      <c r="C53" s="123" t="s">
        <v>695</v>
      </c>
      <c r="D53" s="76" t="s">
        <v>146</v>
      </c>
      <c r="E53" s="197" t="s">
        <v>707</v>
      </c>
      <c r="F53" s="109"/>
      <c r="G53" s="33"/>
      <c r="H53" s="197"/>
      <c r="I53" s="109"/>
      <c r="J53" s="33"/>
      <c r="K53" s="155"/>
      <c r="L53" s="109"/>
      <c r="M53" s="33"/>
      <c r="N53" s="155"/>
      <c r="O53" s="109"/>
      <c r="P53" s="33"/>
      <c r="Q53" s="155"/>
      <c r="R53" s="109"/>
      <c r="S53" s="33"/>
      <c r="T53" s="155"/>
      <c r="U53" s="109"/>
      <c r="V53" s="33"/>
      <c r="W53" s="155"/>
      <c r="X53" s="109"/>
      <c r="Y53" s="48"/>
      <c r="Z53" s="181"/>
      <c r="AA53" s="109"/>
      <c r="AB53" s="48"/>
      <c r="AC53" s="181"/>
      <c r="AD53" s="109"/>
      <c r="AE53" s="96"/>
      <c r="AF53" s="49"/>
      <c r="AM53"/>
    </row>
    <row r="54" spans="1:39" ht="34.799999999999997" x14ac:dyDescent="0.45">
      <c r="A54" s="139"/>
      <c r="B54" s="226" t="s">
        <v>624</v>
      </c>
      <c r="C54" s="127"/>
      <c r="D54" s="79"/>
      <c r="E54" s="200"/>
      <c r="F54" s="113"/>
      <c r="G54" s="36"/>
      <c r="H54" s="200"/>
      <c r="I54" s="113" t="s">
        <v>695</v>
      </c>
      <c r="J54" s="36" t="s">
        <v>497</v>
      </c>
      <c r="K54" s="216" t="s">
        <v>711</v>
      </c>
      <c r="L54" s="113" t="s">
        <v>695</v>
      </c>
      <c r="M54" s="36" t="s">
        <v>697</v>
      </c>
      <c r="N54" s="158" t="s">
        <v>708</v>
      </c>
      <c r="O54" s="113"/>
      <c r="P54" s="36"/>
      <c r="Q54" s="158"/>
      <c r="R54" s="113" t="s">
        <v>695</v>
      </c>
      <c r="S54" s="36" t="s">
        <v>500</v>
      </c>
      <c r="T54" s="158" t="s">
        <v>709</v>
      </c>
      <c r="U54" s="113"/>
      <c r="V54" s="36"/>
      <c r="W54" s="158"/>
      <c r="X54" s="113"/>
      <c r="Y54" s="52"/>
      <c r="Z54" s="184"/>
      <c r="AA54" s="113"/>
      <c r="AB54" s="52"/>
      <c r="AC54" s="184"/>
      <c r="AD54" s="113"/>
      <c r="AE54" s="95"/>
      <c r="AF54" s="53"/>
      <c r="AM54"/>
    </row>
    <row r="55" spans="1:39" ht="18" x14ac:dyDescent="0.45">
      <c r="A55" s="139"/>
      <c r="B55" s="226" t="s">
        <v>628</v>
      </c>
      <c r="C55" s="127"/>
      <c r="D55" s="79"/>
      <c r="E55" s="200"/>
      <c r="F55" s="113" t="s">
        <v>695</v>
      </c>
      <c r="G55" s="36" t="s">
        <v>496</v>
      </c>
      <c r="H55" s="200" t="s">
        <v>709</v>
      </c>
      <c r="I55" s="113"/>
      <c r="J55" s="36"/>
      <c r="K55" s="158"/>
      <c r="L55" s="113" t="s">
        <v>695</v>
      </c>
      <c r="M55" s="36" t="s">
        <v>698</v>
      </c>
      <c r="N55" s="158" t="s">
        <v>708</v>
      </c>
      <c r="O55" s="113"/>
      <c r="P55" s="36"/>
      <c r="Q55" s="158"/>
      <c r="R55" s="113"/>
      <c r="S55" s="36"/>
      <c r="T55" s="158"/>
      <c r="U55" s="113"/>
      <c r="V55" s="36"/>
      <c r="W55" s="158"/>
      <c r="X55" s="113"/>
      <c r="Y55" s="52"/>
      <c r="Z55" s="184"/>
      <c r="AA55" s="113"/>
      <c r="AB55" s="52"/>
      <c r="AC55" s="184"/>
      <c r="AD55" s="113"/>
      <c r="AE55" s="95"/>
      <c r="AF55" s="53"/>
      <c r="AM55"/>
    </row>
    <row r="56" spans="1:39" ht="34.799999999999997" x14ac:dyDescent="0.45">
      <c r="A56" s="139"/>
      <c r="B56" s="226" t="s">
        <v>630</v>
      </c>
      <c r="C56" s="127"/>
      <c r="D56" s="79"/>
      <c r="E56" s="200"/>
      <c r="F56" s="113"/>
      <c r="G56" s="36"/>
      <c r="H56" s="200"/>
      <c r="I56" s="113" t="s">
        <v>695</v>
      </c>
      <c r="J56" s="36" t="s">
        <v>498</v>
      </c>
      <c r="K56" s="216" t="s">
        <v>711</v>
      </c>
      <c r="L56" s="113"/>
      <c r="M56" s="36"/>
      <c r="N56" s="158"/>
      <c r="O56" s="113"/>
      <c r="P56" s="36"/>
      <c r="Q56" s="158"/>
      <c r="R56" s="113"/>
      <c r="S56" s="36"/>
      <c r="T56" s="158"/>
      <c r="U56" s="113"/>
      <c r="V56" s="36"/>
      <c r="W56" s="158"/>
      <c r="X56" s="113"/>
      <c r="Y56" s="52"/>
      <c r="Z56" s="184"/>
      <c r="AA56" s="113"/>
      <c r="AB56" s="52"/>
      <c r="AC56" s="184"/>
      <c r="AD56" s="113"/>
      <c r="AE56" s="95"/>
      <c r="AF56" s="53"/>
      <c r="AM56"/>
    </row>
    <row r="57" spans="1:39" ht="18" x14ac:dyDescent="0.45">
      <c r="A57" s="139"/>
      <c r="B57" s="226" t="s">
        <v>625</v>
      </c>
      <c r="C57" s="127"/>
      <c r="D57" s="79"/>
      <c r="E57" s="200"/>
      <c r="F57" s="113" t="s">
        <v>695</v>
      </c>
      <c r="G57" s="36" t="s">
        <v>495</v>
      </c>
      <c r="H57" s="200" t="s">
        <v>709</v>
      </c>
      <c r="I57" s="113"/>
      <c r="J57" s="36"/>
      <c r="K57" s="158"/>
      <c r="L57" s="113" t="s">
        <v>695</v>
      </c>
      <c r="M57" s="36" t="s">
        <v>699</v>
      </c>
      <c r="N57" s="158" t="s">
        <v>708</v>
      </c>
      <c r="O57" s="113"/>
      <c r="P57" s="36"/>
      <c r="Q57" s="158"/>
      <c r="R57" s="113"/>
      <c r="S57" s="36"/>
      <c r="T57" s="158"/>
      <c r="U57" s="113"/>
      <c r="V57" s="36"/>
      <c r="W57" s="158"/>
      <c r="X57" s="113"/>
      <c r="Y57" s="52"/>
      <c r="Z57" s="184"/>
      <c r="AA57" s="113"/>
      <c r="AB57" s="52"/>
      <c r="AC57" s="184"/>
      <c r="AD57" s="113"/>
      <c r="AE57" s="95"/>
      <c r="AF57" s="53"/>
      <c r="AM57"/>
    </row>
    <row r="58" spans="1:39" ht="18" x14ac:dyDescent="0.45">
      <c r="A58" s="139"/>
      <c r="B58" s="226" t="s">
        <v>626</v>
      </c>
      <c r="C58" s="127"/>
      <c r="D58" s="79"/>
      <c r="E58" s="200"/>
      <c r="F58" s="113"/>
      <c r="G58" s="36"/>
      <c r="H58" s="200"/>
      <c r="I58" s="113"/>
      <c r="J58" s="36"/>
      <c r="K58" s="158"/>
      <c r="L58" s="113" t="s">
        <v>695</v>
      </c>
      <c r="M58" s="36" t="s">
        <v>177</v>
      </c>
      <c r="N58" s="158" t="s">
        <v>708</v>
      </c>
      <c r="O58" s="113"/>
      <c r="P58" s="36"/>
      <c r="Q58" s="158"/>
      <c r="R58" s="113"/>
      <c r="S58" s="36"/>
      <c r="T58" s="158"/>
      <c r="U58" s="113"/>
      <c r="V58" s="36"/>
      <c r="W58" s="158"/>
      <c r="X58" s="113"/>
      <c r="Y58" s="52"/>
      <c r="Z58" s="184"/>
      <c r="AA58" s="113"/>
      <c r="AB58" s="52"/>
      <c r="AC58" s="184"/>
      <c r="AD58" s="113"/>
      <c r="AE58" s="95"/>
      <c r="AF58" s="53"/>
      <c r="AM58"/>
    </row>
    <row r="59" spans="1:39" ht="18" x14ac:dyDescent="0.45">
      <c r="A59" s="139"/>
      <c r="B59" s="226" t="s">
        <v>627</v>
      </c>
      <c r="C59" s="127"/>
      <c r="D59" s="79"/>
      <c r="E59" s="200"/>
      <c r="F59" s="113"/>
      <c r="G59" s="36"/>
      <c r="H59" s="200"/>
      <c r="I59" s="113"/>
      <c r="J59" s="36"/>
      <c r="K59" s="158"/>
      <c r="L59" s="113" t="s">
        <v>695</v>
      </c>
      <c r="M59" s="36" t="s">
        <v>178</v>
      </c>
      <c r="N59" s="158" t="s">
        <v>708</v>
      </c>
      <c r="O59" s="113"/>
      <c r="P59" s="36"/>
      <c r="Q59" s="158"/>
      <c r="R59" s="113"/>
      <c r="S59" s="36"/>
      <c r="T59" s="158"/>
      <c r="U59" s="113"/>
      <c r="V59" s="36"/>
      <c r="W59" s="158"/>
      <c r="X59" s="113"/>
      <c r="Y59" s="52"/>
      <c r="Z59" s="184"/>
      <c r="AA59" s="113"/>
      <c r="AB59" s="52"/>
      <c r="AC59" s="184"/>
      <c r="AD59" s="113"/>
      <c r="AE59" s="95"/>
      <c r="AF59" s="53"/>
      <c r="AM59"/>
    </row>
    <row r="60" spans="1:39" ht="34.799999999999997" x14ac:dyDescent="0.45">
      <c r="A60" s="139"/>
      <c r="B60" s="226" t="s">
        <v>644</v>
      </c>
      <c r="C60" s="127"/>
      <c r="D60" s="79"/>
      <c r="E60" s="200"/>
      <c r="F60" s="113"/>
      <c r="G60" s="36"/>
      <c r="H60" s="200"/>
      <c r="I60" s="113"/>
      <c r="J60" s="36"/>
      <c r="K60" s="158"/>
      <c r="L60" s="113" t="s">
        <v>695</v>
      </c>
      <c r="M60" s="36" t="s">
        <v>499</v>
      </c>
      <c r="N60" s="158" t="s">
        <v>709</v>
      </c>
      <c r="O60" s="113" t="s">
        <v>695</v>
      </c>
      <c r="P60" s="36" t="s">
        <v>700</v>
      </c>
      <c r="Q60" s="158" t="s">
        <v>708</v>
      </c>
      <c r="R60" s="113" t="s">
        <v>695</v>
      </c>
      <c r="S60" s="36" t="s">
        <v>502</v>
      </c>
      <c r="T60" s="216" t="s">
        <v>719</v>
      </c>
      <c r="U60" s="113"/>
      <c r="V60" s="36"/>
      <c r="W60" s="158"/>
      <c r="X60" s="113"/>
      <c r="Y60" s="52"/>
      <c r="Z60" s="184"/>
      <c r="AA60" s="113"/>
      <c r="AB60" s="52"/>
      <c r="AC60" s="184"/>
      <c r="AD60" s="113"/>
      <c r="AE60" s="95"/>
      <c r="AF60" s="53"/>
      <c r="AM60"/>
    </row>
    <row r="61" spans="1:39" ht="18" x14ac:dyDescent="0.45">
      <c r="A61" s="139"/>
      <c r="B61" s="226" t="s">
        <v>631</v>
      </c>
      <c r="C61" s="127"/>
      <c r="D61" s="79"/>
      <c r="E61" s="200"/>
      <c r="F61" s="113"/>
      <c r="G61" s="36"/>
      <c r="H61" s="200"/>
      <c r="I61" s="113"/>
      <c r="J61" s="36"/>
      <c r="K61" s="158"/>
      <c r="L61" s="113"/>
      <c r="M61" s="36"/>
      <c r="N61" s="158"/>
      <c r="O61" s="113" t="s">
        <v>695</v>
      </c>
      <c r="P61" s="36" t="s">
        <v>176</v>
      </c>
      <c r="Q61" s="158" t="s">
        <v>708</v>
      </c>
      <c r="R61" s="113"/>
      <c r="S61" s="36"/>
      <c r="T61" s="158"/>
      <c r="U61" s="113"/>
      <c r="V61" s="36"/>
      <c r="W61" s="158"/>
      <c r="X61" s="113"/>
      <c r="Y61" s="52"/>
      <c r="Z61" s="184"/>
      <c r="AA61" s="113"/>
      <c r="AB61" s="52"/>
      <c r="AC61" s="184"/>
      <c r="AD61" s="113"/>
      <c r="AE61" s="95"/>
      <c r="AF61" s="53"/>
      <c r="AM61"/>
    </row>
    <row r="62" spans="1:39" ht="18" x14ac:dyDescent="0.45">
      <c r="A62" s="139"/>
      <c r="B62" s="228" t="s">
        <v>632</v>
      </c>
      <c r="C62" s="126"/>
      <c r="D62" s="79"/>
      <c r="E62" s="201"/>
      <c r="F62" s="112"/>
      <c r="G62" s="36"/>
      <c r="H62" s="201"/>
      <c r="I62" s="112"/>
      <c r="J62" s="36"/>
      <c r="K62" s="159"/>
      <c r="L62" s="112"/>
      <c r="M62" s="36"/>
      <c r="N62" s="159"/>
      <c r="O62" s="112" t="s">
        <v>695</v>
      </c>
      <c r="P62" s="29" t="s">
        <v>744</v>
      </c>
      <c r="Q62" s="174" t="s">
        <v>708</v>
      </c>
      <c r="R62" s="112"/>
      <c r="S62" s="36"/>
      <c r="T62" s="159"/>
      <c r="U62" s="112"/>
      <c r="V62" s="36"/>
      <c r="W62" s="159"/>
      <c r="X62" s="112"/>
      <c r="Y62" s="52"/>
      <c r="Z62" s="180"/>
      <c r="AA62" s="112"/>
      <c r="AB62" s="52"/>
      <c r="AC62" s="180"/>
      <c r="AD62" s="112"/>
      <c r="AE62" s="95"/>
      <c r="AF62" s="59"/>
      <c r="AM62"/>
    </row>
    <row r="63" spans="1:39" ht="18.600000000000001" thickBot="1" x14ac:dyDescent="0.5">
      <c r="A63" s="139"/>
      <c r="B63" s="229"/>
      <c r="C63" s="126"/>
      <c r="D63" s="80"/>
      <c r="E63" s="201"/>
      <c r="F63" s="112"/>
      <c r="G63" s="37"/>
      <c r="H63" s="201"/>
      <c r="I63" s="112"/>
      <c r="J63" s="37"/>
      <c r="K63" s="159"/>
      <c r="L63" s="112"/>
      <c r="M63" s="37"/>
      <c r="N63" s="159"/>
      <c r="O63" s="112" t="s">
        <v>695</v>
      </c>
      <c r="P63" s="37" t="s">
        <v>193</v>
      </c>
      <c r="Q63" s="159" t="s">
        <v>708</v>
      </c>
      <c r="R63" s="112"/>
      <c r="S63" s="37"/>
      <c r="T63" s="159"/>
      <c r="U63" s="112"/>
      <c r="V63" s="37"/>
      <c r="W63" s="159"/>
      <c r="X63" s="112"/>
      <c r="Y63" s="58"/>
      <c r="Z63" s="180"/>
      <c r="AA63" s="112"/>
      <c r="AB63" s="58"/>
      <c r="AC63" s="180"/>
      <c r="AD63" s="112"/>
      <c r="AE63" s="99"/>
      <c r="AF63" s="59"/>
      <c r="AM63"/>
    </row>
    <row r="64" spans="1:39" ht="34.799999999999997" x14ac:dyDescent="0.45">
      <c r="A64" s="139"/>
      <c r="B64" s="225" t="s">
        <v>633</v>
      </c>
      <c r="C64" s="123"/>
      <c r="D64" s="76"/>
      <c r="E64" s="197"/>
      <c r="F64" s="109"/>
      <c r="G64" s="33"/>
      <c r="H64" s="197"/>
      <c r="I64" s="109"/>
      <c r="J64" s="33"/>
      <c r="K64" s="155"/>
      <c r="L64" s="109"/>
      <c r="M64" s="33"/>
      <c r="N64" s="155"/>
      <c r="O64" s="109" t="s">
        <v>695</v>
      </c>
      <c r="P64" s="33" t="s">
        <v>701</v>
      </c>
      <c r="Q64" s="254" t="s">
        <v>716</v>
      </c>
      <c r="R64" s="109"/>
      <c r="S64" s="33"/>
      <c r="T64" s="155"/>
      <c r="U64" s="109"/>
      <c r="V64" s="33"/>
      <c r="W64" s="155"/>
      <c r="X64" s="109"/>
      <c r="Y64" s="48"/>
      <c r="Z64" s="181"/>
      <c r="AA64" s="109"/>
      <c r="AB64" s="48"/>
      <c r="AC64" s="181"/>
      <c r="AD64" s="109"/>
      <c r="AE64" s="96"/>
      <c r="AF64" s="49"/>
      <c r="AM64"/>
    </row>
    <row r="65" spans="1:39" ht="18.600000000000001" thickBot="1" x14ac:dyDescent="0.5">
      <c r="A65" s="139"/>
      <c r="B65" s="227" t="s">
        <v>634</v>
      </c>
      <c r="C65" s="128"/>
      <c r="D65" s="81"/>
      <c r="E65" s="202"/>
      <c r="F65" s="114"/>
      <c r="G65" s="38"/>
      <c r="H65" s="202"/>
      <c r="I65" s="114"/>
      <c r="J65" s="38"/>
      <c r="K65" s="160"/>
      <c r="L65" s="114"/>
      <c r="M65" s="38"/>
      <c r="N65" s="160"/>
      <c r="O65" s="114" t="s">
        <v>695</v>
      </c>
      <c r="P65" s="38" t="s">
        <v>184</v>
      </c>
      <c r="Q65" s="160" t="s">
        <v>708</v>
      </c>
      <c r="R65" s="114"/>
      <c r="S65" s="38"/>
      <c r="T65" s="160"/>
      <c r="U65" s="114"/>
      <c r="V65" s="38"/>
      <c r="W65" s="160"/>
      <c r="X65" s="114"/>
      <c r="Y65" s="62"/>
      <c r="Z65" s="185"/>
      <c r="AA65" s="114"/>
      <c r="AB65" s="62"/>
      <c r="AC65" s="185"/>
      <c r="AD65" s="114"/>
      <c r="AE65" s="100"/>
      <c r="AF65" s="63"/>
      <c r="AM65"/>
    </row>
    <row r="66" spans="1:39" ht="18" x14ac:dyDescent="0.45">
      <c r="A66" s="139"/>
      <c r="B66" s="230" t="s">
        <v>635</v>
      </c>
      <c r="C66" s="127"/>
      <c r="D66" s="79"/>
      <c r="E66" s="200"/>
      <c r="F66" s="113"/>
      <c r="G66" s="36"/>
      <c r="H66" s="200"/>
      <c r="I66" s="113"/>
      <c r="J66" s="36"/>
      <c r="K66" s="158"/>
      <c r="L66" s="113"/>
      <c r="M66" s="36"/>
      <c r="N66" s="158"/>
      <c r="O66" s="113"/>
      <c r="P66" s="36"/>
      <c r="Q66" s="158"/>
      <c r="R66" s="113" t="s">
        <v>695</v>
      </c>
      <c r="S66" s="29" t="s">
        <v>501</v>
      </c>
      <c r="T66" s="177" t="s">
        <v>709</v>
      </c>
      <c r="U66" s="113"/>
      <c r="V66" s="36"/>
      <c r="W66" s="158"/>
      <c r="X66" s="113"/>
      <c r="Y66" s="52"/>
      <c r="Z66" s="184"/>
      <c r="AA66" s="113"/>
      <c r="AB66" s="52"/>
      <c r="AC66" s="184"/>
      <c r="AD66" s="113"/>
      <c r="AE66" s="95"/>
      <c r="AF66" s="53"/>
      <c r="AM66"/>
    </row>
    <row r="67" spans="1:39" ht="18" x14ac:dyDescent="0.45">
      <c r="A67" s="139"/>
      <c r="B67" s="226" t="s">
        <v>318</v>
      </c>
      <c r="C67" s="127"/>
      <c r="D67" s="79"/>
      <c r="E67" s="200"/>
      <c r="F67" s="113"/>
      <c r="G67" s="36"/>
      <c r="H67" s="200"/>
      <c r="I67" s="113"/>
      <c r="J67" s="36"/>
      <c r="K67" s="158"/>
      <c r="L67" s="113"/>
      <c r="M67" s="36"/>
      <c r="N67" s="158"/>
      <c r="O67" s="113"/>
      <c r="P67" s="36"/>
      <c r="Q67" s="158"/>
      <c r="R67" s="113"/>
      <c r="S67" s="36"/>
      <c r="T67" s="158"/>
      <c r="U67" s="113" t="s">
        <v>695</v>
      </c>
      <c r="V67" s="36" t="s">
        <v>169</v>
      </c>
      <c r="W67" s="158" t="s">
        <v>708</v>
      </c>
      <c r="X67" s="113"/>
      <c r="Y67" s="52"/>
      <c r="Z67" s="184"/>
      <c r="AA67" s="113"/>
      <c r="AB67" s="52"/>
      <c r="AC67" s="184"/>
      <c r="AD67" s="113"/>
      <c r="AE67" s="95"/>
      <c r="AF67" s="53"/>
      <c r="AM67"/>
    </row>
    <row r="68" spans="1:39" ht="18" x14ac:dyDescent="0.45">
      <c r="A68" s="139"/>
      <c r="B68" s="228" t="s">
        <v>636</v>
      </c>
      <c r="C68" s="125"/>
      <c r="D68" s="84"/>
      <c r="E68" s="203"/>
      <c r="F68" s="111"/>
      <c r="G68" s="41"/>
      <c r="H68" s="203"/>
      <c r="I68" s="111"/>
      <c r="J68" s="41"/>
      <c r="K68" s="161"/>
      <c r="L68" s="111"/>
      <c r="M68" s="41"/>
      <c r="N68" s="161"/>
      <c r="O68" s="111"/>
      <c r="P68" s="41"/>
      <c r="Q68" s="161"/>
      <c r="R68" s="111" t="s">
        <v>695</v>
      </c>
      <c r="S68" s="41" t="s">
        <v>503</v>
      </c>
      <c r="T68" s="161" t="s">
        <v>708</v>
      </c>
      <c r="U68" s="111"/>
      <c r="V68" s="41"/>
      <c r="W68" s="161"/>
      <c r="X68" s="111"/>
      <c r="Y68" s="44"/>
      <c r="Z68" s="183"/>
      <c r="AA68" s="111"/>
      <c r="AB68" s="44"/>
      <c r="AC68" s="183"/>
      <c r="AD68" s="111"/>
      <c r="AE68" s="98"/>
      <c r="AF68" s="45"/>
      <c r="AM68"/>
    </row>
    <row r="69" spans="1:39" ht="18" x14ac:dyDescent="0.45">
      <c r="A69" s="139"/>
      <c r="B69" s="231" t="s">
        <v>629</v>
      </c>
      <c r="C69" s="125"/>
      <c r="D69" s="84"/>
      <c r="E69" s="203"/>
      <c r="F69" s="111"/>
      <c r="G69" s="41"/>
      <c r="H69" s="203"/>
      <c r="I69" s="111"/>
      <c r="J69" s="41"/>
      <c r="K69" s="161"/>
      <c r="L69" s="111"/>
      <c r="M69" s="41"/>
      <c r="N69" s="161"/>
      <c r="O69" s="111"/>
      <c r="P69" s="41"/>
      <c r="Q69" s="161"/>
      <c r="R69" s="111"/>
      <c r="S69" s="41"/>
      <c r="T69" s="161"/>
      <c r="U69" s="111" t="s">
        <v>695</v>
      </c>
      <c r="V69" s="41" t="s">
        <v>504</v>
      </c>
      <c r="W69" s="161" t="s">
        <v>709</v>
      </c>
      <c r="X69" s="111"/>
      <c r="Y69" s="44"/>
      <c r="Z69" s="183"/>
      <c r="AA69" s="111"/>
      <c r="AB69" s="44"/>
      <c r="AC69" s="183"/>
      <c r="AD69" s="111"/>
      <c r="AE69" s="98"/>
      <c r="AF69" s="45"/>
      <c r="AM69"/>
    </row>
    <row r="70" spans="1:39" ht="18" x14ac:dyDescent="0.45">
      <c r="A70" s="139"/>
      <c r="B70" s="230"/>
      <c r="C70" s="125"/>
      <c r="D70" s="84"/>
      <c r="E70" s="203"/>
      <c r="F70" s="111"/>
      <c r="G70" s="41"/>
      <c r="H70" s="203"/>
      <c r="I70" s="111"/>
      <c r="J70" s="41"/>
      <c r="K70" s="161"/>
      <c r="L70" s="111"/>
      <c r="M70" s="41"/>
      <c r="N70" s="161"/>
      <c r="O70" s="111"/>
      <c r="P70" s="41"/>
      <c r="Q70" s="161"/>
      <c r="R70" s="111"/>
      <c r="S70" s="41"/>
      <c r="T70" s="161"/>
      <c r="U70" s="111" t="s">
        <v>695</v>
      </c>
      <c r="V70" s="41" t="s">
        <v>180</v>
      </c>
      <c r="W70" s="161" t="s">
        <v>709</v>
      </c>
      <c r="X70" s="111"/>
      <c r="Y70" s="44"/>
      <c r="Z70" s="183"/>
      <c r="AA70" s="111"/>
      <c r="AB70" s="44"/>
      <c r="AC70" s="183"/>
      <c r="AD70" s="111"/>
      <c r="AE70" s="98"/>
      <c r="AF70" s="45"/>
      <c r="AM70"/>
    </row>
    <row r="71" spans="1:39" ht="18" x14ac:dyDescent="0.45">
      <c r="A71" s="139"/>
      <c r="B71" s="226" t="s">
        <v>637</v>
      </c>
      <c r="C71" s="127"/>
      <c r="D71" s="79"/>
      <c r="E71" s="200"/>
      <c r="F71" s="113"/>
      <c r="G71" s="36"/>
      <c r="H71" s="200"/>
      <c r="I71" s="113"/>
      <c r="J71" s="36"/>
      <c r="K71" s="158"/>
      <c r="L71" s="113"/>
      <c r="M71" s="36"/>
      <c r="N71" s="158"/>
      <c r="O71" s="113"/>
      <c r="P71" s="36"/>
      <c r="Q71" s="158"/>
      <c r="R71" s="113" t="s">
        <v>695</v>
      </c>
      <c r="S71" s="29" t="s">
        <v>197</v>
      </c>
      <c r="T71" s="177"/>
      <c r="U71" s="113"/>
      <c r="V71" s="36"/>
      <c r="W71" s="158"/>
      <c r="X71" s="113"/>
      <c r="Y71" s="52"/>
      <c r="Z71" s="184"/>
      <c r="AA71" s="113"/>
      <c r="AB71" s="52"/>
      <c r="AC71" s="184"/>
      <c r="AD71" s="113"/>
      <c r="AE71" s="95"/>
      <c r="AF71" s="53"/>
      <c r="AM71"/>
    </row>
    <row r="72" spans="1:39" ht="18" x14ac:dyDescent="0.45">
      <c r="A72" s="139"/>
      <c r="B72" s="226" t="s">
        <v>639</v>
      </c>
      <c r="C72" s="127"/>
      <c r="D72" s="79"/>
      <c r="E72" s="200"/>
      <c r="F72" s="113"/>
      <c r="G72" s="36"/>
      <c r="H72" s="200"/>
      <c r="I72" s="113"/>
      <c r="J72" s="36"/>
      <c r="K72" s="158"/>
      <c r="L72" s="113"/>
      <c r="M72" s="36"/>
      <c r="N72" s="158"/>
      <c r="O72" s="113"/>
      <c r="P72" s="36"/>
      <c r="Q72" s="158"/>
      <c r="R72" s="113" t="s">
        <v>695</v>
      </c>
      <c r="S72" s="29" t="s">
        <v>195</v>
      </c>
      <c r="T72" s="177"/>
      <c r="U72" s="113"/>
      <c r="V72" s="36"/>
      <c r="W72" s="158"/>
      <c r="X72" s="113"/>
      <c r="Y72" s="52"/>
      <c r="Z72" s="184"/>
      <c r="AA72" s="113"/>
      <c r="AB72" s="52"/>
      <c r="AC72" s="184"/>
      <c r="AD72" s="113"/>
      <c r="AE72" s="95"/>
      <c r="AF72" s="53"/>
      <c r="AM72"/>
    </row>
    <row r="73" spans="1:39" ht="34.799999999999997" x14ac:dyDescent="0.45">
      <c r="A73" s="139"/>
      <c r="B73" s="226" t="s">
        <v>645</v>
      </c>
      <c r="C73" s="127"/>
      <c r="D73" s="79"/>
      <c r="E73" s="200"/>
      <c r="F73" s="113"/>
      <c r="G73" s="36"/>
      <c r="H73" s="200"/>
      <c r="I73" s="113"/>
      <c r="J73" s="36"/>
      <c r="K73" s="158"/>
      <c r="L73" s="113"/>
      <c r="M73" s="36"/>
      <c r="N73" s="158"/>
      <c r="O73" s="113"/>
      <c r="P73" s="36"/>
      <c r="Q73" s="158"/>
      <c r="R73" s="113"/>
      <c r="S73" s="36"/>
      <c r="T73" s="158"/>
      <c r="U73" s="113"/>
      <c r="V73" s="36"/>
      <c r="W73" s="158"/>
      <c r="X73" s="113" t="s">
        <v>695</v>
      </c>
      <c r="Y73" s="52" t="s">
        <v>728</v>
      </c>
      <c r="Z73" s="259" t="s">
        <v>716</v>
      </c>
      <c r="AA73" s="113"/>
      <c r="AB73" s="52"/>
      <c r="AC73" s="184"/>
      <c r="AD73" s="113"/>
      <c r="AE73" s="95"/>
      <c r="AF73" s="53"/>
      <c r="AM73"/>
    </row>
    <row r="74" spans="1:39" ht="18" x14ac:dyDescent="0.45">
      <c r="A74" s="139"/>
      <c r="B74" s="226" t="s">
        <v>651</v>
      </c>
      <c r="C74" s="127"/>
      <c r="D74" s="79"/>
      <c r="E74" s="200"/>
      <c r="F74" s="113"/>
      <c r="G74" s="36"/>
      <c r="H74" s="200"/>
      <c r="I74" s="113"/>
      <c r="J74" s="36"/>
      <c r="K74" s="158"/>
      <c r="L74" s="113"/>
      <c r="M74" s="36"/>
      <c r="N74" s="158"/>
      <c r="O74" s="113"/>
      <c r="P74" s="36"/>
      <c r="Q74" s="158"/>
      <c r="R74" s="113"/>
      <c r="S74" s="36"/>
      <c r="T74" s="158"/>
      <c r="U74" s="113"/>
      <c r="V74" s="36"/>
      <c r="W74" s="158"/>
      <c r="X74" s="113"/>
      <c r="Y74" s="52"/>
      <c r="Z74" s="184"/>
      <c r="AA74" s="113" t="s">
        <v>695</v>
      </c>
      <c r="AB74" s="52" t="s">
        <v>165</v>
      </c>
      <c r="AC74" s="184"/>
      <c r="AD74" s="113"/>
      <c r="AE74" s="95"/>
      <c r="AF74" s="53"/>
      <c r="AM74"/>
    </row>
    <row r="75" spans="1:39" ht="18.600000000000001" thickBot="1" x14ac:dyDescent="0.5">
      <c r="A75" s="140"/>
      <c r="B75" s="223" t="s">
        <v>652</v>
      </c>
      <c r="C75" s="128"/>
      <c r="D75" s="81"/>
      <c r="E75" s="202"/>
      <c r="F75" s="114"/>
      <c r="G75" s="38"/>
      <c r="H75" s="202"/>
      <c r="I75" s="114"/>
      <c r="J75" s="38"/>
      <c r="K75" s="160"/>
      <c r="L75" s="114"/>
      <c r="M75" s="38"/>
      <c r="N75" s="160"/>
      <c r="O75" s="114"/>
      <c r="P75" s="38"/>
      <c r="Q75" s="160"/>
      <c r="R75" s="114"/>
      <c r="S75" s="38"/>
      <c r="T75" s="160"/>
      <c r="U75" s="114"/>
      <c r="V75" s="38"/>
      <c r="W75" s="160"/>
      <c r="X75" s="114"/>
      <c r="Y75" s="62"/>
      <c r="Z75" s="185"/>
      <c r="AA75" s="114"/>
      <c r="AB75" s="62"/>
      <c r="AC75" s="185"/>
      <c r="AD75" s="114" t="s">
        <v>695</v>
      </c>
      <c r="AE75" s="100" t="s">
        <v>505</v>
      </c>
      <c r="AF75" s="63"/>
      <c r="AM75"/>
    </row>
    <row r="76" spans="1:39" ht="18" x14ac:dyDescent="0.45">
      <c r="A76" s="138" t="s">
        <v>202</v>
      </c>
      <c r="B76" s="222" t="s">
        <v>623</v>
      </c>
      <c r="C76" s="123"/>
      <c r="D76" s="76"/>
      <c r="E76" s="197"/>
      <c r="F76" s="109" t="s">
        <v>695</v>
      </c>
      <c r="G76" s="33" t="s">
        <v>203</v>
      </c>
      <c r="H76" s="197" t="s">
        <v>707</v>
      </c>
      <c r="I76" s="109"/>
      <c r="J76" s="33"/>
      <c r="K76" s="155"/>
      <c r="L76" s="109"/>
      <c r="M76" s="33"/>
      <c r="N76" s="155"/>
      <c r="O76" s="109"/>
      <c r="P76" s="33"/>
      <c r="Q76" s="155"/>
      <c r="R76" s="109"/>
      <c r="S76" s="33"/>
      <c r="T76" s="155"/>
      <c r="U76" s="109"/>
      <c r="V76" s="33"/>
      <c r="W76" s="155"/>
      <c r="X76" s="109"/>
      <c r="Y76" s="48"/>
      <c r="Z76" s="181"/>
      <c r="AA76" s="109"/>
      <c r="AB76" s="48"/>
      <c r="AC76" s="181"/>
      <c r="AD76" s="109"/>
      <c r="AE76" s="96"/>
      <c r="AF76" s="49"/>
      <c r="AM76"/>
    </row>
    <row r="77" spans="1:39" ht="18" x14ac:dyDescent="0.45">
      <c r="A77" s="139"/>
      <c r="B77" s="228" t="s">
        <v>656</v>
      </c>
      <c r="C77" s="129"/>
      <c r="D77" s="85"/>
      <c r="E77" s="204"/>
      <c r="F77" s="115"/>
      <c r="G77" s="42"/>
      <c r="H77" s="204"/>
      <c r="I77" s="115"/>
      <c r="J77" s="42"/>
      <c r="K77" s="162"/>
      <c r="L77" s="115"/>
      <c r="M77" s="42"/>
      <c r="N77" s="162"/>
      <c r="O77" s="115"/>
      <c r="P77" s="42"/>
      <c r="Q77" s="162"/>
      <c r="R77" s="115"/>
      <c r="S77" s="42"/>
      <c r="T77" s="162"/>
      <c r="U77" s="115"/>
      <c r="V77" s="42"/>
      <c r="W77" s="162"/>
      <c r="X77" s="115"/>
      <c r="Y77" s="50"/>
      <c r="Z77" s="186"/>
      <c r="AA77" s="115" t="s">
        <v>695</v>
      </c>
      <c r="AB77" s="50" t="s">
        <v>530</v>
      </c>
      <c r="AC77" s="186"/>
      <c r="AD77" s="115"/>
      <c r="AE77" s="103"/>
      <c r="AF77" s="51"/>
      <c r="AM77"/>
    </row>
    <row r="78" spans="1:39" ht="18" x14ac:dyDescent="0.45">
      <c r="A78" s="139"/>
      <c r="B78" s="232" t="s">
        <v>654</v>
      </c>
      <c r="C78" s="130"/>
      <c r="D78" s="83"/>
      <c r="E78" s="205"/>
      <c r="F78" s="116"/>
      <c r="G78" s="40"/>
      <c r="H78" s="205"/>
      <c r="I78" s="116"/>
      <c r="J78" s="40"/>
      <c r="K78" s="163"/>
      <c r="L78" s="116"/>
      <c r="M78" s="40"/>
      <c r="N78" s="163"/>
      <c r="O78" s="116"/>
      <c r="P78" s="40"/>
      <c r="Q78" s="163"/>
      <c r="R78" s="116"/>
      <c r="S78" s="40"/>
      <c r="T78" s="163"/>
      <c r="U78" s="116"/>
      <c r="V78" s="40"/>
      <c r="W78" s="163"/>
      <c r="X78" s="116" t="s">
        <v>695</v>
      </c>
      <c r="Y78" s="54" t="s">
        <v>214</v>
      </c>
      <c r="Z78" s="187" t="s">
        <v>708</v>
      </c>
      <c r="AA78" s="116"/>
      <c r="AB78" s="54"/>
      <c r="AC78" s="187"/>
      <c r="AD78" s="116"/>
      <c r="AE78" s="102"/>
      <c r="AF78" s="55"/>
      <c r="AM78"/>
    </row>
    <row r="79" spans="1:39" ht="18" x14ac:dyDescent="0.45">
      <c r="A79" s="139"/>
      <c r="B79" s="228"/>
      <c r="C79" s="125"/>
      <c r="D79" s="84"/>
      <c r="E79" s="203"/>
      <c r="F79" s="111"/>
      <c r="G79" s="41"/>
      <c r="H79" s="203"/>
      <c r="I79" s="111"/>
      <c r="J79" s="41"/>
      <c r="K79" s="161"/>
      <c r="L79" s="111"/>
      <c r="M79" s="41"/>
      <c r="N79" s="161"/>
      <c r="O79" s="111"/>
      <c r="P79" s="41"/>
      <c r="Q79" s="161"/>
      <c r="R79" s="111"/>
      <c r="S79" s="41"/>
      <c r="T79" s="161"/>
      <c r="U79" s="111"/>
      <c r="V79" s="41"/>
      <c r="W79" s="161"/>
      <c r="X79" s="111" t="s">
        <v>695</v>
      </c>
      <c r="Y79" s="44" t="s">
        <v>515</v>
      </c>
      <c r="Z79" s="183" t="s">
        <v>708</v>
      </c>
      <c r="AA79" s="111"/>
      <c r="AB79" s="44"/>
      <c r="AC79" s="183"/>
      <c r="AD79" s="111"/>
      <c r="AE79" s="98"/>
      <c r="AF79" s="45"/>
      <c r="AM79"/>
    </row>
    <row r="80" spans="1:39" ht="18" x14ac:dyDescent="0.45">
      <c r="A80" s="139"/>
      <c r="B80" s="229"/>
      <c r="C80" s="125"/>
      <c r="D80" s="84"/>
      <c r="E80" s="203"/>
      <c r="F80" s="111"/>
      <c r="G80" s="41"/>
      <c r="H80" s="203"/>
      <c r="I80" s="111"/>
      <c r="J80" s="41"/>
      <c r="K80" s="161"/>
      <c r="L80" s="111"/>
      <c r="M80" s="41"/>
      <c r="N80" s="161"/>
      <c r="O80" s="111"/>
      <c r="P80" s="41"/>
      <c r="Q80" s="161"/>
      <c r="R80" s="111"/>
      <c r="S80" s="41"/>
      <c r="T80" s="161"/>
      <c r="U80" s="111"/>
      <c r="V80" s="41"/>
      <c r="W80" s="161"/>
      <c r="X80" s="111" t="s">
        <v>695</v>
      </c>
      <c r="Y80" s="44" t="s">
        <v>514</v>
      </c>
      <c r="Z80" s="183" t="s">
        <v>708</v>
      </c>
      <c r="AA80" s="111"/>
      <c r="AB80" s="44"/>
      <c r="AC80" s="183"/>
      <c r="AD80" s="111"/>
      <c r="AE80" s="98"/>
      <c r="AF80" s="45"/>
      <c r="AM80"/>
    </row>
    <row r="81" spans="1:39" ht="18" x14ac:dyDescent="0.45">
      <c r="A81" s="139"/>
      <c r="B81" s="233"/>
      <c r="C81" s="129"/>
      <c r="D81" s="85"/>
      <c r="E81" s="204"/>
      <c r="F81" s="115"/>
      <c r="G81" s="42"/>
      <c r="H81" s="204"/>
      <c r="I81" s="115"/>
      <c r="J81" s="42"/>
      <c r="K81" s="162"/>
      <c r="L81" s="115"/>
      <c r="M81" s="42"/>
      <c r="N81" s="162"/>
      <c r="O81" s="115"/>
      <c r="P81" s="42"/>
      <c r="Q81" s="162"/>
      <c r="R81" s="115"/>
      <c r="S81" s="42"/>
      <c r="T81" s="162"/>
      <c r="U81" s="115"/>
      <c r="V81" s="42"/>
      <c r="W81" s="162"/>
      <c r="X81" s="115"/>
      <c r="Y81" s="50"/>
      <c r="Z81" s="186"/>
      <c r="AA81" s="115"/>
      <c r="AB81" s="50"/>
      <c r="AC81" s="186"/>
      <c r="AD81" s="115" t="s">
        <v>695</v>
      </c>
      <c r="AE81" s="263" t="s">
        <v>532</v>
      </c>
      <c r="AF81" s="51"/>
      <c r="AM81"/>
    </row>
    <row r="82" spans="1:39" ht="18" x14ac:dyDescent="0.45">
      <c r="A82" s="139"/>
      <c r="B82" s="234" t="s">
        <v>657</v>
      </c>
      <c r="C82" s="127"/>
      <c r="D82" s="79"/>
      <c r="E82" s="200"/>
      <c r="F82" s="113"/>
      <c r="G82" s="36"/>
      <c r="H82" s="200"/>
      <c r="I82" s="113"/>
      <c r="J82" s="36"/>
      <c r="K82" s="158"/>
      <c r="L82" s="113"/>
      <c r="M82" s="36"/>
      <c r="N82" s="158"/>
      <c r="O82" s="113"/>
      <c r="P82" s="36"/>
      <c r="Q82" s="158"/>
      <c r="R82" s="113"/>
      <c r="S82" s="36"/>
      <c r="T82" s="158"/>
      <c r="U82" s="113"/>
      <c r="V82" s="36"/>
      <c r="W82" s="158"/>
      <c r="X82" s="113" t="s">
        <v>695</v>
      </c>
      <c r="Y82" s="52" t="s">
        <v>513</v>
      </c>
      <c r="Z82" s="184" t="s">
        <v>708</v>
      </c>
      <c r="AA82" s="113"/>
      <c r="AB82" s="52"/>
      <c r="AC82" s="184"/>
      <c r="AD82" s="113"/>
      <c r="AE82" s="95"/>
      <c r="AF82" s="53"/>
      <c r="AM82"/>
    </row>
    <row r="83" spans="1:39" ht="18" x14ac:dyDescent="0.45">
      <c r="A83" s="141"/>
      <c r="B83" s="226" t="s">
        <v>666</v>
      </c>
      <c r="C83" s="125"/>
      <c r="D83" s="84"/>
      <c r="E83" s="203"/>
      <c r="F83" s="111"/>
      <c r="G83" s="41"/>
      <c r="H83" s="203"/>
      <c r="I83" s="111"/>
      <c r="J83" s="41"/>
      <c r="K83" s="161"/>
      <c r="L83" s="111"/>
      <c r="M83" s="41"/>
      <c r="N83" s="161"/>
      <c r="O83" s="111"/>
      <c r="P83" s="41"/>
      <c r="Q83" s="161"/>
      <c r="R83" s="111"/>
      <c r="S83" s="41"/>
      <c r="T83" s="161"/>
      <c r="U83" s="111"/>
      <c r="V83" s="41"/>
      <c r="W83" s="161"/>
      <c r="X83" s="111"/>
      <c r="Y83" s="44"/>
      <c r="Z83" s="183"/>
      <c r="AA83" s="111" t="s">
        <v>695</v>
      </c>
      <c r="AB83" s="44" t="s">
        <v>211</v>
      </c>
      <c r="AC83" s="183"/>
      <c r="AD83" s="111"/>
      <c r="AE83" s="98"/>
      <c r="AF83" s="45"/>
      <c r="AM83"/>
    </row>
    <row r="84" spans="1:39" ht="18.600000000000001" thickBot="1" x14ac:dyDescent="0.5">
      <c r="A84" s="139"/>
      <c r="B84" s="227" t="s">
        <v>655</v>
      </c>
      <c r="C84" s="128"/>
      <c r="D84" s="81"/>
      <c r="E84" s="202"/>
      <c r="F84" s="114"/>
      <c r="G84" s="38"/>
      <c r="H84" s="202"/>
      <c r="I84" s="114"/>
      <c r="J84" s="38"/>
      <c r="K84" s="160"/>
      <c r="L84" s="114"/>
      <c r="M84" s="38"/>
      <c r="N84" s="160"/>
      <c r="O84" s="114"/>
      <c r="P84" s="38"/>
      <c r="Q84" s="160"/>
      <c r="R84" s="114"/>
      <c r="S84" s="38"/>
      <c r="T84" s="160"/>
      <c r="U84" s="114"/>
      <c r="V84" s="38"/>
      <c r="W84" s="160"/>
      <c r="X84" s="114"/>
      <c r="Y84" s="62"/>
      <c r="Z84" s="185"/>
      <c r="AA84" s="114"/>
      <c r="AB84" s="62"/>
      <c r="AC84" s="185"/>
      <c r="AD84" s="114" t="s">
        <v>695</v>
      </c>
      <c r="AE84" s="264" t="s">
        <v>534</v>
      </c>
      <c r="AF84" s="63"/>
      <c r="AM84"/>
    </row>
    <row r="85" spans="1:39" ht="18" x14ac:dyDescent="0.45">
      <c r="A85" s="141"/>
      <c r="B85" s="225" t="s">
        <v>628</v>
      </c>
      <c r="C85" s="127"/>
      <c r="D85" s="79"/>
      <c r="E85" s="200"/>
      <c r="F85" s="113"/>
      <c r="G85" s="36"/>
      <c r="H85" s="200"/>
      <c r="I85" s="113" t="s">
        <v>695</v>
      </c>
      <c r="J85" s="36" t="s">
        <v>224</v>
      </c>
      <c r="K85" s="158" t="s">
        <v>709</v>
      </c>
      <c r="L85" s="113" t="s">
        <v>695</v>
      </c>
      <c r="M85" s="36" t="s">
        <v>746</v>
      </c>
      <c r="N85" s="158" t="s">
        <v>708</v>
      </c>
      <c r="O85" s="113" t="s">
        <v>695</v>
      </c>
      <c r="P85" s="36" t="s">
        <v>702</v>
      </c>
      <c r="Q85" s="158" t="s">
        <v>708</v>
      </c>
      <c r="R85" s="113"/>
      <c r="S85" s="36"/>
      <c r="T85" s="158"/>
      <c r="U85" s="113"/>
      <c r="V85" s="36"/>
      <c r="W85" s="158"/>
      <c r="X85" s="113" t="s">
        <v>695</v>
      </c>
      <c r="Y85" s="52" t="s">
        <v>516</v>
      </c>
      <c r="Z85" s="184" t="s">
        <v>724</v>
      </c>
      <c r="AA85" s="113"/>
      <c r="AB85" s="52"/>
      <c r="AC85" s="184"/>
      <c r="AD85" s="113"/>
      <c r="AE85" s="95"/>
      <c r="AF85" s="53"/>
      <c r="AM85"/>
    </row>
    <row r="86" spans="1:39" ht="18" x14ac:dyDescent="0.45">
      <c r="A86" s="141"/>
      <c r="B86" s="235" t="s">
        <v>659</v>
      </c>
      <c r="C86" s="129"/>
      <c r="D86" s="85"/>
      <c r="E86" s="204"/>
      <c r="F86" s="115"/>
      <c r="G86" s="42"/>
      <c r="H86" s="204"/>
      <c r="I86" s="115"/>
      <c r="J86" s="42"/>
      <c r="K86" s="162"/>
      <c r="L86" s="115"/>
      <c r="M86" s="42"/>
      <c r="N86" s="162"/>
      <c r="O86" s="115"/>
      <c r="P86" s="42"/>
      <c r="Q86" s="162"/>
      <c r="R86" s="115"/>
      <c r="S86" s="42"/>
      <c r="T86" s="162"/>
      <c r="U86" s="115"/>
      <c r="V86" s="42"/>
      <c r="W86" s="162"/>
      <c r="X86" s="115"/>
      <c r="Y86" s="50"/>
      <c r="Z86" s="186"/>
      <c r="AA86" s="115" t="s">
        <v>695</v>
      </c>
      <c r="AB86" s="50" t="s">
        <v>529</v>
      </c>
      <c r="AC86" s="186"/>
      <c r="AD86" s="115"/>
      <c r="AE86" s="103"/>
      <c r="AF86" s="51"/>
      <c r="AM86"/>
    </row>
    <row r="87" spans="1:39" ht="18" x14ac:dyDescent="0.45">
      <c r="A87" s="141"/>
      <c r="B87" s="228" t="s">
        <v>660</v>
      </c>
      <c r="C87" s="130"/>
      <c r="D87" s="83"/>
      <c r="E87" s="205"/>
      <c r="F87" s="116"/>
      <c r="G87" s="40"/>
      <c r="H87" s="205"/>
      <c r="I87" s="116" t="s">
        <v>695</v>
      </c>
      <c r="J87" s="40" t="s">
        <v>506</v>
      </c>
      <c r="K87" s="163" t="s">
        <v>709</v>
      </c>
      <c r="L87" s="116"/>
      <c r="M87" s="40"/>
      <c r="N87" s="163"/>
      <c r="O87" s="116" t="s">
        <v>695</v>
      </c>
      <c r="P87" s="40" t="s">
        <v>244</v>
      </c>
      <c r="Q87" s="163" t="s">
        <v>708</v>
      </c>
      <c r="R87" s="116"/>
      <c r="S87" s="40"/>
      <c r="T87" s="163"/>
      <c r="U87" s="116"/>
      <c r="V87" s="40"/>
      <c r="W87" s="163"/>
      <c r="X87" s="116" t="s">
        <v>695</v>
      </c>
      <c r="Y87" s="54" t="s">
        <v>518</v>
      </c>
      <c r="Z87" s="187" t="s">
        <v>724</v>
      </c>
      <c r="AA87" s="116"/>
      <c r="AB87" s="54"/>
      <c r="AC87" s="187"/>
      <c r="AD87" s="116"/>
      <c r="AE87" s="102"/>
      <c r="AF87" s="55"/>
      <c r="AM87"/>
    </row>
    <row r="88" spans="1:39" ht="18" x14ac:dyDescent="0.45">
      <c r="A88" s="141"/>
      <c r="B88" s="233"/>
      <c r="C88" s="129"/>
      <c r="D88" s="85"/>
      <c r="E88" s="204"/>
      <c r="F88" s="115"/>
      <c r="G88" s="42"/>
      <c r="H88" s="204"/>
      <c r="I88" s="115"/>
      <c r="J88" s="42"/>
      <c r="K88" s="162"/>
      <c r="L88" s="115"/>
      <c r="M88" s="42"/>
      <c r="N88" s="162"/>
      <c r="O88" s="115"/>
      <c r="P88" s="42"/>
      <c r="Q88" s="162"/>
      <c r="R88" s="115"/>
      <c r="S88" s="42"/>
      <c r="T88" s="162"/>
      <c r="U88" s="115"/>
      <c r="V88" s="42"/>
      <c r="W88" s="162"/>
      <c r="X88" s="115" t="s">
        <v>695</v>
      </c>
      <c r="Y88" s="50" t="s">
        <v>517</v>
      </c>
      <c r="Z88" s="186" t="s">
        <v>724</v>
      </c>
      <c r="AA88" s="115" t="s">
        <v>695</v>
      </c>
      <c r="AB88" s="50" t="s">
        <v>524</v>
      </c>
      <c r="AC88" s="186"/>
      <c r="AD88" s="115"/>
      <c r="AE88" s="103"/>
      <c r="AF88" s="51"/>
      <c r="AM88"/>
    </row>
    <row r="89" spans="1:39" ht="18.600000000000001" thickBot="1" x14ac:dyDescent="0.5">
      <c r="A89" s="141"/>
      <c r="B89" s="228" t="s">
        <v>662</v>
      </c>
      <c r="C89" s="126"/>
      <c r="D89" s="80"/>
      <c r="E89" s="201"/>
      <c r="F89" s="112"/>
      <c r="G89" s="37"/>
      <c r="H89" s="201"/>
      <c r="I89" s="112"/>
      <c r="J89" s="37"/>
      <c r="K89" s="159"/>
      <c r="L89" s="112"/>
      <c r="M89" s="37"/>
      <c r="N89" s="159"/>
      <c r="O89" s="112" t="s">
        <v>695</v>
      </c>
      <c r="P89" s="37" t="s">
        <v>508</v>
      </c>
      <c r="Q89" s="159"/>
      <c r="R89" s="112"/>
      <c r="S89" s="37"/>
      <c r="T89" s="159"/>
      <c r="U89" s="112"/>
      <c r="V89" s="37"/>
      <c r="W89" s="159"/>
      <c r="X89" s="112"/>
      <c r="Y89" s="58"/>
      <c r="Z89" s="180"/>
      <c r="AA89" s="112"/>
      <c r="AB89" s="58"/>
      <c r="AC89" s="180"/>
      <c r="AD89" s="112" t="s">
        <v>695</v>
      </c>
      <c r="AE89" s="262" t="s">
        <v>533</v>
      </c>
      <c r="AF89" s="59"/>
      <c r="AM89"/>
    </row>
    <row r="90" spans="1:39" ht="18" x14ac:dyDescent="0.45">
      <c r="A90" s="139"/>
      <c r="B90" s="225" t="s">
        <v>629</v>
      </c>
      <c r="C90" s="123"/>
      <c r="D90" s="76"/>
      <c r="E90" s="197"/>
      <c r="F90" s="109"/>
      <c r="G90" s="33"/>
      <c r="H90" s="197"/>
      <c r="I90" s="109"/>
      <c r="J90" s="33"/>
      <c r="K90" s="155"/>
      <c r="L90" s="109"/>
      <c r="M90" s="33"/>
      <c r="N90" s="155"/>
      <c r="O90" s="109"/>
      <c r="P90" s="33"/>
      <c r="Q90" s="155"/>
      <c r="R90" s="109"/>
      <c r="S90" s="33"/>
      <c r="T90" s="155"/>
      <c r="U90" s="109"/>
      <c r="V90" s="33"/>
      <c r="W90" s="155"/>
      <c r="X90" s="109" t="s">
        <v>695</v>
      </c>
      <c r="Y90" s="48" t="s">
        <v>512</v>
      </c>
      <c r="Z90" s="181" t="s">
        <v>724</v>
      </c>
      <c r="AA90" s="109"/>
      <c r="AB90" s="48"/>
      <c r="AC90" s="181"/>
      <c r="AD90" s="109"/>
      <c r="AE90" s="96"/>
      <c r="AF90" s="49"/>
      <c r="AM90"/>
    </row>
    <row r="91" spans="1:39" ht="18" x14ac:dyDescent="0.45">
      <c r="A91" s="141"/>
      <c r="B91" s="226" t="s">
        <v>658</v>
      </c>
      <c r="C91" s="127"/>
      <c r="D91" s="79"/>
      <c r="E91" s="200"/>
      <c r="F91" s="113"/>
      <c r="G91" s="36"/>
      <c r="H91" s="200"/>
      <c r="I91" s="113"/>
      <c r="J91" s="36"/>
      <c r="K91" s="158"/>
      <c r="L91" s="113"/>
      <c r="M91" s="36"/>
      <c r="N91" s="158"/>
      <c r="O91" s="113"/>
      <c r="P91" s="36"/>
      <c r="Q91" s="158"/>
      <c r="R91" s="113"/>
      <c r="S91" s="36"/>
      <c r="T91" s="158"/>
      <c r="U91" s="113"/>
      <c r="V91" s="36"/>
      <c r="W91" s="158"/>
      <c r="X91" s="113"/>
      <c r="Y91" s="52"/>
      <c r="Z91" s="184"/>
      <c r="AA91" s="113" t="s">
        <v>695</v>
      </c>
      <c r="AB91" s="29" t="s">
        <v>523</v>
      </c>
      <c r="AC91" s="177" t="s">
        <v>724</v>
      </c>
      <c r="AD91" s="113"/>
      <c r="AE91" s="95"/>
      <c r="AF91" s="53"/>
      <c r="AM91"/>
    </row>
    <row r="92" spans="1:39" ht="18.600000000000001" thickBot="1" x14ac:dyDescent="0.5">
      <c r="A92" s="141"/>
      <c r="B92" s="227" t="s">
        <v>629</v>
      </c>
      <c r="C92" s="124"/>
      <c r="D92" s="77"/>
      <c r="E92" s="198"/>
      <c r="F92" s="110"/>
      <c r="G92" s="34"/>
      <c r="H92" s="198"/>
      <c r="I92" s="110"/>
      <c r="J92" s="34"/>
      <c r="K92" s="156"/>
      <c r="L92" s="110"/>
      <c r="M92" s="34"/>
      <c r="N92" s="156"/>
      <c r="O92" s="110"/>
      <c r="P92" s="34"/>
      <c r="Q92" s="156"/>
      <c r="R92" s="110"/>
      <c r="S92" s="34"/>
      <c r="T92" s="156"/>
      <c r="U92" s="110"/>
      <c r="V92" s="34"/>
      <c r="W92" s="156"/>
      <c r="X92" s="110"/>
      <c r="Y92" s="46"/>
      <c r="Z92" s="182"/>
      <c r="AA92" s="110" t="s">
        <v>695</v>
      </c>
      <c r="AB92" s="46" t="s">
        <v>245</v>
      </c>
      <c r="AC92" s="182" t="s">
        <v>724</v>
      </c>
      <c r="AD92" s="110"/>
      <c r="AE92" s="97"/>
      <c r="AF92" s="47"/>
      <c r="AM92"/>
    </row>
    <row r="93" spans="1:39" ht="34.799999999999997" x14ac:dyDescent="0.45">
      <c r="A93" s="141"/>
      <c r="B93" s="236" t="s">
        <v>643</v>
      </c>
      <c r="C93" s="131"/>
      <c r="D93" s="86"/>
      <c r="E93" s="206"/>
      <c r="F93" s="117"/>
      <c r="G93" s="43"/>
      <c r="H93" s="206"/>
      <c r="I93" s="117"/>
      <c r="J93" s="43"/>
      <c r="K93" s="164"/>
      <c r="L93" s="117" t="s">
        <v>695</v>
      </c>
      <c r="M93" s="43" t="s">
        <v>507</v>
      </c>
      <c r="N93" s="164" t="s">
        <v>709</v>
      </c>
      <c r="O93" s="117" t="s">
        <v>695</v>
      </c>
      <c r="P93" s="43" t="s">
        <v>703</v>
      </c>
      <c r="Q93" s="164" t="s">
        <v>708</v>
      </c>
      <c r="R93" s="117" t="s">
        <v>695</v>
      </c>
      <c r="S93" s="43" t="s">
        <v>262</v>
      </c>
      <c r="T93" s="256" t="s">
        <v>719</v>
      </c>
      <c r="U93" s="117"/>
      <c r="V93" s="43"/>
      <c r="W93" s="164"/>
      <c r="X93" s="117"/>
      <c r="Y93" s="65"/>
      <c r="Z93" s="188"/>
      <c r="AA93" s="117"/>
      <c r="AB93" s="65"/>
      <c r="AC93" s="188"/>
      <c r="AD93" s="117"/>
      <c r="AE93" s="104"/>
      <c r="AF93" s="66"/>
      <c r="AM93"/>
    </row>
    <row r="94" spans="1:39" ht="18" x14ac:dyDescent="0.45">
      <c r="A94" s="141"/>
      <c r="B94" s="230" t="s">
        <v>640</v>
      </c>
      <c r="C94" s="127"/>
      <c r="D94" s="79"/>
      <c r="E94" s="200"/>
      <c r="F94" s="113"/>
      <c r="G94" s="36"/>
      <c r="H94" s="200"/>
      <c r="I94" s="113"/>
      <c r="J94" s="36"/>
      <c r="K94" s="158"/>
      <c r="L94" s="113"/>
      <c r="M94" s="36"/>
      <c r="N94" s="158"/>
      <c r="O94" s="113" t="s">
        <v>695</v>
      </c>
      <c r="P94" s="36" t="s">
        <v>509</v>
      </c>
      <c r="Q94" s="158" t="s">
        <v>717</v>
      </c>
      <c r="R94" s="113"/>
      <c r="S94" s="36"/>
      <c r="T94" s="158"/>
      <c r="U94" s="113"/>
      <c r="V94" s="36"/>
      <c r="W94" s="158"/>
      <c r="X94" s="113"/>
      <c r="Y94" s="52"/>
      <c r="Z94" s="184"/>
      <c r="AA94" s="113"/>
      <c r="AB94" s="52"/>
      <c r="AC94" s="184"/>
      <c r="AD94" s="113"/>
      <c r="AE94" s="95"/>
      <c r="AF94" s="53"/>
      <c r="AM94"/>
    </row>
    <row r="95" spans="1:39" ht="35.4" thickBot="1" x14ac:dyDescent="0.5">
      <c r="A95" s="141"/>
      <c r="B95" s="223" t="s">
        <v>641</v>
      </c>
      <c r="C95" s="128"/>
      <c r="D95" s="77"/>
      <c r="E95" s="202"/>
      <c r="F95" s="114"/>
      <c r="G95" s="34"/>
      <c r="H95" s="202"/>
      <c r="I95" s="114"/>
      <c r="J95" s="34"/>
      <c r="K95" s="160"/>
      <c r="L95" s="114"/>
      <c r="M95" s="34"/>
      <c r="N95" s="160"/>
      <c r="O95" s="114" t="s">
        <v>695</v>
      </c>
      <c r="P95" s="34" t="s">
        <v>510</v>
      </c>
      <c r="Q95" s="160" t="s">
        <v>717</v>
      </c>
      <c r="R95" s="114"/>
      <c r="S95" s="34"/>
      <c r="T95" s="160"/>
      <c r="U95" s="114"/>
      <c r="V95" s="34"/>
      <c r="W95" s="160"/>
      <c r="X95" s="114"/>
      <c r="Y95" s="46"/>
      <c r="Z95" s="185"/>
      <c r="AA95" s="114"/>
      <c r="AB95" s="46"/>
      <c r="AC95" s="185"/>
      <c r="AD95" s="114"/>
      <c r="AE95" s="97"/>
      <c r="AF95" s="63"/>
      <c r="AM95"/>
    </row>
    <row r="96" spans="1:39" ht="18" x14ac:dyDescent="0.45">
      <c r="A96" s="141"/>
      <c r="B96" s="228" t="s">
        <v>632</v>
      </c>
      <c r="C96" s="123"/>
      <c r="D96" s="76"/>
      <c r="E96" s="197"/>
      <c r="F96" s="109"/>
      <c r="G96" s="33"/>
      <c r="H96" s="197"/>
      <c r="I96" s="109"/>
      <c r="J96" s="33"/>
      <c r="K96" s="155"/>
      <c r="L96" s="109"/>
      <c r="M96" s="33"/>
      <c r="N96" s="155"/>
      <c r="O96" s="109" t="s">
        <v>695</v>
      </c>
      <c r="P96" s="33" t="s">
        <v>743</v>
      </c>
      <c r="Q96" s="155" t="s">
        <v>708</v>
      </c>
      <c r="R96" s="109"/>
      <c r="S96" s="33"/>
      <c r="T96" s="155"/>
      <c r="U96" s="109"/>
      <c r="V96" s="33"/>
      <c r="W96" s="155"/>
      <c r="X96" s="109"/>
      <c r="Y96" s="48"/>
      <c r="Z96" s="181"/>
      <c r="AA96" s="109"/>
      <c r="AB96" s="48"/>
      <c r="AC96" s="181"/>
      <c r="AD96" s="109"/>
      <c r="AE96" s="96"/>
      <c r="AF96" s="49"/>
      <c r="AM96"/>
    </row>
    <row r="97" spans="1:39" ht="18.600000000000001" thickBot="1" x14ac:dyDescent="0.5">
      <c r="A97" s="141"/>
      <c r="B97" s="228"/>
      <c r="C97" s="124"/>
      <c r="D97" s="77"/>
      <c r="E97" s="198"/>
      <c r="F97" s="110"/>
      <c r="G97" s="34"/>
      <c r="H97" s="198"/>
      <c r="I97" s="110"/>
      <c r="J97" s="34"/>
      <c r="K97" s="156"/>
      <c r="L97" s="110"/>
      <c r="M97" s="34"/>
      <c r="N97" s="156"/>
      <c r="O97" s="110"/>
      <c r="P97" s="34"/>
      <c r="Q97" s="156"/>
      <c r="R97" s="110"/>
      <c r="S97" s="34"/>
      <c r="T97" s="156"/>
      <c r="U97" s="110"/>
      <c r="V97" s="34"/>
      <c r="W97" s="156"/>
      <c r="X97" s="110"/>
      <c r="Y97" s="46"/>
      <c r="Z97" s="182"/>
      <c r="AA97" s="110" t="s">
        <v>695</v>
      </c>
      <c r="AB97" s="46" t="s">
        <v>522</v>
      </c>
      <c r="AC97" s="182" t="s">
        <v>708</v>
      </c>
      <c r="AD97" s="110"/>
      <c r="AE97" s="97"/>
      <c r="AF97" s="47"/>
      <c r="AM97"/>
    </row>
    <row r="98" spans="1:39" ht="18" x14ac:dyDescent="0.45">
      <c r="A98" s="141"/>
      <c r="B98" s="222" t="s">
        <v>663</v>
      </c>
      <c r="C98" s="123"/>
      <c r="D98" s="76"/>
      <c r="E98" s="197"/>
      <c r="F98" s="109"/>
      <c r="G98" s="33"/>
      <c r="H98" s="197"/>
      <c r="I98" s="109"/>
      <c r="J98" s="33"/>
      <c r="K98" s="155"/>
      <c r="L98" s="109"/>
      <c r="M98" s="33"/>
      <c r="N98" s="155"/>
      <c r="O98" s="109"/>
      <c r="P98" s="33"/>
      <c r="Q98" s="155"/>
      <c r="R98" s="109"/>
      <c r="S98" s="33"/>
      <c r="T98" s="155"/>
      <c r="U98" s="109"/>
      <c r="V98" s="33"/>
      <c r="W98" s="155"/>
      <c r="X98" s="109" t="s">
        <v>695</v>
      </c>
      <c r="Y98" s="48" t="s">
        <v>520</v>
      </c>
      <c r="Z98" s="181" t="s">
        <v>708</v>
      </c>
      <c r="AA98" s="109" t="s">
        <v>695</v>
      </c>
      <c r="AB98" s="22" t="s">
        <v>526</v>
      </c>
      <c r="AC98" s="172" t="s">
        <v>708</v>
      </c>
      <c r="AD98" s="109"/>
      <c r="AE98" s="96"/>
      <c r="AF98" s="49"/>
      <c r="AM98"/>
    </row>
    <row r="99" spans="1:39" ht="18.600000000000001" thickBot="1" x14ac:dyDescent="0.5">
      <c r="A99" s="141"/>
      <c r="B99" s="223"/>
      <c r="C99" s="124"/>
      <c r="D99" s="77"/>
      <c r="E99" s="198"/>
      <c r="F99" s="110"/>
      <c r="G99" s="34"/>
      <c r="H99" s="198"/>
      <c r="I99" s="110"/>
      <c r="J99" s="34"/>
      <c r="K99" s="156"/>
      <c r="L99" s="110"/>
      <c r="M99" s="34"/>
      <c r="N99" s="156"/>
      <c r="O99" s="110"/>
      <c r="P99" s="34"/>
      <c r="Q99" s="156"/>
      <c r="R99" s="110"/>
      <c r="S99" s="34"/>
      <c r="T99" s="156"/>
      <c r="U99" s="110"/>
      <c r="V99" s="34"/>
      <c r="W99" s="156"/>
      <c r="X99" s="110" t="s">
        <v>695</v>
      </c>
      <c r="Y99" s="46" t="s">
        <v>521</v>
      </c>
      <c r="Z99" s="182" t="s">
        <v>708</v>
      </c>
      <c r="AA99" s="110" t="s">
        <v>695</v>
      </c>
      <c r="AB99" s="27" t="s">
        <v>527</v>
      </c>
      <c r="AC99" s="173" t="s">
        <v>708</v>
      </c>
      <c r="AD99" s="110"/>
      <c r="AE99" s="97"/>
      <c r="AF99" s="47"/>
      <c r="AM99"/>
    </row>
    <row r="100" spans="1:39" ht="18" x14ac:dyDescent="0.45">
      <c r="A100" s="141"/>
      <c r="B100" s="225" t="s">
        <v>664</v>
      </c>
      <c r="C100" s="127"/>
      <c r="D100" s="79"/>
      <c r="E100" s="200"/>
      <c r="F100" s="113"/>
      <c r="G100" s="36"/>
      <c r="H100" s="200"/>
      <c r="I100" s="113"/>
      <c r="J100" s="36"/>
      <c r="K100" s="158"/>
      <c r="L100" s="113"/>
      <c r="M100" s="36"/>
      <c r="N100" s="158"/>
      <c r="O100" s="113"/>
      <c r="P100" s="36"/>
      <c r="Q100" s="158"/>
      <c r="R100" s="113"/>
      <c r="S100" s="36"/>
      <c r="T100" s="158"/>
      <c r="U100" s="113"/>
      <c r="V100" s="36"/>
      <c r="W100" s="158"/>
      <c r="X100" s="113"/>
      <c r="Y100" s="52"/>
      <c r="Z100" s="184"/>
      <c r="AA100" s="113" t="s">
        <v>695</v>
      </c>
      <c r="AB100" s="52" t="s">
        <v>528</v>
      </c>
      <c r="AC100" s="184" t="s">
        <v>708</v>
      </c>
      <c r="AD100" s="113" t="s">
        <v>695</v>
      </c>
      <c r="AE100" s="95" t="s">
        <v>272</v>
      </c>
      <c r="AF100" s="53" t="s">
        <v>708</v>
      </c>
      <c r="AM100"/>
    </row>
    <row r="101" spans="1:39" ht="18.600000000000001" thickBot="1" x14ac:dyDescent="0.5">
      <c r="A101" s="141"/>
      <c r="B101" s="227" t="s">
        <v>642</v>
      </c>
      <c r="C101" s="132"/>
      <c r="D101" s="82"/>
      <c r="E101" s="207"/>
      <c r="F101" s="118"/>
      <c r="G101" s="39"/>
      <c r="H101" s="207"/>
      <c r="I101" s="118"/>
      <c r="J101" s="39"/>
      <c r="K101" s="165"/>
      <c r="L101" s="118"/>
      <c r="M101" s="39"/>
      <c r="N101" s="165"/>
      <c r="O101" s="118"/>
      <c r="P101" s="39"/>
      <c r="Q101" s="165"/>
      <c r="R101" s="118" t="s">
        <v>695</v>
      </c>
      <c r="S101" s="28" t="s">
        <v>511</v>
      </c>
      <c r="T101" s="178" t="s">
        <v>708</v>
      </c>
      <c r="U101" s="118"/>
      <c r="V101" s="39"/>
      <c r="W101" s="165"/>
      <c r="X101" s="118"/>
      <c r="Y101" s="56"/>
      <c r="Z101" s="189"/>
      <c r="AA101" s="118"/>
      <c r="AB101" s="56"/>
      <c r="AC101" s="189"/>
      <c r="AD101" s="118"/>
      <c r="AE101" s="101"/>
      <c r="AF101" s="57"/>
      <c r="AM101"/>
    </row>
    <row r="102" spans="1:39" ht="34.799999999999997" x14ac:dyDescent="0.45">
      <c r="A102" s="141"/>
      <c r="B102" s="225" t="s">
        <v>645</v>
      </c>
      <c r="C102" s="123"/>
      <c r="D102" s="76"/>
      <c r="E102" s="197"/>
      <c r="F102" s="109"/>
      <c r="G102" s="33"/>
      <c r="H102" s="197"/>
      <c r="I102" s="109"/>
      <c r="J102" s="33"/>
      <c r="K102" s="155"/>
      <c r="L102" s="109"/>
      <c r="M102" s="33"/>
      <c r="N102" s="155"/>
      <c r="O102" s="109"/>
      <c r="P102" s="33"/>
      <c r="Q102" s="155"/>
      <c r="R102" s="109"/>
      <c r="S102" s="33"/>
      <c r="T102" s="155"/>
      <c r="U102" s="109" t="s">
        <v>695</v>
      </c>
      <c r="V102" s="22" t="s">
        <v>705</v>
      </c>
      <c r="W102" s="257" t="s">
        <v>716</v>
      </c>
      <c r="X102" s="109" t="s">
        <v>695</v>
      </c>
      <c r="Y102" s="22" t="s">
        <v>519</v>
      </c>
      <c r="Z102" s="172" t="s">
        <v>708</v>
      </c>
      <c r="AA102" s="109" t="s">
        <v>695</v>
      </c>
      <c r="AB102" s="48" t="s">
        <v>531</v>
      </c>
      <c r="AC102" s="181"/>
      <c r="AD102" s="109"/>
      <c r="AE102" s="96"/>
      <c r="AF102" s="49"/>
      <c r="AM102"/>
    </row>
    <row r="103" spans="1:39" ht="18.600000000000001" thickBot="1" x14ac:dyDescent="0.5">
      <c r="A103" s="141"/>
      <c r="B103" s="227" t="s">
        <v>671</v>
      </c>
      <c r="C103" s="124"/>
      <c r="D103" s="77"/>
      <c r="E103" s="198"/>
      <c r="F103" s="110"/>
      <c r="G103" s="34"/>
      <c r="H103" s="198"/>
      <c r="I103" s="110"/>
      <c r="J103" s="34"/>
      <c r="K103" s="156"/>
      <c r="L103" s="110"/>
      <c r="M103" s="34"/>
      <c r="N103" s="156"/>
      <c r="O103" s="110"/>
      <c r="P103" s="34"/>
      <c r="Q103" s="156"/>
      <c r="R103" s="110"/>
      <c r="S103" s="34"/>
      <c r="T103" s="156"/>
      <c r="U103" s="110" t="s">
        <v>695</v>
      </c>
      <c r="V103" s="27" t="s">
        <v>256</v>
      </c>
      <c r="W103" s="173" t="s">
        <v>708</v>
      </c>
      <c r="X103" s="110"/>
      <c r="Y103" s="46"/>
      <c r="Z103" s="182"/>
      <c r="AA103" s="110"/>
      <c r="AB103" s="46"/>
      <c r="AC103" s="182"/>
      <c r="AD103" s="110"/>
      <c r="AE103" s="97"/>
      <c r="AF103" s="47"/>
      <c r="AM103"/>
    </row>
    <row r="104" spans="1:39" ht="18" x14ac:dyDescent="0.45">
      <c r="A104" s="141"/>
      <c r="B104" s="222" t="s">
        <v>670</v>
      </c>
      <c r="C104" s="123"/>
      <c r="D104" s="76"/>
      <c r="E104" s="197"/>
      <c r="F104" s="109"/>
      <c r="G104" s="33"/>
      <c r="H104" s="197"/>
      <c r="I104" s="109"/>
      <c r="J104" s="33"/>
      <c r="K104" s="155"/>
      <c r="L104" s="109"/>
      <c r="M104" s="33"/>
      <c r="N104" s="155"/>
      <c r="O104" s="109"/>
      <c r="P104" s="33"/>
      <c r="Q104" s="155"/>
      <c r="R104" s="109"/>
      <c r="S104" s="33"/>
      <c r="T104" s="155"/>
      <c r="U104" s="109"/>
      <c r="V104" s="33"/>
      <c r="W104" s="155"/>
      <c r="X104" s="109"/>
      <c r="Y104" s="48"/>
      <c r="Z104" s="181"/>
      <c r="AA104" s="109" t="s">
        <v>695</v>
      </c>
      <c r="AB104" s="48" t="s">
        <v>230</v>
      </c>
      <c r="AC104" s="181"/>
      <c r="AD104" s="109"/>
      <c r="AE104" s="96"/>
      <c r="AF104" s="49"/>
      <c r="AM104"/>
    </row>
    <row r="105" spans="1:39" ht="18.600000000000001" thickBot="1" x14ac:dyDescent="0.5">
      <c r="A105" s="141"/>
      <c r="B105" s="223"/>
      <c r="C105" s="124"/>
      <c r="D105" s="77"/>
      <c r="E105" s="198"/>
      <c r="F105" s="110"/>
      <c r="G105" s="34"/>
      <c r="H105" s="198"/>
      <c r="I105" s="110"/>
      <c r="J105" s="34"/>
      <c r="K105" s="156"/>
      <c r="L105" s="110"/>
      <c r="M105" s="34"/>
      <c r="N105" s="156"/>
      <c r="O105" s="110"/>
      <c r="P105" s="34"/>
      <c r="Q105" s="156"/>
      <c r="R105" s="110"/>
      <c r="S105" s="34"/>
      <c r="T105" s="156"/>
      <c r="U105" s="110"/>
      <c r="V105" s="34"/>
      <c r="W105" s="156"/>
      <c r="X105" s="110"/>
      <c r="Y105" s="46"/>
      <c r="Z105" s="182"/>
      <c r="AA105" s="110" t="s">
        <v>695</v>
      </c>
      <c r="AB105" s="46" t="s">
        <v>275</v>
      </c>
      <c r="AC105" s="182"/>
      <c r="AD105" s="110"/>
      <c r="AE105" s="97"/>
      <c r="AF105" s="47"/>
      <c r="AM105"/>
    </row>
    <row r="106" spans="1:39" ht="18.600000000000001" thickBot="1" x14ac:dyDescent="0.5">
      <c r="A106" s="141"/>
      <c r="B106" s="228" t="s">
        <v>661</v>
      </c>
      <c r="C106" s="126"/>
      <c r="D106" s="79"/>
      <c r="E106" s="201"/>
      <c r="F106" s="112"/>
      <c r="G106" s="36"/>
      <c r="H106" s="201"/>
      <c r="I106" s="112"/>
      <c r="J106" s="36"/>
      <c r="K106" s="159"/>
      <c r="L106" s="112"/>
      <c r="M106" s="36"/>
      <c r="N106" s="159"/>
      <c r="O106" s="112"/>
      <c r="P106" s="36"/>
      <c r="Q106" s="159"/>
      <c r="R106" s="112"/>
      <c r="S106" s="36"/>
      <c r="T106" s="159"/>
      <c r="U106" s="112"/>
      <c r="V106" s="36"/>
      <c r="W106" s="159"/>
      <c r="X106" s="112"/>
      <c r="Y106" s="52"/>
      <c r="Z106" s="180"/>
      <c r="AA106" s="112" t="s">
        <v>695</v>
      </c>
      <c r="AB106" s="29" t="s">
        <v>242</v>
      </c>
      <c r="AC106" s="174"/>
      <c r="AD106" s="112"/>
      <c r="AE106" s="95"/>
      <c r="AF106" s="59"/>
      <c r="AM106"/>
    </row>
    <row r="107" spans="1:39" ht="18" x14ac:dyDescent="0.45">
      <c r="A107" s="141"/>
      <c r="B107" s="222" t="s">
        <v>667</v>
      </c>
      <c r="C107" s="123"/>
      <c r="D107" s="76"/>
      <c r="E107" s="197"/>
      <c r="F107" s="109"/>
      <c r="G107" s="33"/>
      <c r="H107" s="197"/>
      <c r="I107" s="109"/>
      <c r="J107" s="33"/>
      <c r="K107" s="155"/>
      <c r="L107" s="109"/>
      <c r="M107" s="33"/>
      <c r="N107" s="155"/>
      <c r="O107" s="109"/>
      <c r="P107" s="33"/>
      <c r="Q107" s="155"/>
      <c r="R107" s="109"/>
      <c r="S107" s="33"/>
      <c r="T107" s="155"/>
      <c r="U107" s="109"/>
      <c r="V107" s="33"/>
      <c r="W107" s="155"/>
      <c r="X107" s="109"/>
      <c r="Y107" s="48"/>
      <c r="Z107" s="181"/>
      <c r="AA107" s="109" t="s">
        <v>695</v>
      </c>
      <c r="AB107" s="48" t="s">
        <v>525</v>
      </c>
      <c r="AC107" s="181" t="s">
        <v>724</v>
      </c>
      <c r="AD107" s="109"/>
      <c r="AE107" s="96"/>
      <c r="AF107" s="49"/>
      <c r="AM107"/>
    </row>
    <row r="108" spans="1:39" ht="18.600000000000001" thickBot="1" x14ac:dyDescent="0.5">
      <c r="A108" s="141"/>
      <c r="B108" s="223"/>
      <c r="C108" s="124"/>
      <c r="D108" s="77"/>
      <c r="E108" s="198"/>
      <c r="F108" s="110"/>
      <c r="G108" s="34"/>
      <c r="H108" s="198"/>
      <c r="I108" s="110"/>
      <c r="J108" s="34"/>
      <c r="K108" s="156"/>
      <c r="L108" s="110"/>
      <c r="M108" s="34"/>
      <c r="N108" s="156"/>
      <c r="O108" s="110"/>
      <c r="P108" s="34"/>
      <c r="Q108" s="156"/>
      <c r="R108" s="110"/>
      <c r="S108" s="34"/>
      <c r="T108" s="156"/>
      <c r="U108" s="110"/>
      <c r="V108" s="34"/>
      <c r="W108" s="156"/>
      <c r="X108" s="110"/>
      <c r="Y108" s="46"/>
      <c r="Z108" s="182"/>
      <c r="AA108" s="110" t="s">
        <v>695</v>
      </c>
      <c r="AB108" s="46" t="s">
        <v>252</v>
      </c>
      <c r="AC108" s="182" t="s">
        <v>724</v>
      </c>
      <c r="AD108" s="110"/>
      <c r="AE108" s="97"/>
      <c r="AF108" s="47"/>
      <c r="AM108"/>
    </row>
    <row r="109" spans="1:39" ht="18.600000000000001" thickBot="1" x14ac:dyDescent="0.5">
      <c r="A109" s="141"/>
      <c r="B109" s="228" t="s">
        <v>668</v>
      </c>
      <c r="C109" s="126"/>
      <c r="D109" s="80"/>
      <c r="E109" s="201"/>
      <c r="F109" s="112"/>
      <c r="G109" s="37"/>
      <c r="H109" s="201"/>
      <c r="I109" s="112"/>
      <c r="J109" s="37"/>
      <c r="K109" s="159"/>
      <c r="L109" s="112"/>
      <c r="M109" s="37"/>
      <c r="N109" s="159"/>
      <c r="O109" s="112"/>
      <c r="P109" s="37"/>
      <c r="Q109" s="159"/>
      <c r="R109" s="112"/>
      <c r="S109" s="37"/>
      <c r="T109" s="159"/>
      <c r="U109" s="112"/>
      <c r="V109" s="37"/>
      <c r="W109" s="159"/>
      <c r="X109" s="112"/>
      <c r="Y109" s="58"/>
      <c r="Z109" s="180"/>
      <c r="AA109" s="112"/>
      <c r="AB109" s="58"/>
      <c r="AC109" s="180"/>
      <c r="AD109" s="112" t="s">
        <v>695</v>
      </c>
      <c r="AE109" s="99" t="s">
        <v>535</v>
      </c>
      <c r="AF109" s="59"/>
      <c r="AM109"/>
    </row>
    <row r="110" spans="1:39" ht="18" x14ac:dyDescent="0.45">
      <c r="A110" s="141"/>
      <c r="B110" s="222" t="s">
        <v>669</v>
      </c>
      <c r="C110" s="123"/>
      <c r="D110" s="76"/>
      <c r="E110" s="197"/>
      <c r="F110" s="109"/>
      <c r="G110" s="33"/>
      <c r="H110" s="197"/>
      <c r="I110" s="109"/>
      <c r="J110" s="33"/>
      <c r="K110" s="155"/>
      <c r="L110" s="109"/>
      <c r="M110" s="33"/>
      <c r="N110" s="155"/>
      <c r="O110" s="109"/>
      <c r="P110" s="33"/>
      <c r="Q110" s="155"/>
      <c r="R110" s="109"/>
      <c r="S110" s="33"/>
      <c r="T110" s="155"/>
      <c r="U110" s="109"/>
      <c r="V110" s="33"/>
      <c r="W110" s="155"/>
      <c r="X110" s="109"/>
      <c r="Y110" s="48"/>
      <c r="Z110" s="181"/>
      <c r="AA110" s="109"/>
      <c r="AB110" s="48"/>
      <c r="AC110" s="181"/>
      <c r="AD110" s="109" t="s">
        <v>695</v>
      </c>
      <c r="AE110" s="96" t="s">
        <v>536</v>
      </c>
      <c r="AF110" s="49"/>
      <c r="AM110"/>
    </row>
    <row r="111" spans="1:39" ht="18.600000000000001" thickBot="1" x14ac:dyDescent="0.5">
      <c r="A111" s="142"/>
      <c r="B111" s="223"/>
      <c r="C111" s="124"/>
      <c r="D111" s="77"/>
      <c r="E111" s="198"/>
      <c r="F111" s="110"/>
      <c r="G111" s="34"/>
      <c r="H111" s="198"/>
      <c r="I111" s="110"/>
      <c r="J111" s="34"/>
      <c r="K111" s="156"/>
      <c r="L111" s="110"/>
      <c r="M111" s="34"/>
      <c r="N111" s="156"/>
      <c r="O111" s="110"/>
      <c r="P111" s="34"/>
      <c r="Q111" s="156"/>
      <c r="R111" s="110"/>
      <c r="S111" s="34"/>
      <c r="T111" s="156"/>
      <c r="U111" s="110"/>
      <c r="V111" s="34"/>
      <c r="W111" s="156"/>
      <c r="X111" s="110"/>
      <c r="Y111" s="46"/>
      <c r="Z111" s="182"/>
      <c r="AA111" s="110"/>
      <c r="AB111" s="46"/>
      <c r="AC111" s="182"/>
      <c r="AD111" s="110" t="s">
        <v>695</v>
      </c>
      <c r="AE111" s="97" t="s">
        <v>537</v>
      </c>
      <c r="AF111" s="47"/>
      <c r="AM111"/>
    </row>
    <row r="112" spans="1:39" ht="18" x14ac:dyDescent="0.45">
      <c r="A112" s="138" t="s">
        <v>289</v>
      </c>
      <c r="B112" s="218" t="s">
        <v>672</v>
      </c>
      <c r="C112" s="123"/>
      <c r="D112" s="73"/>
      <c r="E112" s="194"/>
      <c r="F112" s="109"/>
      <c r="G112" s="14"/>
      <c r="H112" s="194"/>
      <c r="I112" s="109"/>
      <c r="J112" s="14"/>
      <c r="K112" s="152"/>
      <c r="L112" s="109"/>
      <c r="M112" s="14"/>
      <c r="N112" s="152"/>
      <c r="O112" s="109"/>
      <c r="P112" s="14"/>
      <c r="Q112" s="152"/>
      <c r="R112" s="109"/>
      <c r="S112" s="14"/>
      <c r="T112" s="152"/>
      <c r="U112" s="109"/>
      <c r="V112" s="14"/>
      <c r="W112" s="152"/>
      <c r="X112" s="109" t="s">
        <v>695</v>
      </c>
      <c r="Y112" s="48" t="s">
        <v>538</v>
      </c>
      <c r="Z112" s="181" t="s">
        <v>708</v>
      </c>
      <c r="AA112" s="109"/>
      <c r="AB112" s="48"/>
      <c r="AC112" s="181"/>
      <c r="AD112" s="109"/>
      <c r="AE112" s="96"/>
      <c r="AF112" s="49"/>
      <c r="AM112"/>
    </row>
    <row r="113" spans="1:39" ht="18" x14ac:dyDescent="0.45">
      <c r="A113" s="141"/>
      <c r="B113" s="237"/>
      <c r="C113" s="129"/>
      <c r="D113" s="87"/>
      <c r="E113" s="208"/>
      <c r="F113" s="115"/>
      <c r="G113" s="30"/>
      <c r="H113" s="208"/>
      <c r="I113" s="115"/>
      <c r="J113" s="30"/>
      <c r="K113" s="166"/>
      <c r="L113" s="115"/>
      <c r="M113" s="30"/>
      <c r="N113" s="166"/>
      <c r="O113" s="115"/>
      <c r="P113" s="30"/>
      <c r="Q113" s="166"/>
      <c r="R113" s="115"/>
      <c r="S113" s="30"/>
      <c r="T113" s="166"/>
      <c r="U113" s="115"/>
      <c r="V113" s="30"/>
      <c r="W113" s="166"/>
      <c r="X113" s="115" t="s">
        <v>695</v>
      </c>
      <c r="Y113" s="50" t="s">
        <v>539</v>
      </c>
      <c r="Z113" s="186" t="s">
        <v>708</v>
      </c>
      <c r="AA113" s="115"/>
      <c r="AB113" s="50"/>
      <c r="AC113" s="186"/>
      <c r="AD113" s="115"/>
      <c r="AE113" s="103"/>
      <c r="AF113" s="51"/>
      <c r="AM113"/>
    </row>
    <row r="114" spans="1:39" ht="18" x14ac:dyDescent="0.45">
      <c r="A114" s="141"/>
      <c r="B114" s="238" t="s">
        <v>673</v>
      </c>
      <c r="C114" s="130"/>
      <c r="D114" s="88"/>
      <c r="E114" s="209"/>
      <c r="F114" s="116"/>
      <c r="G114" s="26"/>
      <c r="H114" s="209"/>
      <c r="I114" s="116"/>
      <c r="J114" s="26"/>
      <c r="K114" s="167"/>
      <c r="L114" s="116"/>
      <c r="M114" s="26"/>
      <c r="N114" s="167"/>
      <c r="O114" s="116"/>
      <c r="P114" s="26"/>
      <c r="Q114" s="167"/>
      <c r="R114" s="116"/>
      <c r="S114" s="26"/>
      <c r="T114" s="167"/>
      <c r="U114" s="116"/>
      <c r="V114" s="26"/>
      <c r="W114" s="167"/>
      <c r="X114" s="116"/>
      <c r="Y114" s="54"/>
      <c r="Z114" s="187"/>
      <c r="AA114" s="116" t="s">
        <v>695</v>
      </c>
      <c r="AB114" s="31" t="s">
        <v>540</v>
      </c>
      <c r="AC114" s="190" t="s">
        <v>708</v>
      </c>
      <c r="AD114" s="116" t="s">
        <v>695</v>
      </c>
      <c r="AE114" s="102" t="s">
        <v>541</v>
      </c>
      <c r="AF114" s="55" t="s">
        <v>708</v>
      </c>
      <c r="AM114"/>
    </row>
    <row r="115" spans="1:39" ht="18.600000000000001" thickBot="1" x14ac:dyDescent="0.5">
      <c r="A115" s="141"/>
      <c r="B115" s="221"/>
      <c r="C115" s="124"/>
      <c r="D115" s="74"/>
      <c r="E115" s="195"/>
      <c r="F115" s="110"/>
      <c r="G115" s="17"/>
      <c r="H115" s="195"/>
      <c r="I115" s="110"/>
      <c r="J115" s="17"/>
      <c r="K115" s="153"/>
      <c r="L115" s="110"/>
      <c r="M115" s="17"/>
      <c r="N115" s="153"/>
      <c r="O115" s="110"/>
      <c r="P115" s="17"/>
      <c r="Q115" s="153"/>
      <c r="R115" s="110"/>
      <c r="S115" s="17"/>
      <c r="T115" s="153"/>
      <c r="U115" s="110"/>
      <c r="V115" s="17"/>
      <c r="W115" s="153"/>
      <c r="X115" s="110"/>
      <c r="Y115" s="46"/>
      <c r="Z115" s="182"/>
      <c r="AA115" s="110"/>
      <c r="AB115" s="46"/>
      <c r="AC115" s="182"/>
      <c r="AD115" s="110" t="s">
        <v>695</v>
      </c>
      <c r="AE115" s="97" t="s">
        <v>542</v>
      </c>
      <c r="AF115" s="47" t="s">
        <v>708</v>
      </c>
      <c r="AM115"/>
    </row>
    <row r="116" spans="1:39" ht="18" x14ac:dyDescent="0.45">
      <c r="A116" s="141"/>
      <c r="B116" s="239" t="s">
        <v>229</v>
      </c>
      <c r="C116" s="123"/>
      <c r="D116" s="73"/>
      <c r="E116" s="194"/>
      <c r="F116" s="109"/>
      <c r="G116" s="14"/>
      <c r="H116" s="194"/>
      <c r="I116" s="109"/>
      <c r="J116" s="14"/>
      <c r="K116" s="152"/>
      <c r="L116" s="109"/>
      <c r="M116" s="14"/>
      <c r="N116" s="152"/>
      <c r="O116" s="109"/>
      <c r="P116" s="14"/>
      <c r="Q116" s="152"/>
      <c r="R116" s="109"/>
      <c r="S116" s="14"/>
      <c r="T116" s="152"/>
      <c r="U116" s="109"/>
      <c r="V116" s="14"/>
      <c r="W116" s="152"/>
      <c r="X116" s="109"/>
      <c r="Y116" s="48"/>
      <c r="Z116" s="181"/>
      <c r="AA116" s="109" t="s">
        <v>695</v>
      </c>
      <c r="AB116" s="48" t="s">
        <v>300</v>
      </c>
      <c r="AC116" s="181" t="s">
        <v>708</v>
      </c>
      <c r="AD116" s="109" t="s">
        <v>695</v>
      </c>
      <c r="AE116" s="96" t="s">
        <v>305</v>
      </c>
      <c r="AF116" s="49"/>
      <c r="AM116"/>
    </row>
    <row r="117" spans="1:39" ht="34.799999999999997" x14ac:dyDescent="0.45">
      <c r="A117" s="141"/>
      <c r="B117" s="240" t="s">
        <v>678</v>
      </c>
      <c r="C117" s="125"/>
      <c r="D117" s="75"/>
      <c r="E117" s="196"/>
      <c r="F117" s="111"/>
      <c r="G117" s="16"/>
      <c r="H117" s="196"/>
      <c r="I117" s="111"/>
      <c r="J117" s="16"/>
      <c r="K117" s="154"/>
      <c r="L117" s="111"/>
      <c r="M117" s="16"/>
      <c r="N117" s="154"/>
      <c r="O117" s="111"/>
      <c r="P117" s="16"/>
      <c r="Q117" s="154"/>
      <c r="R117" s="111"/>
      <c r="S117" s="16"/>
      <c r="T117" s="154"/>
      <c r="U117" s="111"/>
      <c r="V117" s="16"/>
      <c r="W117" s="154"/>
      <c r="X117" s="111"/>
      <c r="Y117" s="44"/>
      <c r="Z117" s="183"/>
      <c r="AA117" s="111" t="s">
        <v>695</v>
      </c>
      <c r="AB117" s="44" t="s">
        <v>304</v>
      </c>
      <c r="AC117" s="261" t="s">
        <v>727</v>
      </c>
      <c r="AD117" s="111"/>
      <c r="AE117" s="98"/>
      <c r="AF117" s="45"/>
      <c r="AM117"/>
    </row>
    <row r="118" spans="1:39" ht="18" x14ac:dyDescent="0.45">
      <c r="A118" s="141"/>
      <c r="B118" s="241" t="s">
        <v>675</v>
      </c>
      <c r="C118" s="132"/>
      <c r="D118" s="89"/>
      <c r="E118" s="210"/>
      <c r="F118" s="118"/>
      <c r="G118" s="20"/>
      <c r="H118" s="210"/>
      <c r="I118" s="118"/>
      <c r="J118" s="20"/>
      <c r="K118" s="168"/>
      <c r="L118" s="118"/>
      <c r="M118" s="20"/>
      <c r="N118" s="168"/>
      <c r="O118" s="118"/>
      <c r="P118" s="20"/>
      <c r="Q118" s="168"/>
      <c r="R118" s="118"/>
      <c r="S118" s="20"/>
      <c r="T118" s="168"/>
      <c r="U118" s="118"/>
      <c r="V118" s="20"/>
      <c r="W118" s="168"/>
      <c r="X118" s="118"/>
      <c r="Y118" s="56"/>
      <c r="Z118" s="189"/>
      <c r="AA118" s="118" t="s">
        <v>695</v>
      </c>
      <c r="AB118" s="56" t="s">
        <v>302</v>
      </c>
      <c r="AC118" s="189" t="s">
        <v>708</v>
      </c>
      <c r="AD118" s="118"/>
      <c r="AE118" s="101"/>
      <c r="AF118" s="57"/>
      <c r="AM118"/>
    </row>
    <row r="119" spans="1:39" ht="18" x14ac:dyDescent="0.45">
      <c r="A119" s="141"/>
      <c r="B119" s="238" t="s">
        <v>645</v>
      </c>
      <c r="C119" s="130"/>
      <c r="D119" s="88"/>
      <c r="E119" s="209"/>
      <c r="F119" s="116"/>
      <c r="G119" s="26"/>
      <c r="H119" s="209"/>
      <c r="I119" s="116"/>
      <c r="J119" s="26"/>
      <c r="K119" s="167"/>
      <c r="L119" s="116"/>
      <c r="M119" s="26"/>
      <c r="N119" s="167"/>
      <c r="O119" s="116"/>
      <c r="P119" s="26"/>
      <c r="Q119" s="167"/>
      <c r="R119" s="116"/>
      <c r="S119" s="26"/>
      <c r="T119" s="167"/>
      <c r="U119" s="116"/>
      <c r="V119" s="26"/>
      <c r="W119" s="167"/>
      <c r="X119" s="116"/>
      <c r="Y119" s="54"/>
      <c r="Z119" s="187"/>
      <c r="AA119" s="116" t="s">
        <v>695</v>
      </c>
      <c r="AB119" s="54" t="s">
        <v>301</v>
      </c>
      <c r="AC119" s="187" t="s">
        <v>724</v>
      </c>
      <c r="AD119" s="116"/>
      <c r="AE119" s="102"/>
      <c r="AF119" s="55"/>
      <c r="AM119"/>
    </row>
    <row r="120" spans="1:39" ht="18.600000000000001" thickBot="1" x14ac:dyDescent="0.5">
      <c r="A120" s="141"/>
      <c r="B120" s="221"/>
      <c r="C120" s="124"/>
      <c r="D120" s="74"/>
      <c r="E120" s="195"/>
      <c r="F120" s="110"/>
      <c r="G120" s="17"/>
      <c r="H120" s="195"/>
      <c r="I120" s="110"/>
      <c r="J120" s="17"/>
      <c r="K120" s="153"/>
      <c r="L120" s="110"/>
      <c r="M120" s="17"/>
      <c r="N120" s="153"/>
      <c r="O120" s="110"/>
      <c r="P120" s="17"/>
      <c r="Q120" s="153"/>
      <c r="R120" s="110"/>
      <c r="S120" s="17"/>
      <c r="T120" s="153"/>
      <c r="U120" s="110"/>
      <c r="V120" s="17"/>
      <c r="W120" s="153"/>
      <c r="X120" s="110"/>
      <c r="Y120" s="46"/>
      <c r="Z120" s="182"/>
      <c r="AA120" s="110" t="s">
        <v>695</v>
      </c>
      <c r="AB120" s="46" t="s">
        <v>303</v>
      </c>
      <c r="AC120" s="182" t="s">
        <v>708</v>
      </c>
      <c r="AD120" s="110"/>
      <c r="AE120" s="97"/>
      <c r="AF120" s="47"/>
      <c r="AM120"/>
    </row>
    <row r="121" spans="1:39" ht="18" x14ac:dyDescent="0.45">
      <c r="A121" s="141"/>
      <c r="B121" s="239" t="s">
        <v>653</v>
      </c>
      <c r="C121" s="123"/>
      <c r="D121" s="73"/>
      <c r="E121" s="194"/>
      <c r="F121" s="109"/>
      <c r="G121" s="14"/>
      <c r="H121" s="194"/>
      <c r="I121" s="109"/>
      <c r="J121" s="14"/>
      <c r="K121" s="152"/>
      <c r="L121" s="109"/>
      <c r="M121" s="14"/>
      <c r="N121" s="152"/>
      <c r="O121" s="109"/>
      <c r="P121" s="14"/>
      <c r="Q121" s="152"/>
      <c r="R121" s="109"/>
      <c r="S121" s="14"/>
      <c r="T121" s="152"/>
      <c r="U121" s="109" t="s">
        <v>695</v>
      </c>
      <c r="V121" s="22" t="s">
        <v>318</v>
      </c>
      <c r="W121" s="172" t="s">
        <v>708</v>
      </c>
      <c r="X121" s="109"/>
      <c r="Y121" s="48"/>
      <c r="Z121" s="181"/>
      <c r="AA121" s="109"/>
      <c r="AB121" s="48"/>
      <c r="AC121" s="181"/>
      <c r="AD121" s="109"/>
      <c r="AE121" s="96"/>
      <c r="AF121" s="49"/>
      <c r="AM121"/>
    </row>
    <row r="122" spans="1:39" ht="18" x14ac:dyDescent="0.45">
      <c r="A122" s="141"/>
      <c r="B122" s="241" t="s">
        <v>675</v>
      </c>
      <c r="C122" s="129"/>
      <c r="D122" s="87"/>
      <c r="E122" s="208"/>
      <c r="F122" s="115"/>
      <c r="G122" s="30"/>
      <c r="H122" s="208"/>
      <c r="I122" s="115"/>
      <c r="J122" s="30"/>
      <c r="K122" s="166"/>
      <c r="L122" s="115"/>
      <c r="M122" s="30"/>
      <c r="N122" s="166"/>
      <c r="O122" s="115"/>
      <c r="P122" s="30"/>
      <c r="Q122" s="166"/>
      <c r="R122" s="115"/>
      <c r="S122" s="30"/>
      <c r="T122" s="166"/>
      <c r="U122" s="115"/>
      <c r="V122" s="30"/>
      <c r="W122" s="166"/>
      <c r="X122" s="115" t="s">
        <v>695</v>
      </c>
      <c r="Y122" s="50" t="s">
        <v>322</v>
      </c>
      <c r="Z122" s="186" t="s">
        <v>708</v>
      </c>
      <c r="AA122" s="115"/>
      <c r="AB122" s="50"/>
      <c r="AC122" s="186"/>
      <c r="AD122" s="115"/>
      <c r="AE122" s="103"/>
      <c r="AF122" s="51"/>
      <c r="AM122"/>
    </row>
    <row r="123" spans="1:39" ht="18" x14ac:dyDescent="0.45">
      <c r="A123" s="141"/>
      <c r="B123" s="238" t="s">
        <v>674</v>
      </c>
      <c r="C123" s="130"/>
      <c r="D123" s="88"/>
      <c r="E123" s="209"/>
      <c r="F123" s="116"/>
      <c r="G123" s="26"/>
      <c r="H123" s="209"/>
      <c r="I123" s="116"/>
      <c r="J123" s="26"/>
      <c r="K123" s="167"/>
      <c r="L123" s="116"/>
      <c r="M123" s="26"/>
      <c r="N123" s="167"/>
      <c r="O123" s="116"/>
      <c r="P123" s="26"/>
      <c r="Q123" s="167"/>
      <c r="R123" s="116"/>
      <c r="S123" s="26"/>
      <c r="T123" s="167"/>
      <c r="U123" s="116"/>
      <c r="V123" s="26"/>
      <c r="W123" s="167"/>
      <c r="X123" s="116" t="s">
        <v>695</v>
      </c>
      <c r="Y123" s="31" t="s">
        <v>319</v>
      </c>
      <c r="Z123" s="190" t="s">
        <v>708</v>
      </c>
      <c r="AA123" s="116"/>
      <c r="AB123" s="54"/>
      <c r="AC123" s="187"/>
      <c r="AD123" s="116"/>
      <c r="AE123" s="102"/>
      <c r="AF123" s="55"/>
      <c r="AM123"/>
    </row>
    <row r="124" spans="1:39" ht="18" x14ac:dyDescent="0.45">
      <c r="A124" s="141"/>
      <c r="B124" s="237"/>
      <c r="C124" s="129"/>
      <c r="D124" s="87"/>
      <c r="E124" s="208"/>
      <c r="F124" s="115"/>
      <c r="G124" s="30"/>
      <c r="H124" s="208"/>
      <c r="I124" s="115"/>
      <c r="J124" s="30"/>
      <c r="K124" s="166"/>
      <c r="L124" s="115"/>
      <c r="M124" s="30"/>
      <c r="N124" s="166"/>
      <c r="O124" s="115"/>
      <c r="P124" s="30"/>
      <c r="Q124" s="166"/>
      <c r="R124" s="115"/>
      <c r="S124" s="30"/>
      <c r="T124" s="166"/>
      <c r="U124" s="115"/>
      <c r="V124" s="30"/>
      <c r="W124" s="166"/>
      <c r="X124" s="115"/>
      <c r="Y124" s="50"/>
      <c r="Z124" s="186"/>
      <c r="AA124" s="115" t="s">
        <v>695</v>
      </c>
      <c r="AB124" s="50" t="s">
        <v>323</v>
      </c>
      <c r="AC124" s="186"/>
      <c r="AD124" s="115"/>
      <c r="AE124" s="103"/>
      <c r="AF124" s="51"/>
      <c r="AM124"/>
    </row>
    <row r="125" spans="1:39" ht="18" x14ac:dyDescent="0.45">
      <c r="A125" s="141"/>
      <c r="B125" s="242" t="s">
        <v>677</v>
      </c>
      <c r="C125" s="127"/>
      <c r="D125" s="72"/>
      <c r="E125" s="211"/>
      <c r="F125" s="113"/>
      <c r="G125" s="18"/>
      <c r="H125" s="211"/>
      <c r="I125" s="113"/>
      <c r="J125" s="18"/>
      <c r="K125" s="169"/>
      <c r="L125" s="113"/>
      <c r="M125" s="18"/>
      <c r="N125" s="169"/>
      <c r="O125" s="113"/>
      <c r="P125" s="18"/>
      <c r="Q125" s="169"/>
      <c r="R125" s="113"/>
      <c r="S125" s="18"/>
      <c r="T125" s="169"/>
      <c r="U125" s="113"/>
      <c r="V125" s="18"/>
      <c r="W125" s="169"/>
      <c r="X125" s="113"/>
      <c r="Y125" s="52"/>
      <c r="Z125" s="184"/>
      <c r="AA125" s="113"/>
      <c r="AB125" s="52"/>
      <c r="AC125" s="184"/>
      <c r="AD125" s="113" t="s">
        <v>695</v>
      </c>
      <c r="AE125" s="95" t="s">
        <v>543</v>
      </c>
      <c r="AF125" s="53"/>
      <c r="AM125"/>
    </row>
    <row r="126" spans="1:39" ht="18.600000000000001" thickBot="1" x14ac:dyDescent="0.5">
      <c r="A126" s="142"/>
      <c r="B126" s="221" t="s">
        <v>676</v>
      </c>
      <c r="C126" s="128"/>
      <c r="D126" s="74"/>
      <c r="E126" s="212"/>
      <c r="F126" s="114"/>
      <c r="G126" s="17"/>
      <c r="H126" s="212"/>
      <c r="I126" s="114"/>
      <c r="J126" s="17"/>
      <c r="K126" s="170"/>
      <c r="L126" s="114"/>
      <c r="M126" s="17"/>
      <c r="N126" s="170"/>
      <c r="O126" s="114"/>
      <c r="P126" s="17"/>
      <c r="Q126" s="170"/>
      <c r="R126" s="114"/>
      <c r="S126" s="17"/>
      <c r="T126" s="170"/>
      <c r="U126" s="114"/>
      <c r="V126" s="17"/>
      <c r="W126" s="170"/>
      <c r="X126" s="114"/>
      <c r="Y126" s="46"/>
      <c r="Z126" s="185"/>
      <c r="AA126" s="114"/>
      <c r="AB126" s="46"/>
      <c r="AC126" s="185"/>
      <c r="AD126" s="114" t="s">
        <v>695</v>
      </c>
      <c r="AE126" s="97" t="s">
        <v>321</v>
      </c>
      <c r="AF126" s="63" t="s">
        <v>708</v>
      </c>
      <c r="AM126"/>
    </row>
    <row r="127" spans="1:39" ht="18" x14ac:dyDescent="0.45">
      <c r="A127" s="138" t="s">
        <v>324</v>
      </c>
      <c r="B127" s="243"/>
      <c r="C127" s="123" t="s">
        <v>695</v>
      </c>
      <c r="D127" s="73" t="s">
        <v>544</v>
      </c>
      <c r="E127" s="194" t="s">
        <v>708</v>
      </c>
      <c r="F127" s="109"/>
      <c r="G127" s="14"/>
      <c r="H127" s="194"/>
      <c r="I127" s="109"/>
      <c r="J127" s="14"/>
      <c r="K127" s="152"/>
      <c r="L127" s="109"/>
      <c r="M127" s="14"/>
      <c r="N127" s="152"/>
      <c r="O127" s="109"/>
      <c r="P127" s="14"/>
      <c r="Q127" s="152"/>
      <c r="R127" s="109"/>
      <c r="S127" s="14"/>
      <c r="T127" s="152"/>
      <c r="U127" s="109"/>
      <c r="V127" s="14"/>
      <c r="W127" s="152"/>
      <c r="X127" s="109"/>
      <c r="Y127" s="48"/>
      <c r="Z127" s="181"/>
      <c r="AA127" s="109"/>
      <c r="AB127" s="48"/>
      <c r="AC127" s="181"/>
      <c r="AD127" s="109"/>
      <c r="AE127" s="96"/>
      <c r="AF127" s="49"/>
      <c r="AM127"/>
    </row>
    <row r="128" spans="1:39" ht="18" x14ac:dyDescent="0.45">
      <c r="A128" s="141"/>
      <c r="B128" s="244"/>
      <c r="C128" s="125"/>
      <c r="D128" s="75"/>
      <c r="E128" s="196"/>
      <c r="F128" s="111" t="s">
        <v>695</v>
      </c>
      <c r="G128" s="16" t="s">
        <v>332</v>
      </c>
      <c r="H128" s="196"/>
      <c r="I128" s="111"/>
      <c r="J128" s="16"/>
      <c r="K128" s="154"/>
      <c r="L128" s="111"/>
      <c r="M128" s="16"/>
      <c r="N128" s="154"/>
      <c r="O128" s="111"/>
      <c r="P128" s="16"/>
      <c r="Q128" s="154"/>
      <c r="R128" s="111"/>
      <c r="S128" s="16"/>
      <c r="T128" s="154"/>
      <c r="U128" s="111"/>
      <c r="V128" s="16"/>
      <c r="W128" s="154"/>
      <c r="X128" s="111"/>
      <c r="Y128" s="44"/>
      <c r="Z128" s="183"/>
      <c r="AA128" s="111" t="s">
        <v>695</v>
      </c>
      <c r="AB128" s="21" t="s">
        <v>557</v>
      </c>
      <c r="AC128" s="191"/>
      <c r="AD128" s="111"/>
      <c r="AE128" s="98"/>
      <c r="AF128" s="45"/>
      <c r="AM128"/>
    </row>
    <row r="129" spans="1:39" ht="18" x14ac:dyDescent="0.45">
      <c r="A129" s="141"/>
      <c r="B129" s="244" t="s">
        <v>712</v>
      </c>
      <c r="C129" s="125"/>
      <c r="D129" s="75"/>
      <c r="E129" s="196"/>
      <c r="F129" s="111"/>
      <c r="G129" s="16"/>
      <c r="H129" s="196"/>
      <c r="I129" s="111" t="s">
        <v>695</v>
      </c>
      <c r="J129" s="16" t="s">
        <v>326</v>
      </c>
      <c r="K129" s="154"/>
      <c r="L129" s="111"/>
      <c r="M129" s="16"/>
      <c r="N129" s="154"/>
      <c r="O129" s="111"/>
      <c r="P129" s="16"/>
      <c r="Q129" s="154"/>
      <c r="R129" s="111"/>
      <c r="S129" s="16"/>
      <c r="T129" s="154"/>
      <c r="U129" s="111"/>
      <c r="V129" s="16"/>
      <c r="W129" s="154"/>
      <c r="X129" s="111"/>
      <c r="Y129" s="44"/>
      <c r="Z129" s="183"/>
      <c r="AA129" s="111"/>
      <c r="AB129" s="44"/>
      <c r="AC129" s="183"/>
      <c r="AD129" s="111"/>
      <c r="AE129" s="98"/>
      <c r="AF129" s="45"/>
      <c r="AM129"/>
    </row>
    <row r="130" spans="1:39" ht="34.799999999999997" x14ac:dyDescent="0.45">
      <c r="A130" s="141"/>
      <c r="B130" s="244" t="s">
        <v>686</v>
      </c>
      <c r="C130" s="125"/>
      <c r="D130" s="75"/>
      <c r="E130" s="196"/>
      <c r="F130" s="111"/>
      <c r="G130" s="16"/>
      <c r="H130" s="196"/>
      <c r="I130" s="111"/>
      <c r="J130" s="16"/>
      <c r="K130" s="154"/>
      <c r="L130" s="111"/>
      <c r="M130" s="16"/>
      <c r="N130" s="154"/>
      <c r="O130" s="111"/>
      <c r="P130" s="16"/>
      <c r="Q130" s="154"/>
      <c r="R130" s="111"/>
      <c r="S130" s="16"/>
      <c r="T130" s="154"/>
      <c r="U130" s="111"/>
      <c r="V130" s="16"/>
      <c r="W130" s="154"/>
      <c r="X130" s="111" t="s">
        <v>695</v>
      </c>
      <c r="Y130" s="21" t="s">
        <v>548</v>
      </c>
      <c r="Z130" s="260" t="s">
        <v>725</v>
      </c>
      <c r="AA130" s="111"/>
      <c r="AB130" s="44"/>
      <c r="AC130" s="183"/>
      <c r="AD130" s="111" t="s">
        <v>695</v>
      </c>
      <c r="AE130" s="98" t="s">
        <v>559</v>
      </c>
      <c r="AF130" s="45"/>
      <c r="AM130"/>
    </row>
    <row r="131" spans="1:39" ht="18" x14ac:dyDescent="0.45">
      <c r="A131" s="141"/>
      <c r="B131" s="244" t="s">
        <v>685</v>
      </c>
      <c r="C131" s="125"/>
      <c r="D131" s="75"/>
      <c r="E131" s="196"/>
      <c r="F131" s="111"/>
      <c r="G131" s="16"/>
      <c r="H131" s="196"/>
      <c r="I131" s="111"/>
      <c r="J131" s="16"/>
      <c r="K131" s="154"/>
      <c r="L131" s="111"/>
      <c r="M131" s="16"/>
      <c r="N131" s="154"/>
      <c r="O131" s="111"/>
      <c r="P131" s="16"/>
      <c r="Q131" s="154"/>
      <c r="R131" s="111"/>
      <c r="S131" s="16"/>
      <c r="T131" s="154"/>
      <c r="U131" s="111"/>
      <c r="V131" s="16"/>
      <c r="W131" s="154"/>
      <c r="X131" s="111"/>
      <c r="Y131" s="44"/>
      <c r="Z131" s="183"/>
      <c r="AA131" s="111" t="s">
        <v>695</v>
      </c>
      <c r="AB131" s="44" t="s">
        <v>558</v>
      </c>
      <c r="AC131" s="183"/>
      <c r="AD131" s="111"/>
      <c r="AE131" s="98"/>
      <c r="AF131" s="45"/>
      <c r="AM131"/>
    </row>
    <row r="132" spans="1:39" ht="18" x14ac:dyDescent="0.45">
      <c r="A132" s="141"/>
      <c r="B132" s="244" t="s">
        <v>665</v>
      </c>
      <c r="C132" s="125"/>
      <c r="D132" s="75"/>
      <c r="E132" s="196"/>
      <c r="F132" s="111"/>
      <c r="G132" s="16"/>
      <c r="H132" s="196"/>
      <c r="I132" s="111"/>
      <c r="J132" s="16"/>
      <c r="K132" s="154"/>
      <c r="L132" s="111"/>
      <c r="M132" s="16"/>
      <c r="N132" s="154"/>
      <c r="O132" s="111"/>
      <c r="P132" s="16"/>
      <c r="Q132" s="154"/>
      <c r="R132" s="111"/>
      <c r="S132" s="16"/>
      <c r="T132" s="154"/>
      <c r="U132" s="111"/>
      <c r="V132" s="16"/>
      <c r="W132" s="154"/>
      <c r="X132" s="111" t="s">
        <v>695</v>
      </c>
      <c r="Y132" s="44" t="s">
        <v>551</v>
      </c>
      <c r="Z132" s="183"/>
      <c r="AA132" s="111"/>
      <c r="AB132" s="44"/>
      <c r="AC132" s="183"/>
      <c r="AD132" s="111"/>
      <c r="AE132" s="98"/>
      <c r="AF132" s="45"/>
      <c r="AM132"/>
    </row>
    <row r="133" spans="1:39" ht="18" x14ac:dyDescent="0.45">
      <c r="A133" s="141"/>
      <c r="B133" s="244"/>
      <c r="C133" s="125"/>
      <c r="D133" s="75"/>
      <c r="E133" s="196"/>
      <c r="F133" s="111"/>
      <c r="G133" s="16"/>
      <c r="H133" s="196"/>
      <c r="I133" s="111"/>
      <c r="J133" s="16"/>
      <c r="K133" s="154"/>
      <c r="L133" s="111"/>
      <c r="M133" s="16"/>
      <c r="N133" s="154"/>
      <c r="O133" s="111"/>
      <c r="P133" s="16"/>
      <c r="Q133" s="154"/>
      <c r="R133" s="111"/>
      <c r="S133" s="16"/>
      <c r="T133" s="154"/>
      <c r="U133" s="111"/>
      <c r="V133" s="16"/>
      <c r="W133" s="154"/>
      <c r="X133" s="111" t="s">
        <v>695</v>
      </c>
      <c r="Y133" s="21" t="s">
        <v>552</v>
      </c>
      <c r="Z133" s="191"/>
      <c r="AA133" s="111"/>
      <c r="AB133" s="44"/>
      <c r="AC133" s="183"/>
      <c r="AD133" s="111"/>
      <c r="AE133" s="98"/>
      <c r="AF133" s="45"/>
      <c r="AM133"/>
    </row>
    <row r="134" spans="1:39" ht="52.2" x14ac:dyDescent="0.45">
      <c r="A134" s="141"/>
      <c r="B134" s="244" t="s">
        <v>721</v>
      </c>
      <c r="C134" s="125"/>
      <c r="D134" s="75"/>
      <c r="E134" s="196"/>
      <c r="F134" s="111"/>
      <c r="G134" s="16"/>
      <c r="H134" s="196"/>
      <c r="I134" s="111"/>
      <c r="J134" s="16"/>
      <c r="K134" s="154"/>
      <c r="L134" s="111" t="s">
        <v>695</v>
      </c>
      <c r="M134" s="16" t="s">
        <v>338</v>
      </c>
      <c r="N134" s="154"/>
      <c r="O134" s="111"/>
      <c r="P134" s="16"/>
      <c r="Q134" s="154"/>
      <c r="R134" s="111"/>
      <c r="S134" s="16"/>
      <c r="T134" s="154"/>
      <c r="U134" s="111"/>
      <c r="V134" s="16"/>
      <c r="W134" s="154"/>
      <c r="X134" s="111"/>
      <c r="Y134" s="44"/>
      <c r="Z134" s="183"/>
      <c r="AA134" s="111"/>
      <c r="AB134" s="44"/>
      <c r="AC134" s="183"/>
      <c r="AD134" s="111"/>
      <c r="AE134" s="98"/>
      <c r="AF134" s="45"/>
      <c r="AM134"/>
    </row>
    <row r="135" spans="1:39" ht="18" x14ac:dyDescent="0.45">
      <c r="A135" s="141"/>
      <c r="B135" s="244" t="s">
        <v>714</v>
      </c>
      <c r="C135" s="125"/>
      <c r="D135" s="75"/>
      <c r="E135" s="196"/>
      <c r="F135" s="111"/>
      <c r="G135" s="16"/>
      <c r="H135" s="196"/>
      <c r="I135" s="111"/>
      <c r="J135" s="16"/>
      <c r="K135" s="154"/>
      <c r="L135" s="111" t="s">
        <v>695</v>
      </c>
      <c r="M135" s="16" t="s">
        <v>545</v>
      </c>
      <c r="N135" s="154"/>
      <c r="O135" s="111"/>
      <c r="P135" s="16"/>
      <c r="Q135" s="154"/>
      <c r="R135" s="111"/>
      <c r="S135" s="16"/>
      <c r="T135" s="154"/>
      <c r="U135" s="111"/>
      <c r="V135" s="16"/>
      <c r="W135" s="154"/>
      <c r="X135" s="111"/>
      <c r="Y135" s="44"/>
      <c r="Z135" s="183"/>
      <c r="AA135" s="111"/>
      <c r="AB135" s="44"/>
      <c r="AC135" s="183"/>
      <c r="AD135" s="111"/>
      <c r="AE135" s="98"/>
      <c r="AF135" s="45"/>
      <c r="AM135"/>
    </row>
    <row r="136" spans="1:39" ht="18" x14ac:dyDescent="0.45">
      <c r="A136" s="141"/>
      <c r="B136" s="244" t="s">
        <v>715</v>
      </c>
      <c r="C136" s="125"/>
      <c r="D136" s="75"/>
      <c r="E136" s="196"/>
      <c r="F136" s="111"/>
      <c r="G136" s="16"/>
      <c r="H136" s="196"/>
      <c r="I136" s="111"/>
      <c r="J136" s="16"/>
      <c r="K136" s="154"/>
      <c r="L136" s="111" t="s">
        <v>695</v>
      </c>
      <c r="M136" s="16" t="s">
        <v>352</v>
      </c>
      <c r="N136" s="154"/>
      <c r="O136" s="111"/>
      <c r="P136" s="16"/>
      <c r="Q136" s="154"/>
      <c r="R136" s="111"/>
      <c r="S136" s="16"/>
      <c r="T136" s="154"/>
      <c r="U136" s="111"/>
      <c r="V136" s="16"/>
      <c r="W136" s="154"/>
      <c r="X136" s="111"/>
      <c r="Y136" s="44"/>
      <c r="Z136" s="183"/>
      <c r="AA136" s="111"/>
      <c r="AB136" s="44"/>
      <c r="AC136" s="183"/>
      <c r="AD136" s="111"/>
      <c r="AE136" s="98"/>
      <c r="AF136" s="45"/>
      <c r="AM136"/>
    </row>
    <row r="137" spans="1:39" ht="18" x14ac:dyDescent="0.45">
      <c r="A137" s="141"/>
      <c r="B137" s="244"/>
      <c r="C137" s="125"/>
      <c r="D137" s="75"/>
      <c r="E137" s="196"/>
      <c r="F137" s="111"/>
      <c r="G137" s="16"/>
      <c r="H137" s="196"/>
      <c r="I137" s="111"/>
      <c r="J137" s="16"/>
      <c r="K137" s="154"/>
      <c r="L137" s="111"/>
      <c r="M137" s="16"/>
      <c r="N137" s="154"/>
      <c r="O137" s="111"/>
      <c r="P137" s="16"/>
      <c r="Q137" s="154"/>
      <c r="R137" s="111"/>
      <c r="S137" s="16"/>
      <c r="T137" s="154"/>
      <c r="U137" s="111"/>
      <c r="V137" s="16"/>
      <c r="W137" s="154"/>
      <c r="X137" s="111" t="s">
        <v>695</v>
      </c>
      <c r="Y137" s="44" t="s">
        <v>554</v>
      </c>
      <c r="Z137" s="183"/>
      <c r="AA137" s="111"/>
      <c r="AB137" s="44"/>
      <c r="AC137" s="183"/>
      <c r="AD137" s="111"/>
      <c r="AE137" s="98"/>
      <c r="AF137" s="45"/>
      <c r="AM137"/>
    </row>
    <row r="138" spans="1:39" ht="18" x14ac:dyDescent="0.45">
      <c r="A138" s="141"/>
      <c r="B138" s="244" t="s">
        <v>726</v>
      </c>
      <c r="C138" s="125"/>
      <c r="D138" s="75"/>
      <c r="E138" s="196"/>
      <c r="F138" s="111"/>
      <c r="G138" s="16"/>
      <c r="H138" s="196"/>
      <c r="I138" s="111"/>
      <c r="J138" s="16"/>
      <c r="K138" s="154"/>
      <c r="L138" s="111"/>
      <c r="M138" s="16"/>
      <c r="N138" s="154"/>
      <c r="O138" s="111"/>
      <c r="P138" s="16"/>
      <c r="Q138" s="154"/>
      <c r="R138" s="111"/>
      <c r="S138" s="16"/>
      <c r="T138" s="154"/>
      <c r="U138" s="111"/>
      <c r="V138" s="16"/>
      <c r="W138" s="154"/>
      <c r="X138" s="111" t="s">
        <v>695</v>
      </c>
      <c r="Y138" s="44" t="s">
        <v>549</v>
      </c>
      <c r="Z138" s="183"/>
      <c r="AA138" s="111"/>
      <c r="AB138" s="44"/>
      <c r="AC138" s="183"/>
      <c r="AD138" s="111"/>
      <c r="AE138" s="98"/>
      <c r="AF138" s="45"/>
      <c r="AM138"/>
    </row>
    <row r="139" spans="1:39" ht="18" x14ac:dyDescent="0.45">
      <c r="A139" s="141"/>
      <c r="B139" s="244" t="s">
        <v>726</v>
      </c>
      <c r="C139" s="125"/>
      <c r="D139" s="75"/>
      <c r="E139" s="196"/>
      <c r="F139" s="111"/>
      <c r="G139" s="16"/>
      <c r="H139" s="196"/>
      <c r="I139" s="111"/>
      <c r="J139" s="16"/>
      <c r="K139" s="154"/>
      <c r="L139" s="111"/>
      <c r="M139" s="16"/>
      <c r="N139" s="154"/>
      <c r="O139" s="111"/>
      <c r="P139" s="16"/>
      <c r="Q139" s="154"/>
      <c r="R139" s="111"/>
      <c r="S139" s="16"/>
      <c r="T139" s="154"/>
      <c r="U139" s="111"/>
      <c r="V139" s="16"/>
      <c r="W139" s="154"/>
      <c r="X139" s="111" t="s">
        <v>695</v>
      </c>
      <c r="Y139" s="44" t="s">
        <v>550</v>
      </c>
      <c r="Z139" s="183"/>
      <c r="AA139" s="111"/>
      <c r="AB139" s="44"/>
      <c r="AC139" s="183"/>
      <c r="AD139" s="111"/>
      <c r="AE139" s="98"/>
      <c r="AF139" s="45"/>
      <c r="AM139"/>
    </row>
    <row r="140" spans="1:39" ht="18" x14ac:dyDescent="0.45">
      <c r="A140" s="141"/>
      <c r="B140" s="244" t="s">
        <v>726</v>
      </c>
      <c r="C140" s="125"/>
      <c r="D140" s="75"/>
      <c r="E140" s="196"/>
      <c r="F140" s="111"/>
      <c r="G140" s="16"/>
      <c r="H140" s="196"/>
      <c r="I140" s="111"/>
      <c r="J140" s="16"/>
      <c r="K140" s="154"/>
      <c r="L140" s="111"/>
      <c r="M140" s="16"/>
      <c r="N140" s="154"/>
      <c r="O140" s="111"/>
      <c r="P140" s="16"/>
      <c r="Q140" s="154"/>
      <c r="R140" s="111"/>
      <c r="S140" s="16"/>
      <c r="T140" s="154"/>
      <c r="U140" s="111"/>
      <c r="V140" s="16"/>
      <c r="W140" s="154"/>
      <c r="X140" s="111" t="s">
        <v>695</v>
      </c>
      <c r="Y140" s="44" t="s">
        <v>553</v>
      </c>
      <c r="Z140" s="183"/>
      <c r="AA140" s="111"/>
      <c r="AB140" s="44"/>
      <c r="AC140" s="183"/>
      <c r="AD140" s="111"/>
      <c r="AE140" s="98"/>
      <c r="AF140" s="45"/>
      <c r="AM140"/>
    </row>
    <row r="141" spans="1:39" ht="18" x14ac:dyDescent="0.45">
      <c r="A141" s="141"/>
      <c r="B141" s="244"/>
      <c r="C141" s="125"/>
      <c r="D141" s="75"/>
      <c r="E141" s="196"/>
      <c r="F141" s="111"/>
      <c r="G141" s="16"/>
      <c r="H141" s="196"/>
      <c r="I141" s="111"/>
      <c r="J141" s="16"/>
      <c r="K141" s="154"/>
      <c r="L141" s="111"/>
      <c r="M141" s="16"/>
      <c r="N141" s="154"/>
      <c r="O141" s="111"/>
      <c r="P141" s="16"/>
      <c r="Q141" s="154"/>
      <c r="R141" s="111"/>
      <c r="S141" s="16"/>
      <c r="T141" s="154"/>
      <c r="U141" s="111"/>
      <c r="V141" s="16"/>
      <c r="W141" s="154"/>
      <c r="X141" s="111" t="s">
        <v>695</v>
      </c>
      <c r="Y141" s="44" t="s">
        <v>555</v>
      </c>
      <c r="Z141" s="183"/>
      <c r="AA141" s="111"/>
      <c r="AB141" s="44"/>
      <c r="AC141" s="183"/>
      <c r="AD141" s="111"/>
      <c r="AE141" s="98"/>
      <c r="AF141" s="45"/>
      <c r="AM141"/>
    </row>
    <row r="142" spans="1:39" ht="18" x14ac:dyDescent="0.45">
      <c r="A142" s="141"/>
      <c r="B142" s="244" t="s">
        <v>718</v>
      </c>
      <c r="C142" s="125"/>
      <c r="D142" s="75"/>
      <c r="E142" s="196"/>
      <c r="F142" s="111"/>
      <c r="G142" s="16"/>
      <c r="H142" s="196"/>
      <c r="I142" s="111"/>
      <c r="J142" s="16"/>
      <c r="K142" s="154"/>
      <c r="L142" s="111"/>
      <c r="M142" s="16"/>
      <c r="N142" s="154"/>
      <c r="O142" s="111" t="s">
        <v>695</v>
      </c>
      <c r="P142" s="16" t="s">
        <v>546</v>
      </c>
      <c r="Q142" s="154"/>
      <c r="R142" s="111"/>
      <c r="S142" s="16"/>
      <c r="T142" s="154"/>
      <c r="U142" s="111"/>
      <c r="V142" s="16"/>
      <c r="W142" s="154"/>
      <c r="X142" s="111"/>
      <c r="Y142" s="44"/>
      <c r="Z142" s="183"/>
      <c r="AA142" s="111"/>
      <c r="AB142" s="44"/>
      <c r="AC142" s="183"/>
      <c r="AD142" s="111"/>
      <c r="AE142" s="98"/>
      <c r="AF142" s="45"/>
      <c r="AM142"/>
    </row>
    <row r="143" spans="1:39" ht="18" x14ac:dyDescent="0.45">
      <c r="A143" s="141"/>
      <c r="B143" s="244" t="s">
        <v>720</v>
      </c>
      <c r="C143" s="125"/>
      <c r="D143" s="75"/>
      <c r="E143" s="196"/>
      <c r="F143" s="111"/>
      <c r="G143" s="16"/>
      <c r="H143" s="196"/>
      <c r="I143" s="111"/>
      <c r="J143" s="16"/>
      <c r="K143" s="154"/>
      <c r="L143" s="111"/>
      <c r="M143" s="16"/>
      <c r="N143" s="154"/>
      <c r="O143" s="111"/>
      <c r="P143" s="16"/>
      <c r="Q143" s="154"/>
      <c r="R143" s="111" t="s">
        <v>695</v>
      </c>
      <c r="S143" s="16" t="s">
        <v>336</v>
      </c>
      <c r="T143" s="154"/>
      <c r="U143" s="111"/>
      <c r="V143" s="16"/>
      <c r="W143" s="154"/>
      <c r="X143" s="111"/>
      <c r="Y143" s="44"/>
      <c r="Z143" s="183"/>
      <c r="AA143" s="111"/>
      <c r="AB143" s="44"/>
      <c r="AC143" s="183"/>
      <c r="AD143" s="111"/>
      <c r="AE143" s="98"/>
      <c r="AF143" s="45"/>
      <c r="AM143"/>
    </row>
    <row r="144" spans="1:39" ht="18" x14ac:dyDescent="0.45">
      <c r="A144" s="141"/>
      <c r="B144" s="244" t="s">
        <v>720</v>
      </c>
      <c r="C144" s="125"/>
      <c r="D144" s="75"/>
      <c r="E144" s="196"/>
      <c r="F144" s="111"/>
      <c r="G144" s="16"/>
      <c r="H144" s="196"/>
      <c r="I144" s="111"/>
      <c r="J144" s="16"/>
      <c r="K144" s="154"/>
      <c r="L144" s="111"/>
      <c r="M144" s="16"/>
      <c r="N144" s="154"/>
      <c r="O144" s="111"/>
      <c r="P144" s="16"/>
      <c r="Q144" s="154"/>
      <c r="R144" s="111" t="s">
        <v>695</v>
      </c>
      <c r="S144" s="16" t="s">
        <v>547</v>
      </c>
      <c r="T144" s="154"/>
      <c r="U144" s="111"/>
      <c r="V144" s="16"/>
      <c r="W144" s="154"/>
      <c r="X144" s="111"/>
      <c r="Y144" s="44"/>
      <c r="Z144" s="183"/>
      <c r="AA144" s="111"/>
      <c r="AB144" s="44"/>
      <c r="AC144" s="183"/>
      <c r="AD144" s="111"/>
      <c r="AE144" s="98"/>
      <c r="AF144" s="45"/>
      <c r="AM144"/>
    </row>
    <row r="145" spans="1:39" ht="18" x14ac:dyDescent="0.45">
      <c r="A145" s="141"/>
      <c r="B145" s="244" t="s">
        <v>722</v>
      </c>
      <c r="C145" s="125"/>
      <c r="D145" s="75"/>
      <c r="E145" s="196"/>
      <c r="F145" s="111"/>
      <c r="G145" s="16"/>
      <c r="H145" s="196"/>
      <c r="I145" s="111"/>
      <c r="J145" s="16"/>
      <c r="K145" s="154"/>
      <c r="L145" s="111"/>
      <c r="M145" s="16"/>
      <c r="N145" s="154"/>
      <c r="O145" s="111"/>
      <c r="P145" s="16"/>
      <c r="Q145" s="154"/>
      <c r="R145" s="111"/>
      <c r="S145" s="16"/>
      <c r="T145" s="154"/>
      <c r="U145" s="111" t="s">
        <v>695</v>
      </c>
      <c r="V145" s="16" t="s">
        <v>342</v>
      </c>
      <c r="W145" s="154"/>
      <c r="X145" s="111"/>
      <c r="Y145" s="44"/>
      <c r="Z145" s="183"/>
      <c r="AA145" s="111"/>
      <c r="AB145" s="44"/>
      <c r="AC145" s="183"/>
      <c r="AD145" s="111"/>
      <c r="AE145" s="98"/>
      <c r="AF145" s="45"/>
      <c r="AM145"/>
    </row>
    <row r="146" spans="1:39" ht="18" x14ac:dyDescent="0.45">
      <c r="A146" s="141"/>
      <c r="B146" s="244"/>
      <c r="C146" s="125"/>
      <c r="D146" s="75"/>
      <c r="E146" s="196"/>
      <c r="F146" s="111"/>
      <c r="G146" s="16"/>
      <c r="H146" s="196"/>
      <c r="I146" s="111"/>
      <c r="J146" s="16"/>
      <c r="K146" s="154"/>
      <c r="L146" s="111"/>
      <c r="M146" s="16"/>
      <c r="N146" s="154"/>
      <c r="O146" s="111"/>
      <c r="P146" s="16"/>
      <c r="Q146" s="154"/>
      <c r="R146" s="111"/>
      <c r="S146" s="16"/>
      <c r="T146" s="154"/>
      <c r="U146" s="111"/>
      <c r="V146" s="16"/>
      <c r="W146" s="154"/>
      <c r="X146" s="111" t="s">
        <v>695</v>
      </c>
      <c r="Y146" s="44" t="s">
        <v>556</v>
      </c>
      <c r="Z146" s="183"/>
      <c r="AA146" s="111" t="s">
        <v>695</v>
      </c>
      <c r="AB146" s="44" t="s">
        <v>359</v>
      </c>
      <c r="AC146" s="183"/>
      <c r="AD146" s="111"/>
      <c r="AE146" s="98"/>
      <c r="AF146" s="45"/>
      <c r="AM146"/>
    </row>
    <row r="147" spans="1:39" ht="18" x14ac:dyDescent="0.45">
      <c r="A147" s="141"/>
      <c r="B147" s="244"/>
      <c r="C147" s="125"/>
      <c r="D147" s="75"/>
      <c r="E147" s="196"/>
      <c r="F147" s="111"/>
      <c r="G147" s="16"/>
      <c r="H147" s="196"/>
      <c r="I147" s="111"/>
      <c r="J147" s="16"/>
      <c r="K147" s="154"/>
      <c r="L147" s="111"/>
      <c r="M147" s="16"/>
      <c r="N147" s="154"/>
      <c r="O147" s="111"/>
      <c r="P147" s="16"/>
      <c r="Q147" s="154"/>
      <c r="R147" s="111"/>
      <c r="S147" s="16"/>
      <c r="T147" s="154"/>
      <c r="U147" s="111"/>
      <c r="V147" s="16"/>
      <c r="W147" s="154"/>
      <c r="X147" s="111"/>
      <c r="Y147" s="44"/>
      <c r="Z147" s="183"/>
      <c r="AA147" s="111" t="s">
        <v>695</v>
      </c>
      <c r="AB147" s="44" t="s">
        <v>343</v>
      </c>
      <c r="AC147" s="183"/>
      <c r="AD147" s="111"/>
      <c r="AE147" s="98"/>
      <c r="AF147" s="45"/>
      <c r="AM147"/>
    </row>
    <row r="148" spans="1:39" ht="18" x14ac:dyDescent="0.45">
      <c r="A148" s="141"/>
      <c r="B148" s="244"/>
      <c r="C148" s="125"/>
      <c r="D148" s="75"/>
      <c r="E148" s="196"/>
      <c r="F148" s="111"/>
      <c r="G148" s="16"/>
      <c r="H148" s="196"/>
      <c r="I148" s="111"/>
      <c r="J148" s="16"/>
      <c r="K148" s="154"/>
      <c r="L148" s="111"/>
      <c r="M148" s="16"/>
      <c r="N148" s="154"/>
      <c r="O148" s="111"/>
      <c r="P148" s="16"/>
      <c r="Q148" s="154"/>
      <c r="R148" s="111"/>
      <c r="S148" s="16"/>
      <c r="T148" s="154"/>
      <c r="U148" s="111"/>
      <c r="V148" s="16"/>
      <c r="W148" s="154"/>
      <c r="X148" s="111"/>
      <c r="Y148" s="44"/>
      <c r="Z148" s="183"/>
      <c r="AA148" s="111"/>
      <c r="AB148" s="44"/>
      <c r="AC148" s="183"/>
      <c r="AD148" s="111" t="s">
        <v>695</v>
      </c>
      <c r="AE148" s="98" t="s">
        <v>560</v>
      </c>
      <c r="AF148" s="45"/>
      <c r="AM148"/>
    </row>
    <row r="149" spans="1:39" ht="18" x14ac:dyDescent="0.45">
      <c r="A149" s="141"/>
      <c r="B149" s="244"/>
      <c r="C149" s="125"/>
      <c r="D149" s="75"/>
      <c r="E149" s="196"/>
      <c r="F149" s="111"/>
      <c r="G149" s="16"/>
      <c r="H149" s="196"/>
      <c r="I149" s="111"/>
      <c r="J149" s="16"/>
      <c r="K149" s="154"/>
      <c r="L149" s="111"/>
      <c r="M149" s="16"/>
      <c r="N149" s="154"/>
      <c r="O149" s="111"/>
      <c r="P149" s="16"/>
      <c r="Q149" s="154"/>
      <c r="R149" s="111"/>
      <c r="S149" s="16"/>
      <c r="T149" s="154"/>
      <c r="U149" s="111"/>
      <c r="V149" s="16"/>
      <c r="W149" s="154"/>
      <c r="X149" s="111"/>
      <c r="Y149" s="44"/>
      <c r="Z149" s="183"/>
      <c r="AA149" s="111"/>
      <c r="AB149" s="44"/>
      <c r="AC149" s="183"/>
      <c r="AD149" s="111" t="s">
        <v>695</v>
      </c>
      <c r="AE149" s="98" t="s">
        <v>561</v>
      </c>
      <c r="AF149" s="45"/>
      <c r="AM149"/>
    </row>
    <row r="150" spans="1:39" ht="18.600000000000001" thickBot="1" x14ac:dyDescent="0.5">
      <c r="A150" s="142"/>
      <c r="B150" s="245"/>
      <c r="C150" s="124"/>
      <c r="D150" s="74"/>
      <c r="E150" s="195"/>
      <c r="F150" s="110"/>
      <c r="G150" s="17"/>
      <c r="H150" s="195"/>
      <c r="I150" s="110"/>
      <c r="J150" s="17"/>
      <c r="K150" s="153"/>
      <c r="L150" s="110"/>
      <c r="M150" s="17"/>
      <c r="N150" s="153"/>
      <c r="O150" s="110"/>
      <c r="P150" s="17"/>
      <c r="Q150" s="153"/>
      <c r="R150" s="110"/>
      <c r="S150" s="17"/>
      <c r="T150" s="153"/>
      <c r="U150" s="110"/>
      <c r="V150" s="17"/>
      <c r="W150" s="153"/>
      <c r="X150" s="110"/>
      <c r="Y150" s="46"/>
      <c r="Z150" s="182"/>
      <c r="AA150" s="110"/>
      <c r="AB150" s="46"/>
      <c r="AC150" s="182"/>
      <c r="AD150" s="110" t="s">
        <v>695</v>
      </c>
      <c r="AE150" s="97" t="s">
        <v>345</v>
      </c>
      <c r="AF150" s="47"/>
      <c r="AM150"/>
    </row>
    <row r="151" spans="1:39" ht="35.4" thickBot="1" x14ac:dyDescent="0.5">
      <c r="A151" s="138" t="s">
        <v>360</v>
      </c>
      <c r="B151" s="246" t="s">
        <v>633</v>
      </c>
      <c r="C151" s="121"/>
      <c r="D151" s="90"/>
      <c r="E151" s="213"/>
      <c r="F151" s="108"/>
      <c r="G151" s="24"/>
      <c r="H151" s="213"/>
      <c r="I151" s="108"/>
      <c r="J151" s="24"/>
      <c r="K151" s="171"/>
      <c r="L151" s="108"/>
      <c r="M151" s="24"/>
      <c r="N151" s="171"/>
      <c r="O151" s="108" t="s">
        <v>695</v>
      </c>
      <c r="P151" s="24" t="s">
        <v>706</v>
      </c>
      <c r="Q151" s="255" t="s">
        <v>716</v>
      </c>
      <c r="R151" s="108"/>
      <c r="S151" s="24"/>
      <c r="T151" s="171"/>
      <c r="U151" s="108"/>
      <c r="V151" s="24"/>
      <c r="W151" s="171"/>
      <c r="X151" s="108"/>
      <c r="Y151" s="67"/>
      <c r="Z151" s="192"/>
      <c r="AA151" s="108"/>
      <c r="AB151" s="67"/>
      <c r="AC151" s="192"/>
      <c r="AD151" s="108"/>
      <c r="AE151" s="106"/>
      <c r="AF151" s="64"/>
      <c r="AM151"/>
    </row>
    <row r="152" spans="1:39" ht="18" x14ac:dyDescent="0.45">
      <c r="A152" s="141"/>
      <c r="B152" s="239" t="s">
        <v>638</v>
      </c>
      <c r="C152" s="123"/>
      <c r="D152" s="73"/>
      <c r="E152" s="194"/>
      <c r="F152" s="109"/>
      <c r="G152" s="14"/>
      <c r="H152" s="194"/>
      <c r="I152" s="109"/>
      <c r="J152" s="14"/>
      <c r="K152" s="152"/>
      <c r="L152" s="109"/>
      <c r="M152" s="14"/>
      <c r="N152" s="152"/>
      <c r="O152" s="109"/>
      <c r="P152" s="14"/>
      <c r="Q152" s="152"/>
      <c r="R152" s="109" t="s">
        <v>695</v>
      </c>
      <c r="S152" s="22" t="s">
        <v>562</v>
      </c>
      <c r="T152" s="172"/>
      <c r="U152" s="109"/>
      <c r="V152" s="14"/>
      <c r="W152" s="152"/>
      <c r="X152" s="109"/>
      <c r="Y152" s="48"/>
      <c r="Z152" s="181"/>
      <c r="AA152" s="109"/>
      <c r="AB152" s="48"/>
      <c r="AC152" s="181"/>
      <c r="AD152" s="109" t="s">
        <v>695</v>
      </c>
      <c r="AE152" s="105" t="s">
        <v>575</v>
      </c>
      <c r="AF152" s="49"/>
      <c r="AM152"/>
    </row>
    <row r="153" spans="1:39" ht="18" x14ac:dyDescent="0.45">
      <c r="A153" s="141"/>
      <c r="B153" s="240" t="s">
        <v>681</v>
      </c>
      <c r="C153" s="125"/>
      <c r="D153" s="75"/>
      <c r="E153" s="196"/>
      <c r="F153" s="111"/>
      <c r="G153" s="16"/>
      <c r="H153" s="196"/>
      <c r="I153" s="111"/>
      <c r="J153" s="16"/>
      <c r="K153" s="154"/>
      <c r="L153" s="111"/>
      <c r="M153" s="16"/>
      <c r="N153" s="154"/>
      <c r="O153" s="111"/>
      <c r="P153" s="16"/>
      <c r="Q153" s="154"/>
      <c r="R153" s="111"/>
      <c r="S153" s="16"/>
      <c r="T153" s="154"/>
      <c r="U153" s="111"/>
      <c r="V153" s="16"/>
      <c r="W153" s="154"/>
      <c r="X153" s="111"/>
      <c r="Y153" s="44"/>
      <c r="Z153" s="183"/>
      <c r="AA153" s="111" t="s">
        <v>695</v>
      </c>
      <c r="AB153" s="44" t="s">
        <v>573</v>
      </c>
      <c r="AC153" s="183"/>
      <c r="AD153" s="111"/>
      <c r="AE153" s="98"/>
      <c r="AF153" s="45"/>
      <c r="AM153"/>
    </row>
    <row r="154" spans="1:39" ht="18.600000000000001" thickBot="1" x14ac:dyDescent="0.5">
      <c r="A154" s="141"/>
      <c r="B154" s="247" t="s">
        <v>646</v>
      </c>
      <c r="C154" s="124"/>
      <c r="D154" s="74"/>
      <c r="E154" s="195"/>
      <c r="F154" s="110"/>
      <c r="G154" s="17"/>
      <c r="H154" s="195"/>
      <c r="I154" s="110"/>
      <c r="J154" s="17"/>
      <c r="K154" s="153"/>
      <c r="L154" s="110"/>
      <c r="M154" s="17"/>
      <c r="N154" s="153"/>
      <c r="O154" s="110"/>
      <c r="P154" s="17"/>
      <c r="Q154" s="153"/>
      <c r="R154" s="110" t="s">
        <v>695</v>
      </c>
      <c r="S154" s="17" t="s">
        <v>564</v>
      </c>
      <c r="T154" s="153"/>
      <c r="U154" s="110"/>
      <c r="V154" s="17"/>
      <c r="W154" s="153"/>
      <c r="X154" s="110"/>
      <c r="Y154" s="46"/>
      <c r="Z154" s="182"/>
      <c r="AA154" s="110"/>
      <c r="AB154" s="46"/>
      <c r="AC154" s="182"/>
      <c r="AD154" s="110"/>
      <c r="AE154" s="97"/>
      <c r="AF154" s="47"/>
      <c r="AM154"/>
    </row>
    <row r="155" spans="1:39" ht="18" x14ac:dyDescent="0.45">
      <c r="A155" s="141"/>
      <c r="B155" s="248" t="s">
        <v>682</v>
      </c>
      <c r="C155" s="127"/>
      <c r="D155" s="72"/>
      <c r="E155" s="211"/>
      <c r="F155" s="113"/>
      <c r="G155" s="18"/>
      <c r="H155" s="211"/>
      <c r="I155" s="113"/>
      <c r="J155" s="18"/>
      <c r="K155" s="169"/>
      <c r="L155" s="113"/>
      <c r="M155" s="18"/>
      <c r="N155" s="169"/>
      <c r="O155" s="113"/>
      <c r="P155" s="18"/>
      <c r="Q155" s="169"/>
      <c r="R155" s="113"/>
      <c r="S155" s="18"/>
      <c r="T155" s="169"/>
      <c r="U155" s="113"/>
      <c r="V155" s="18"/>
      <c r="W155" s="169"/>
      <c r="X155" s="113"/>
      <c r="Y155" s="52"/>
      <c r="Z155" s="184"/>
      <c r="AA155" s="113" t="s">
        <v>695</v>
      </c>
      <c r="AB155" s="52" t="s">
        <v>571</v>
      </c>
      <c r="AC155" s="184"/>
      <c r="AD155" s="113"/>
      <c r="AE155" s="95"/>
      <c r="AF155" s="53"/>
      <c r="AM155"/>
    </row>
    <row r="156" spans="1:39" ht="18" x14ac:dyDescent="0.45">
      <c r="A156" s="141"/>
      <c r="B156" s="240" t="s">
        <v>683</v>
      </c>
      <c r="C156" s="125"/>
      <c r="D156" s="75"/>
      <c r="E156" s="196"/>
      <c r="F156" s="111"/>
      <c r="G156" s="16"/>
      <c r="H156" s="196"/>
      <c r="I156" s="111"/>
      <c r="J156" s="16"/>
      <c r="K156" s="154"/>
      <c r="L156" s="111"/>
      <c r="M156" s="16"/>
      <c r="N156" s="154"/>
      <c r="O156" s="111"/>
      <c r="P156" s="16"/>
      <c r="Q156" s="154"/>
      <c r="R156" s="111"/>
      <c r="S156" s="16"/>
      <c r="T156" s="154"/>
      <c r="U156" s="111"/>
      <c r="V156" s="16"/>
      <c r="W156" s="154"/>
      <c r="X156" s="111"/>
      <c r="Y156" s="44"/>
      <c r="Z156" s="183"/>
      <c r="AA156" s="111" t="s">
        <v>695</v>
      </c>
      <c r="AB156" s="44" t="s">
        <v>572</v>
      </c>
      <c r="AC156" s="183"/>
      <c r="AD156" s="111"/>
      <c r="AE156" s="98"/>
      <c r="AF156" s="45"/>
      <c r="AM156"/>
    </row>
    <row r="157" spans="1:39" ht="18.600000000000001" thickBot="1" x14ac:dyDescent="0.5">
      <c r="A157" s="141"/>
      <c r="B157" s="249" t="s">
        <v>637</v>
      </c>
      <c r="C157" s="132"/>
      <c r="D157" s="89"/>
      <c r="E157" s="210"/>
      <c r="F157" s="118"/>
      <c r="G157" s="20"/>
      <c r="H157" s="210"/>
      <c r="I157" s="118"/>
      <c r="J157" s="20"/>
      <c r="K157" s="168"/>
      <c r="L157" s="118"/>
      <c r="M157" s="20"/>
      <c r="N157" s="168"/>
      <c r="O157" s="118"/>
      <c r="P157" s="20"/>
      <c r="Q157" s="168"/>
      <c r="R157" s="118" t="s">
        <v>695</v>
      </c>
      <c r="S157" s="28" t="s">
        <v>566</v>
      </c>
      <c r="T157" s="178"/>
      <c r="U157" s="118"/>
      <c r="V157" s="20"/>
      <c r="W157" s="168"/>
      <c r="X157" s="118"/>
      <c r="Y157" s="56"/>
      <c r="Z157" s="189"/>
      <c r="AA157" s="118"/>
      <c r="AB157" s="56"/>
      <c r="AC157" s="189"/>
      <c r="AD157" s="118"/>
      <c r="AE157" s="101"/>
      <c r="AF157" s="57"/>
      <c r="AM157"/>
    </row>
    <row r="158" spans="1:39" ht="18" x14ac:dyDescent="0.45">
      <c r="A158" s="141"/>
      <c r="B158" s="239" t="s">
        <v>647</v>
      </c>
      <c r="C158" s="123"/>
      <c r="D158" s="73"/>
      <c r="E158" s="194"/>
      <c r="F158" s="109"/>
      <c r="G158" s="14"/>
      <c r="H158" s="194"/>
      <c r="I158" s="109"/>
      <c r="J158" s="14"/>
      <c r="K158" s="152"/>
      <c r="L158" s="109"/>
      <c r="M158" s="14"/>
      <c r="N158" s="152"/>
      <c r="O158" s="109"/>
      <c r="P158" s="14"/>
      <c r="Q158" s="152"/>
      <c r="R158" s="109" t="s">
        <v>695</v>
      </c>
      <c r="S158" s="14" t="s">
        <v>563</v>
      </c>
      <c r="T158" s="152"/>
      <c r="U158" s="109"/>
      <c r="V158" s="14"/>
      <c r="W158" s="152"/>
      <c r="X158" s="109"/>
      <c r="Y158" s="48"/>
      <c r="Z158" s="181"/>
      <c r="AA158" s="109"/>
      <c r="AB158" s="48"/>
      <c r="AC158" s="181"/>
      <c r="AD158" s="109" t="s">
        <v>695</v>
      </c>
      <c r="AE158" s="96" t="s">
        <v>574</v>
      </c>
      <c r="AF158" s="49"/>
      <c r="AM158"/>
    </row>
    <row r="159" spans="1:39" ht="18" x14ac:dyDescent="0.45">
      <c r="A159" s="141"/>
      <c r="B159" s="240" t="s">
        <v>687</v>
      </c>
      <c r="C159" s="125"/>
      <c r="D159" s="75"/>
      <c r="E159" s="196"/>
      <c r="F159" s="111"/>
      <c r="G159" s="16"/>
      <c r="H159" s="196"/>
      <c r="I159" s="111"/>
      <c r="J159" s="16"/>
      <c r="K159" s="154"/>
      <c r="L159" s="111"/>
      <c r="M159" s="16"/>
      <c r="N159" s="154"/>
      <c r="O159" s="111"/>
      <c r="P159" s="16"/>
      <c r="Q159" s="154"/>
      <c r="R159" s="111"/>
      <c r="S159" s="16"/>
      <c r="T159" s="154"/>
      <c r="U159" s="111"/>
      <c r="V159" s="16"/>
      <c r="W159" s="154"/>
      <c r="X159" s="111"/>
      <c r="Y159" s="44"/>
      <c r="Z159" s="183"/>
      <c r="AA159" s="111"/>
      <c r="AB159" s="44"/>
      <c r="AC159" s="183"/>
      <c r="AD159" s="111" t="s">
        <v>695</v>
      </c>
      <c r="AE159" s="98" t="s">
        <v>585</v>
      </c>
      <c r="AF159" s="45"/>
      <c r="AM159"/>
    </row>
    <row r="160" spans="1:39" ht="35.4" thickBot="1" x14ac:dyDescent="0.5">
      <c r="A160" s="141"/>
      <c r="B160" s="247" t="s">
        <v>648</v>
      </c>
      <c r="C160" s="124"/>
      <c r="D160" s="74"/>
      <c r="E160" s="195"/>
      <c r="F160" s="110"/>
      <c r="G160" s="17"/>
      <c r="H160" s="195"/>
      <c r="I160" s="110"/>
      <c r="J160" s="17"/>
      <c r="K160" s="153"/>
      <c r="L160" s="110"/>
      <c r="M160" s="17"/>
      <c r="N160" s="153"/>
      <c r="O160" s="110"/>
      <c r="P160" s="17"/>
      <c r="Q160" s="153"/>
      <c r="R160" s="110" t="s">
        <v>695</v>
      </c>
      <c r="S160" s="17" t="s">
        <v>379</v>
      </c>
      <c r="T160" s="153"/>
      <c r="U160" s="110"/>
      <c r="V160" s="17"/>
      <c r="W160" s="153"/>
      <c r="X160" s="110"/>
      <c r="Y160" s="46"/>
      <c r="Z160" s="182"/>
      <c r="AA160" s="110"/>
      <c r="AB160" s="46"/>
      <c r="AC160" s="182"/>
      <c r="AD160" s="110"/>
      <c r="AE160" s="97"/>
      <c r="AF160" s="47"/>
      <c r="AM160"/>
    </row>
    <row r="161" spans="1:39" ht="18" x14ac:dyDescent="0.45">
      <c r="A161" s="141"/>
      <c r="B161" s="239" t="s">
        <v>649</v>
      </c>
      <c r="C161" s="123"/>
      <c r="D161" s="73"/>
      <c r="E161" s="194"/>
      <c r="F161" s="109"/>
      <c r="G161" s="14"/>
      <c r="H161" s="194"/>
      <c r="I161" s="109"/>
      <c r="J161" s="14"/>
      <c r="K161" s="152"/>
      <c r="L161" s="109"/>
      <c r="M161" s="14"/>
      <c r="N161" s="152"/>
      <c r="O161" s="109"/>
      <c r="P161" s="14"/>
      <c r="Q161" s="152"/>
      <c r="R161" s="109" t="s">
        <v>695</v>
      </c>
      <c r="S161" s="14" t="s">
        <v>565</v>
      </c>
      <c r="T161" s="152"/>
      <c r="U161" s="109"/>
      <c r="V161" s="14"/>
      <c r="W161" s="152"/>
      <c r="X161" s="109"/>
      <c r="Y161" s="48"/>
      <c r="Z161" s="181"/>
      <c r="AA161" s="109"/>
      <c r="AB161" s="48"/>
      <c r="AC161" s="181"/>
      <c r="AD161" s="109"/>
      <c r="AE161" s="96"/>
      <c r="AF161" s="49"/>
      <c r="AM161"/>
    </row>
    <row r="162" spans="1:39" ht="18" x14ac:dyDescent="0.45">
      <c r="A162" s="141"/>
      <c r="B162" s="241" t="s">
        <v>650</v>
      </c>
      <c r="C162" s="129"/>
      <c r="D162" s="87"/>
      <c r="E162" s="208"/>
      <c r="F162" s="115"/>
      <c r="G162" s="30"/>
      <c r="H162" s="208"/>
      <c r="I162" s="115"/>
      <c r="J162" s="30"/>
      <c r="K162" s="166"/>
      <c r="L162" s="115"/>
      <c r="M162" s="30"/>
      <c r="N162" s="166"/>
      <c r="O162" s="115"/>
      <c r="P162" s="30"/>
      <c r="Q162" s="166"/>
      <c r="R162" s="115" t="s">
        <v>695</v>
      </c>
      <c r="S162" s="30" t="s">
        <v>391</v>
      </c>
      <c r="T162" s="166"/>
      <c r="U162" s="115"/>
      <c r="V162" s="30"/>
      <c r="W162" s="166"/>
      <c r="X162" s="115"/>
      <c r="Y162" s="50"/>
      <c r="Z162" s="186"/>
      <c r="AA162" s="115"/>
      <c r="AB162" s="50"/>
      <c r="AC162" s="186"/>
      <c r="AD162" s="115"/>
      <c r="AE162" s="103"/>
      <c r="AF162" s="51"/>
      <c r="AM162"/>
    </row>
    <row r="163" spans="1:39" ht="18" x14ac:dyDescent="0.45">
      <c r="A163" s="141"/>
      <c r="B163" s="220" t="s">
        <v>679</v>
      </c>
      <c r="C163" s="130"/>
      <c r="D163" s="88"/>
      <c r="E163" s="209"/>
      <c r="F163" s="116"/>
      <c r="G163" s="26"/>
      <c r="H163" s="209"/>
      <c r="I163" s="116"/>
      <c r="J163" s="26"/>
      <c r="K163" s="167"/>
      <c r="L163" s="116"/>
      <c r="M163" s="26"/>
      <c r="N163" s="167"/>
      <c r="O163" s="116"/>
      <c r="P163" s="26"/>
      <c r="Q163" s="167"/>
      <c r="R163" s="116"/>
      <c r="S163" s="26"/>
      <c r="T163" s="167"/>
      <c r="U163" s="116"/>
      <c r="V163" s="26"/>
      <c r="W163" s="167"/>
      <c r="X163" s="116" t="s">
        <v>695</v>
      </c>
      <c r="Y163" s="54" t="s">
        <v>567</v>
      </c>
      <c r="Z163" s="187" t="s">
        <v>724</v>
      </c>
      <c r="AA163" s="116"/>
      <c r="AB163" s="54"/>
      <c r="AC163" s="187"/>
      <c r="AD163" s="116"/>
      <c r="AE163" s="102"/>
      <c r="AF163" s="55"/>
      <c r="AM163"/>
    </row>
    <row r="164" spans="1:39" ht="18" x14ac:dyDescent="0.45">
      <c r="A164" s="141"/>
      <c r="B164" s="250"/>
      <c r="C164" s="125"/>
      <c r="D164" s="75"/>
      <c r="E164" s="196"/>
      <c r="F164" s="111"/>
      <c r="G164" s="16"/>
      <c r="H164" s="196"/>
      <c r="I164" s="111"/>
      <c r="J164" s="16"/>
      <c r="K164" s="154"/>
      <c r="L164" s="111"/>
      <c r="M164" s="16"/>
      <c r="N164" s="154"/>
      <c r="O164" s="111"/>
      <c r="P164" s="16"/>
      <c r="Q164" s="154"/>
      <c r="R164" s="111"/>
      <c r="S164" s="16"/>
      <c r="T164" s="154"/>
      <c r="U164" s="111"/>
      <c r="V164" s="16"/>
      <c r="W164" s="154"/>
      <c r="X164" s="111" t="s">
        <v>695</v>
      </c>
      <c r="Y164" s="44" t="s">
        <v>568</v>
      </c>
      <c r="Z164" s="183" t="s">
        <v>708</v>
      </c>
      <c r="AA164" s="111"/>
      <c r="AB164" s="44"/>
      <c r="AC164" s="183"/>
      <c r="AD164" s="111"/>
      <c r="AE164" s="98"/>
      <c r="AF164" s="45"/>
      <c r="AM164"/>
    </row>
    <row r="165" spans="1:39" ht="18" x14ac:dyDescent="0.45">
      <c r="A165" s="141"/>
      <c r="B165" s="237"/>
      <c r="C165" s="129"/>
      <c r="D165" s="87"/>
      <c r="E165" s="208"/>
      <c r="F165" s="115"/>
      <c r="G165" s="30"/>
      <c r="H165" s="208"/>
      <c r="I165" s="115"/>
      <c r="J165" s="30"/>
      <c r="K165" s="166"/>
      <c r="L165" s="115"/>
      <c r="M165" s="30"/>
      <c r="N165" s="166"/>
      <c r="O165" s="115"/>
      <c r="P165" s="30"/>
      <c r="Q165" s="166"/>
      <c r="R165" s="115"/>
      <c r="S165" s="30"/>
      <c r="T165" s="166"/>
      <c r="U165" s="115"/>
      <c r="V165" s="30"/>
      <c r="W165" s="166"/>
      <c r="X165" s="115" t="s">
        <v>695</v>
      </c>
      <c r="Y165" s="50" t="s">
        <v>569</v>
      </c>
      <c r="Z165" s="186" t="s">
        <v>724</v>
      </c>
      <c r="AA165" s="115"/>
      <c r="AB165" s="50"/>
      <c r="AC165" s="186"/>
      <c r="AD165" s="115"/>
      <c r="AE165" s="103"/>
      <c r="AF165" s="51"/>
      <c r="AM165"/>
    </row>
    <row r="166" spans="1:39" ht="18.600000000000001" thickBot="1" x14ac:dyDescent="0.5">
      <c r="A166" s="141"/>
      <c r="B166" s="251" t="s">
        <v>680</v>
      </c>
      <c r="C166" s="128"/>
      <c r="D166" s="91"/>
      <c r="E166" s="212"/>
      <c r="F166" s="114"/>
      <c r="G166" s="19"/>
      <c r="H166" s="212"/>
      <c r="I166" s="114"/>
      <c r="J166" s="19"/>
      <c r="K166" s="170"/>
      <c r="L166" s="114"/>
      <c r="M166" s="19"/>
      <c r="N166" s="170"/>
      <c r="O166" s="114"/>
      <c r="P166" s="19"/>
      <c r="Q166" s="170"/>
      <c r="R166" s="114"/>
      <c r="S166" s="19"/>
      <c r="T166" s="170"/>
      <c r="U166" s="114"/>
      <c r="V166" s="19"/>
      <c r="W166" s="170"/>
      <c r="X166" s="114" t="s">
        <v>695</v>
      </c>
      <c r="Y166" s="68" t="s">
        <v>570</v>
      </c>
      <c r="Z166" s="175" t="s">
        <v>724</v>
      </c>
      <c r="AA166" s="114"/>
      <c r="AB166" s="62"/>
      <c r="AC166" s="185"/>
      <c r="AD166" s="114"/>
      <c r="AE166" s="100"/>
      <c r="AF166" s="63"/>
      <c r="AM166"/>
    </row>
    <row r="167" spans="1:39" ht="18.600000000000001" thickBot="1" x14ac:dyDescent="0.5">
      <c r="A167" s="141"/>
      <c r="B167" s="251" t="s">
        <v>688</v>
      </c>
      <c r="C167" s="126"/>
      <c r="D167" s="92"/>
      <c r="F167" s="112"/>
      <c r="G167" s="25"/>
      <c r="I167" s="112"/>
      <c r="J167" s="25"/>
      <c r="L167" s="112"/>
      <c r="M167" s="25"/>
      <c r="O167" s="112"/>
      <c r="P167" s="25"/>
      <c r="R167" s="112"/>
      <c r="S167" s="25"/>
      <c r="U167" s="112"/>
      <c r="V167" s="25"/>
      <c r="X167" s="112"/>
      <c r="Y167" s="58"/>
      <c r="Z167" s="180"/>
      <c r="AA167" s="112"/>
      <c r="AB167" s="58"/>
      <c r="AC167" s="180"/>
      <c r="AD167" s="112" t="s">
        <v>695</v>
      </c>
      <c r="AE167" s="99" t="s">
        <v>576</v>
      </c>
      <c r="AF167" s="59"/>
      <c r="AM167"/>
    </row>
    <row r="168" spans="1:39" ht="18" x14ac:dyDescent="0.45">
      <c r="A168" s="141"/>
      <c r="B168" s="218" t="s">
        <v>689</v>
      </c>
      <c r="C168" s="123"/>
      <c r="D168" s="73"/>
      <c r="E168" s="194"/>
      <c r="F168" s="109"/>
      <c r="G168" s="14"/>
      <c r="H168" s="194"/>
      <c r="I168" s="109"/>
      <c r="J168" s="14"/>
      <c r="K168" s="152"/>
      <c r="L168" s="109"/>
      <c r="M168" s="14"/>
      <c r="N168" s="152"/>
      <c r="O168" s="109"/>
      <c r="P168" s="14"/>
      <c r="Q168" s="152"/>
      <c r="R168" s="109"/>
      <c r="S168" s="14"/>
      <c r="T168" s="152"/>
      <c r="U168" s="109"/>
      <c r="V168" s="14"/>
      <c r="W168" s="152"/>
      <c r="X168" s="109"/>
      <c r="Y168" s="48"/>
      <c r="Z168" s="181"/>
      <c r="AA168" s="109"/>
      <c r="AB168" s="48"/>
      <c r="AC168" s="181"/>
      <c r="AD168" s="109" t="s">
        <v>695</v>
      </c>
      <c r="AE168" s="105" t="s">
        <v>577</v>
      </c>
      <c r="AF168" s="49"/>
      <c r="AM168"/>
    </row>
    <row r="169" spans="1:39" ht="18.600000000000001" thickBot="1" x14ac:dyDescent="0.5">
      <c r="A169" s="141"/>
      <c r="B169" s="221"/>
      <c r="C169" s="124"/>
      <c r="D169" s="74"/>
      <c r="E169" s="195"/>
      <c r="F169" s="110"/>
      <c r="G169" s="17"/>
      <c r="H169" s="195"/>
      <c r="I169" s="110"/>
      <c r="J169" s="17"/>
      <c r="K169" s="153"/>
      <c r="L169" s="110"/>
      <c r="M169" s="17"/>
      <c r="N169" s="153"/>
      <c r="O169" s="110"/>
      <c r="P169" s="17"/>
      <c r="Q169" s="153"/>
      <c r="R169" s="110"/>
      <c r="S169" s="17"/>
      <c r="T169" s="153"/>
      <c r="U169" s="110"/>
      <c r="V169" s="17"/>
      <c r="W169" s="153"/>
      <c r="X169" s="110"/>
      <c r="Y169" s="46"/>
      <c r="Z169" s="182"/>
      <c r="AA169" s="110"/>
      <c r="AB169" s="46"/>
      <c r="AC169" s="182"/>
      <c r="AD169" s="110" t="s">
        <v>695</v>
      </c>
      <c r="AE169" s="97" t="s">
        <v>584</v>
      </c>
      <c r="AF169" s="47"/>
      <c r="AM169"/>
    </row>
    <row r="170" spans="1:39" ht="18.600000000000001" thickBot="1" x14ac:dyDescent="0.5">
      <c r="A170" s="141"/>
      <c r="B170" s="220"/>
      <c r="C170" s="126"/>
      <c r="D170" s="92"/>
      <c r="F170" s="112"/>
      <c r="G170" s="25"/>
      <c r="I170" s="112"/>
      <c r="J170" s="25"/>
      <c r="L170" s="112"/>
      <c r="M170" s="25"/>
      <c r="O170" s="112"/>
      <c r="P170" s="25"/>
      <c r="R170" s="112"/>
      <c r="S170" s="25"/>
      <c r="U170" s="112"/>
      <c r="V170" s="25"/>
      <c r="X170" s="112"/>
      <c r="Y170" s="58"/>
      <c r="Z170" s="180"/>
      <c r="AA170" s="112" t="s">
        <v>695</v>
      </c>
      <c r="AB170" s="58" t="s">
        <v>404</v>
      </c>
      <c r="AC170" s="180"/>
      <c r="AD170" s="112"/>
      <c r="AE170" s="99"/>
      <c r="AF170" s="59"/>
      <c r="AM170"/>
    </row>
    <row r="171" spans="1:39" ht="18" x14ac:dyDescent="0.45">
      <c r="A171" s="141"/>
      <c r="B171" s="239" t="s">
        <v>692</v>
      </c>
      <c r="C171" s="123"/>
      <c r="D171" s="73"/>
      <c r="E171" s="194"/>
      <c r="F171" s="109"/>
      <c r="G171" s="14"/>
      <c r="H171" s="194"/>
      <c r="I171" s="109"/>
      <c r="J171" s="14"/>
      <c r="K171" s="152"/>
      <c r="L171" s="109"/>
      <c r="M171" s="14"/>
      <c r="N171" s="152"/>
      <c r="O171" s="109"/>
      <c r="P171" s="14"/>
      <c r="Q171" s="152"/>
      <c r="R171" s="109"/>
      <c r="S171" s="14"/>
      <c r="T171" s="152"/>
      <c r="U171" s="109"/>
      <c r="V171" s="14"/>
      <c r="W171" s="152"/>
      <c r="X171" s="109"/>
      <c r="Y171" s="48"/>
      <c r="Z171" s="181"/>
      <c r="AA171" s="109"/>
      <c r="AB171" s="48"/>
      <c r="AC171" s="181"/>
      <c r="AD171" s="109" t="s">
        <v>695</v>
      </c>
      <c r="AE171" s="96" t="s">
        <v>578</v>
      </c>
      <c r="AF171" s="49" t="s">
        <v>724</v>
      </c>
      <c r="AM171"/>
    </row>
    <row r="172" spans="1:39" ht="34.799999999999997" x14ac:dyDescent="0.45">
      <c r="A172" s="141"/>
      <c r="B172" s="240" t="s">
        <v>691</v>
      </c>
      <c r="C172" s="125"/>
      <c r="D172" s="75"/>
      <c r="E172" s="196"/>
      <c r="F172" s="111"/>
      <c r="G172" s="16"/>
      <c r="H172" s="196"/>
      <c r="I172" s="111"/>
      <c r="J172" s="16"/>
      <c r="K172" s="154"/>
      <c r="L172" s="111"/>
      <c r="M172" s="16"/>
      <c r="N172" s="154"/>
      <c r="O172" s="111"/>
      <c r="P172" s="16"/>
      <c r="Q172" s="154"/>
      <c r="R172" s="111"/>
      <c r="S172" s="16"/>
      <c r="T172" s="154"/>
      <c r="U172" s="111"/>
      <c r="V172" s="16"/>
      <c r="W172" s="154"/>
      <c r="X172" s="111"/>
      <c r="Y172" s="44"/>
      <c r="Z172" s="183"/>
      <c r="AA172" s="111"/>
      <c r="AB172" s="44"/>
      <c r="AC172" s="183"/>
      <c r="AD172" s="111" t="s">
        <v>695</v>
      </c>
      <c r="AE172" s="98" t="s">
        <v>579</v>
      </c>
      <c r="AF172" s="45"/>
      <c r="AM172"/>
    </row>
    <row r="173" spans="1:39" ht="18.600000000000001" thickBot="1" x14ac:dyDescent="0.5">
      <c r="A173" s="141"/>
      <c r="B173" s="247" t="s">
        <v>690</v>
      </c>
      <c r="C173" s="124"/>
      <c r="D173" s="74"/>
      <c r="E173" s="195"/>
      <c r="F173" s="110"/>
      <c r="G173" s="17"/>
      <c r="H173" s="195"/>
      <c r="I173" s="110"/>
      <c r="J173" s="17"/>
      <c r="K173" s="153"/>
      <c r="L173" s="110"/>
      <c r="M173" s="17"/>
      <c r="N173" s="153"/>
      <c r="O173" s="110"/>
      <c r="P173" s="17"/>
      <c r="Q173" s="153"/>
      <c r="R173" s="110"/>
      <c r="S173" s="17"/>
      <c r="T173" s="153"/>
      <c r="U173" s="110"/>
      <c r="V173" s="17"/>
      <c r="W173" s="153"/>
      <c r="X173" s="110"/>
      <c r="Y173" s="46"/>
      <c r="Z173" s="182"/>
      <c r="AA173" s="110"/>
      <c r="AB173" s="46"/>
      <c r="AC173" s="182"/>
      <c r="AD173" s="110" t="s">
        <v>695</v>
      </c>
      <c r="AE173" s="97" t="s">
        <v>422</v>
      </c>
      <c r="AF173" s="47"/>
      <c r="AM173"/>
    </row>
    <row r="174" spans="1:39" ht="34.799999999999997" x14ac:dyDescent="0.45">
      <c r="A174" s="141"/>
      <c r="B174" s="239" t="s">
        <v>691</v>
      </c>
      <c r="C174" s="123"/>
      <c r="D174" s="73"/>
      <c r="E174" s="194"/>
      <c r="F174" s="109"/>
      <c r="G174" s="14"/>
      <c r="H174" s="194"/>
      <c r="I174" s="109"/>
      <c r="J174" s="14"/>
      <c r="K174" s="152"/>
      <c r="L174" s="109"/>
      <c r="M174" s="14"/>
      <c r="N174" s="152"/>
      <c r="O174" s="109"/>
      <c r="P174" s="14"/>
      <c r="Q174" s="152"/>
      <c r="R174" s="109"/>
      <c r="S174" s="14"/>
      <c r="T174" s="152"/>
      <c r="U174" s="109"/>
      <c r="V174" s="14"/>
      <c r="W174" s="152"/>
      <c r="X174" s="109"/>
      <c r="Y174" s="48"/>
      <c r="Z174" s="181"/>
      <c r="AA174" s="109"/>
      <c r="AB174" s="48"/>
      <c r="AC174" s="181"/>
      <c r="AD174" s="109" t="s">
        <v>695</v>
      </c>
      <c r="AE174" s="96" t="s">
        <v>582</v>
      </c>
      <c r="AF174" s="49"/>
      <c r="AM174"/>
    </row>
    <row r="175" spans="1:39" ht="18" x14ac:dyDescent="0.45">
      <c r="A175" s="141"/>
      <c r="B175" s="241" t="s">
        <v>665</v>
      </c>
      <c r="C175" s="129"/>
      <c r="D175" s="87"/>
      <c r="E175" s="208"/>
      <c r="F175" s="115"/>
      <c r="G175" s="30"/>
      <c r="H175" s="208"/>
      <c r="I175" s="115"/>
      <c r="J175" s="30"/>
      <c r="K175" s="166"/>
      <c r="L175" s="115"/>
      <c r="M175" s="30"/>
      <c r="N175" s="166"/>
      <c r="O175" s="115"/>
      <c r="P175" s="30"/>
      <c r="Q175" s="166"/>
      <c r="R175" s="115"/>
      <c r="S175" s="30"/>
      <c r="T175" s="166"/>
      <c r="U175" s="115"/>
      <c r="V175" s="30"/>
      <c r="W175" s="166"/>
      <c r="X175" s="115"/>
      <c r="Y175" s="50"/>
      <c r="Z175" s="186"/>
      <c r="AA175" s="115"/>
      <c r="AB175" s="50"/>
      <c r="AC175" s="186"/>
      <c r="AD175" s="115" t="s">
        <v>695</v>
      </c>
      <c r="AE175" s="103" t="s">
        <v>583</v>
      </c>
      <c r="AF175" s="51"/>
      <c r="AM175"/>
    </row>
    <row r="176" spans="1:39" ht="18.600000000000001" thickBot="1" x14ac:dyDescent="0.5">
      <c r="A176" s="141"/>
      <c r="B176" s="221" t="s">
        <v>684</v>
      </c>
      <c r="C176" s="128"/>
      <c r="D176" s="91"/>
      <c r="E176" s="212"/>
      <c r="F176" s="114"/>
      <c r="G176" s="19"/>
      <c r="H176" s="212"/>
      <c r="I176" s="114"/>
      <c r="J176" s="19"/>
      <c r="K176" s="170"/>
      <c r="L176" s="114"/>
      <c r="M176" s="19"/>
      <c r="N176" s="170"/>
      <c r="O176" s="114"/>
      <c r="P176" s="19"/>
      <c r="Q176" s="170"/>
      <c r="R176" s="114"/>
      <c r="S176" s="19"/>
      <c r="T176" s="170"/>
      <c r="U176" s="114"/>
      <c r="V176" s="19"/>
      <c r="W176" s="170"/>
      <c r="X176" s="114"/>
      <c r="Y176" s="62"/>
      <c r="Z176" s="185"/>
      <c r="AA176" s="114" t="s">
        <v>695</v>
      </c>
      <c r="AB176" s="62" t="s">
        <v>424</v>
      </c>
      <c r="AC176" s="185" t="s">
        <v>724</v>
      </c>
      <c r="AD176" s="114"/>
      <c r="AE176" s="100"/>
      <c r="AF176" s="63"/>
      <c r="AM176"/>
    </row>
    <row r="177" spans="1:39" ht="18.600000000000001" thickBot="1" x14ac:dyDescent="0.5">
      <c r="A177" s="141"/>
      <c r="B177" s="220" t="s">
        <v>693</v>
      </c>
      <c r="C177" s="126"/>
      <c r="D177" s="92"/>
      <c r="F177" s="112"/>
      <c r="G177" s="25"/>
      <c r="I177" s="112"/>
      <c r="J177" s="25"/>
      <c r="L177" s="112"/>
      <c r="M177" s="25"/>
      <c r="O177" s="112"/>
      <c r="P177" s="25"/>
      <c r="R177" s="112"/>
      <c r="S177" s="25"/>
      <c r="U177" s="112"/>
      <c r="V177" s="25"/>
      <c r="X177" s="112"/>
      <c r="Y177" s="58"/>
      <c r="Z177" s="180"/>
      <c r="AA177" s="112"/>
      <c r="AB177" s="58"/>
      <c r="AC177" s="180"/>
      <c r="AD177" s="112" t="s">
        <v>695</v>
      </c>
      <c r="AE177" s="99" t="s">
        <v>406</v>
      </c>
      <c r="AF177" s="59"/>
      <c r="AM177"/>
    </row>
    <row r="178" spans="1:39" ht="18" x14ac:dyDescent="0.45">
      <c r="A178" s="141"/>
      <c r="B178" s="218" t="s">
        <v>694</v>
      </c>
      <c r="C178" s="123"/>
      <c r="D178" s="73"/>
      <c r="E178" s="194"/>
      <c r="F178" s="109"/>
      <c r="G178" s="14"/>
      <c r="H178" s="194"/>
      <c r="I178" s="109"/>
      <c r="J178" s="14"/>
      <c r="K178" s="152"/>
      <c r="L178" s="109"/>
      <c r="M178" s="14"/>
      <c r="N178" s="152"/>
      <c r="O178" s="109"/>
      <c r="P178" s="14"/>
      <c r="Q178" s="152"/>
      <c r="R178" s="109"/>
      <c r="S178" s="14"/>
      <c r="T178" s="152"/>
      <c r="U178" s="109"/>
      <c r="V178" s="14"/>
      <c r="W178" s="152"/>
      <c r="X178" s="109"/>
      <c r="Y178" s="48"/>
      <c r="Z178" s="181"/>
      <c r="AA178" s="109"/>
      <c r="AB178" s="48"/>
      <c r="AC178" s="181"/>
      <c r="AD178" s="109" t="s">
        <v>695</v>
      </c>
      <c r="AE178" s="96" t="s">
        <v>408</v>
      </c>
      <c r="AF178" s="49"/>
      <c r="AM178"/>
    </row>
    <row r="179" spans="1:39" ht="18" x14ac:dyDescent="0.45">
      <c r="A179" s="141"/>
      <c r="B179" s="220"/>
      <c r="C179" s="125"/>
      <c r="D179" s="75"/>
      <c r="E179" s="196"/>
      <c r="F179" s="111"/>
      <c r="G179" s="16"/>
      <c r="H179" s="196"/>
      <c r="I179" s="111"/>
      <c r="J179" s="16"/>
      <c r="K179" s="154"/>
      <c r="L179" s="111"/>
      <c r="M179" s="16"/>
      <c r="N179" s="154"/>
      <c r="O179" s="111"/>
      <c r="P179" s="16"/>
      <c r="Q179" s="154"/>
      <c r="R179" s="111"/>
      <c r="S179" s="16"/>
      <c r="T179" s="154"/>
      <c r="U179" s="111"/>
      <c r="V179" s="16"/>
      <c r="W179" s="154"/>
      <c r="X179" s="111"/>
      <c r="Y179" s="44"/>
      <c r="Z179" s="183"/>
      <c r="AA179" s="111"/>
      <c r="AB179" s="44"/>
      <c r="AC179" s="183"/>
      <c r="AD179" s="111" t="s">
        <v>695</v>
      </c>
      <c r="AE179" s="98" t="s">
        <v>580</v>
      </c>
      <c r="AF179" s="45"/>
      <c r="AM179"/>
    </row>
    <row r="180" spans="1:39" ht="18.600000000000001" thickBot="1" x14ac:dyDescent="0.5">
      <c r="A180" s="142"/>
      <c r="B180" s="221"/>
      <c r="C180" s="124"/>
      <c r="D180" s="74"/>
      <c r="E180" s="195"/>
      <c r="F180" s="110"/>
      <c r="G180" s="17"/>
      <c r="H180" s="195"/>
      <c r="I180" s="110"/>
      <c r="J180" s="17"/>
      <c r="K180" s="153"/>
      <c r="L180" s="110"/>
      <c r="M180" s="17"/>
      <c r="N180" s="153"/>
      <c r="O180" s="110"/>
      <c r="P180" s="17"/>
      <c r="Q180" s="153"/>
      <c r="R180" s="110"/>
      <c r="S180" s="17"/>
      <c r="T180" s="153"/>
      <c r="U180" s="110"/>
      <c r="V180" s="17"/>
      <c r="W180" s="153"/>
      <c r="X180" s="110"/>
      <c r="Y180" s="46"/>
      <c r="Z180" s="182"/>
      <c r="AA180" s="110"/>
      <c r="AB180" s="46"/>
      <c r="AC180" s="182"/>
      <c r="AD180" s="110" t="s">
        <v>695</v>
      </c>
      <c r="AE180" s="97" t="s">
        <v>581</v>
      </c>
      <c r="AF180" s="47"/>
      <c r="AM180"/>
    </row>
    <row r="181" spans="1:39" ht="18" x14ac:dyDescent="0.45">
      <c r="A181" s="143"/>
      <c r="B181" s="252"/>
      <c r="C181" s="119"/>
      <c r="F181" s="119"/>
      <c r="I181" s="119"/>
      <c r="L181" s="119"/>
      <c r="O181" s="119"/>
      <c r="R181" s="119"/>
      <c r="U181" s="119"/>
      <c r="X181" s="119"/>
      <c r="AA181" s="119"/>
      <c r="AD181" s="119"/>
      <c r="AM181"/>
    </row>
    <row r="182" spans="1:39" ht="18" x14ac:dyDescent="0.45">
      <c r="A182" s="143"/>
      <c r="B182" s="252"/>
      <c r="C182" s="119"/>
      <c r="F182" s="119"/>
      <c r="I182" s="119"/>
      <c r="L182" s="119"/>
      <c r="O182" s="119"/>
      <c r="R182" s="119"/>
      <c r="U182" s="119"/>
      <c r="X182" s="119"/>
      <c r="AA182" s="119"/>
      <c r="AD182" s="119"/>
      <c r="AM182"/>
    </row>
    <row r="183" spans="1:39" ht="18" x14ac:dyDescent="0.45">
      <c r="A183" s="143"/>
      <c r="B183" s="252"/>
      <c r="C183" s="119"/>
      <c r="F183" s="119"/>
      <c r="I183" s="119"/>
      <c r="L183" s="119"/>
      <c r="O183" s="119"/>
      <c r="R183" s="119"/>
      <c r="U183" s="119"/>
      <c r="X183" s="119"/>
      <c r="AA183" s="119"/>
      <c r="AD183" s="119"/>
      <c r="AM183"/>
    </row>
    <row r="184" spans="1:39" ht="18" x14ac:dyDescent="0.45">
      <c r="A184" s="143"/>
      <c r="B184" s="252"/>
      <c r="C184" s="119"/>
      <c r="F184" s="119"/>
      <c r="I184" s="119"/>
      <c r="L184" s="119"/>
      <c r="O184" s="119"/>
      <c r="R184" s="119"/>
      <c r="U184" s="119"/>
      <c r="X184" s="119"/>
      <c r="AA184" s="119"/>
      <c r="AD184" s="119"/>
      <c r="AM184"/>
    </row>
    <row r="185" spans="1:39" ht="18" x14ac:dyDescent="0.45">
      <c r="A185" s="143"/>
      <c r="B185" s="252"/>
      <c r="C185" s="119"/>
      <c r="F185" s="119"/>
      <c r="I185" s="119"/>
      <c r="L185" s="119"/>
      <c r="O185" s="119"/>
      <c r="R185" s="119"/>
      <c r="U185" s="119"/>
      <c r="X185" s="119"/>
      <c r="AA185" s="119"/>
      <c r="AD185" s="119"/>
      <c r="AM185"/>
    </row>
    <row r="186" spans="1:39" ht="18" x14ac:dyDescent="0.45">
      <c r="A186" s="143"/>
      <c r="B186" s="252"/>
      <c r="C186" s="119"/>
      <c r="F186" s="119"/>
      <c r="I186" s="119"/>
      <c r="L186" s="119"/>
      <c r="O186" s="119"/>
      <c r="R186" s="119"/>
      <c r="U186" s="119"/>
      <c r="X186" s="119"/>
      <c r="AA186" s="119"/>
      <c r="AD186" s="119"/>
      <c r="AM186"/>
    </row>
    <row r="187" spans="1:39" ht="18" x14ac:dyDescent="0.45">
      <c r="A187" s="143"/>
      <c r="B187" s="252"/>
      <c r="C187" s="119"/>
      <c r="F187" s="119"/>
      <c r="I187" s="119"/>
      <c r="L187" s="119"/>
      <c r="O187" s="119"/>
      <c r="R187" s="119"/>
      <c r="U187" s="119"/>
      <c r="X187" s="119"/>
      <c r="AA187" s="119"/>
      <c r="AD187" s="119"/>
      <c r="AM187"/>
    </row>
    <row r="188" spans="1:39" ht="18" x14ac:dyDescent="0.45">
      <c r="A188" s="143"/>
      <c r="B188" s="252"/>
      <c r="C188" s="119"/>
      <c r="F188" s="119"/>
      <c r="I188" s="119"/>
      <c r="L188" s="119"/>
      <c r="O188" s="119"/>
      <c r="R188" s="119"/>
      <c r="U188" s="119"/>
      <c r="X188" s="119"/>
      <c r="AA188" s="119"/>
      <c r="AD188" s="119"/>
      <c r="AM188"/>
    </row>
    <row r="189" spans="1:39" ht="18" x14ac:dyDescent="0.45">
      <c r="A189" s="143"/>
      <c r="B189" s="252"/>
      <c r="C189" s="119"/>
      <c r="F189" s="119"/>
      <c r="I189" s="119"/>
      <c r="L189" s="119"/>
      <c r="O189" s="119"/>
      <c r="R189" s="119"/>
      <c r="U189" s="119"/>
      <c r="X189" s="119"/>
      <c r="AA189" s="119"/>
      <c r="AD189" s="119"/>
      <c r="AM189"/>
    </row>
    <row r="190" spans="1:39" ht="18" x14ac:dyDescent="0.45">
      <c r="A190" s="143"/>
      <c r="B190" s="252"/>
      <c r="C190" s="119"/>
      <c r="F190" s="119"/>
      <c r="I190" s="119"/>
      <c r="L190" s="119"/>
      <c r="O190" s="119"/>
      <c r="R190" s="119"/>
      <c r="U190" s="119"/>
      <c r="X190" s="119"/>
      <c r="AA190" s="119"/>
      <c r="AD190" s="119"/>
      <c r="AM190"/>
    </row>
    <row r="191" spans="1:39" ht="18" x14ac:dyDescent="0.45">
      <c r="A191" s="143"/>
      <c r="B191" s="252"/>
      <c r="C191" s="119"/>
      <c r="F191" s="119"/>
      <c r="I191" s="119"/>
      <c r="L191" s="119"/>
      <c r="O191" s="119"/>
      <c r="R191" s="119"/>
      <c r="U191" s="119"/>
      <c r="X191" s="119"/>
      <c r="AA191" s="119"/>
      <c r="AD191" s="119"/>
      <c r="AM191"/>
    </row>
    <row r="192" spans="1:39" ht="18" x14ac:dyDescent="0.45">
      <c r="A192" s="143"/>
      <c r="B192" s="252"/>
      <c r="C192" s="119"/>
      <c r="F192" s="119"/>
      <c r="I192" s="119"/>
      <c r="L192" s="119"/>
      <c r="O192" s="119"/>
      <c r="R192" s="119"/>
      <c r="U192" s="119"/>
      <c r="X192" s="119"/>
      <c r="AA192" s="119"/>
      <c r="AD192" s="119"/>
      <c r="AM192"/>
    </row>
    <row r="193" spans="1:39" ht="18" x14ac:dyDescent="0.45">
      <c r="A193" s="143"/>
      <c r="B193" s="252"/>
      <c r="C193" s="119"/>
      <c r="F193" s="119"/>
      <c r="I193" s="119"/>
      <c r="L193" s="119"/>
      <c r="O193" s="119"/>
      <c r="R193" s="119"/>
      <c r="U193" s="119"/>
      <c r="X193" s="119"/>
      <c r="AA193" s="119"/>
      <c r="AD193" s="119"/>
      <c r="AM193"/>
    </row>
    <row r="194" spans="1:39" ht="18" x14ac:dyDescent="0.45">
      <c r="A194" s="143"/>
      <c r="B194" s="252"/>
      <c r="C194" s="119"/>
      <c r="F194" s="119"/>
      <c r="I194" s="119"/>
      <c r="L194" s="119"/>
      <c r="O194" s="119"/>
      <c r="R194" s="119"/>
      <c r="U194" s="119"/>
      <c r="X194" s="119"/>
      <c r="AA194" s="119"/>
      <c r="AD194" s="119"/>
      <c r="AM194"/>
    </row>
    <row r="195" spans="1:39" ht="18" x14ac:dyDescent="0.45">
      <c r="A195" s="143"/>
      <c r="B195" s="252"/>
      <c r="C195" s="119"/>
      <c r="F195" s="119"/>
      <c r="I195" s="119"/>
      <c r="L195" s="119"/>
      <c r="O195" s="119"/>
      <c r="R195" s="119"/>
      <c r="U195" s="119"/>
      <c r="X195" s="119"/>
      <c r="AA195" s="119"/>
      <c r="AD195" s="119"/>
      <c r="AM195"/>
    </row>
    <row r="196" spans="1:39" ht="18" x14ac:dyDescent="0.45">
      <c r="A196" s="143"/>
      <c r="B196" s="252"/>
      <c r="C196" s="119"/>
      <c r="F196" s="119"/>
      <c r="I196" s="119"/>
      <c r="L196" s="119"/>
      <c r="O196" s="119"/>
      <c r="R196" s="119"/>
      <c r="U196" s="119"/>
      <c r="X196" s="119"/>
      <c r="AA196" s="119"/>
      <c r="AD196" s="119"/>
      <c r="AM196"/>
    </row>
    <row r="197" spans="1:39" ht="18" x14ac:dyDescent="0.45">
      <c r="A197" s="143"/>
      <c r="B197" s="252"/>
      <c r="C197" s="119"/>
      <c r="F197" s="119"/>
      <c r="I197" s="119"/>
      <c r="L197" s="119"/>
      <c r="O197" s="119"/>
      <c r="R197" s="119"/>
      <c r="U197" s="119"/>
      <c r="X197" s="119"/>
      <c r="AA197" s="119"/>
      <c r="AD197" s="119"/>
      <c r="AM197"/>
    </row>
    <row r="198" spans="1:39" ht="18" x14ac:dyDescent="0.45">
      <c r="A198" s="143"/>
      <c r="B198" s="252"/>
      <c r="C198" s="119"/>
      <c r="F198" s="119"/>
      <c r="I198" s="119"/>
      <c r="L198" s="119"/>
      <c r="O198" s="119"/>
      <c r="R198" s="119"/>
      <c r="U198" s="119"/>
      <c r="X198" s="119"/>
      <c r="AA198" s="119"/>
      <c r="AD198" s="119"/>
      <c r="AM198"/>
    </row>
    <row r="199" spans="1:39" ht="18" x14ac:dyDescent="0.45">
      <c r="A199" s="143"/>
      <c r="B199" s="252"/>
      <c r="C199" s="119"/>
      <c r="F199" s="119"/>
      <c r="I199" s="119"/>
      <c r="L199" s="119"/>
      <c r="O199" s="119"/>
      <c r="R199" s="119"/>
      <c r="U199" s="119"/>
      <c r="X199" s="119"/>
      <c r="AA199" s="119"/>
      <c r="AD199" s="119"/>
      <c r="AM199"/>
    </row>
    <row r="200" spans="1:39" ht="18" x14ac:dyDescent="0.45">
      <c r="A200" s="143"/>
      <c r="B200" s="252"/>
      <c r="C200" s="119"/>
      <c r="F200" s="119"/>
      <c r="I200" s="119"/>
      <c r="L200" s="119"/>
      <c r="O200" s="119"/>
      <c r="R200" s="119"/>
      <c r="U200" s="119"/>
      <c r="X200" s="119"/>
      <c r="AA200" s="119"/>
      <c r="AD200" s="119"/>
      <c r="AM200"/>
    </row>
    <row r="201" spans="1:39" ht="18" x14ac:dyDescent="0.45">
      <c r="A201" s="143"/>
      <c r="B201" s="252"/>
      <c r="C201" s="119"/>
      <c r="F201" s="119"/>
      <c r="I201" s="119"/>
      <c r="L201" s="119"/>
      <c r="O201" s="119"/>
      <c r="R201" s="119"/>
      <c r="U201" s="119"/>
      <c r="X201" s="119"/>
      <c r="AA201" s="119"/>
      <c r="AD201" s="119"/>
      <c r="AM201"/>
    </row>
    <row r="202" spans="1:39" ht="18" x14ac:dyDescent="0.45">
      <c r="A202" s="143"/>
      <c r="B202" s="252"/>
      <c r="C202" s="119"/>
      <c r="F202" s="119"/>
      <c r="I202" s="119"/>
      <c r="L202" s="119"/>
      <c r="O202" s="119"/>
      <c r="R202" s="119"/>
      <c r="U202" s="119"/>
      <c r="X202" s="119"/>
      <c r="AA202" s="119"/>
      <c r="AD202" s="119"/>
      <c r="AM202"/>
    </row>
    <row r="203" spans="1:39" ht="18" x14ac:dyDescent="0.45">
      <c r="A203" s="143"/>
      <c r="B203" s="252"/>
      <c r="C203" s="119"/>
      <c r="F203" s="119"/>
      <c r="I203" s="119"/>
      <c r="L203" s="119"/>
      <c r="O203" s="119"/>
      <c r="R203" s="119"/>
      <c r="U203" s="119"/>
      <c r="X203" s="119"/>
      <c r="AA203" s="119"/>
      <c r="AD203" s="119"/>
      <c r="AM203"/>
    </row>
    <row r="204" spans="1:39" ht="18" x14ac:dyDescent="0.45">
      <c r="A204" s="143"/>
      <c r="B204" s="252"/>
      <c r="C204" s="119"/>
      <c r="F204" s="119"/>
      <c r="I204" s="119"/>
      <c r="L204" s="119"/>
      <c r="O204" s="119"/>
      <c r="R204" s="119"/>
      <c r="U204" s="119"/>
      <c r="X204" s="119"/>
      <c r="AA204" s="119"/>
      <c r="AD204" s="119"/>
      <c r="AM204"/>
    </row>
    <row r="205" spans="1:39" ht="18" x14ac:dyDescent="0.45">
      <c r="A205" s="143"/>
      <c r="B205" s="252"/>
      <c r="C205" s="119"/>
      <c r="F205" s="119"/>
      <c r="I205" s="119"/>
      <c r="L205" s="119"/>
      <c r="O205" s="119"/>
      <c r="R205" s="119"/>
      <c r="U205" s="119"/>
      <c r="X205" s="119"/>
      <c r="AA205" s="119"/>
      <c r="AD205" s="119"/>
      <c r="AM205"/>
    </row>
    <row r="206" spans="1:39" ht="18" x14ac:dyDescent="0.45">
      <c r="A206" s="143"/>
      <c r="B206" s="252"/>
      <c r="C206" s="119"/>
      <c r="F206" s="119"/>
      <c r="I206" s="119"/>
      <c r="L206" s="119"/>
      <c r="O206" s="119"/>
      <c r="R206" s="119"/>
      <c r="U206" s="119"/>
      <c r="X206" s="119"/>
      <c r="AA206" s="119"/>
      <c r="AD206" s="119"/>
      <c r="AM206"/>
    </row>
    <row r="207" spans="1:39" ht="18" x14ac:dyDescent="0.45">
      <c r="A207" s="143"/>
      <c r="B207" s="252"/>
      <c r="C207" s="119"/>
      <c r="F207" s="119"/>
      <c r="I207" s="119"/>
      <c r="L207" s="119"/>
      <c r="O207" s="119"/>
      <c r="R207" s="119"/>
      <c r="U207" s="119"/>
      <c r="X207" s="119"/>
      <c r="AA207" s="119"/>
      <c r="AD207" s="119"/>
      <c r="AM207"/>
    </row>
    <row r="208" spans="1:39" ht="18" x14ac:dyDescent="0.45">
      <c r="A208" s="143"/>
      <c r="B208" s="252"/>
      <c r="C208" s="119"/>
      <c r="F208" s="119"/>
      <c r="I208" s="119"/>
      <c r="L208" s="119"/>
      <c r="O208" s="119"/>
      <c r="R208" s="119"/>
      <c r="U208" s="119"/>
      <c r="X208" s="119"/>
      <c r="AA208" s="119"/>
      <c r="AD208" s="119"/>
      <c r="AM208"/>
    </row>
    <row r="209" spans="1:39" ht="18" x14ac:dyDescent="0.45">
      <c r="A209" s="143"/>
      <c r="B209" s="252"/>
      <c r="C209" s="119"/>
      <c r="F209" s="119"/>
      <c r="I209" s="119"/>
      <c r="L209" s="119"/>
      <c r="O209" s="119"/>
      <c r="R209" s="119"/>
      <c r="U209" s="119"/>
      <c r="X209" s="119"/>
      <c r="AA209" s="119"/>
      <c r="AD209" s="119"/>
      <c r="AM209"/>
    </row>
    <row r="210" spans="1:39" ht="18" x14ac:dyDescent="0.45">
      <c r="A210" s="143"/>
      <c r="B210" s="252"/>
      <c r="C210" s="119"/>
      <c r="F210" s="119"/>
      <c r="I210" s="119"/>
      <c r="L210" s="119"/>
      <c r="O210" s="119"/>
      <c r="R210" s="119"/>
      <c r="U210" s="119"/>
      <c r="X210" s="119"/>
      <c r="AA210" s="119"/>
      <c r="AD210" s="119"/>
      <c r="AM210"/>
    </row>
    <row r="211" spans="1:39" ht="18" x14ac:dyDescent="0.45">
      <c r="A211" s="143"/>
      <c r="B211" s="252"/>
      <c r="C211" s="119"/>
      <c r="F211" s="119"/>
      <c r="I211" s="119"/>
      <c r="L211" s="119"/>
      <c r="O211" s="119"/>
      <c r="R211" s="119"/>
      <c r="U211" s="119"/>
      <c r="X211" s="119"/>
      <c r="AA211" s="119"/>
      <c r="AD211" s="119"/>
      <c r="AM211"/>
    </row>
    <row r="212" spans="1:39" ht="18" x14ac:dyDescent="0.45">
      <c r="A212" s="143"/>
      <c r="B212" s="252"/>
      <c r="C212" s="119"/>
      <c r="F212" s="119"/>
      <c r="I212" s="119"/>
      <c r="L212" s="119"/>
      <c r="O212" s="119"/>
      <c r="R212" s="119"/>
      <c r="U212" s="119"/>
      <c r="X212" s="119"/>
      <c r="AA212" s="119"/>
      <c r="AD212" s="119"/>
      <c r="AM212"/>
    </row>
    <row r="213" spans="1:39" ht="18" x14ac:dyDescent="0.45">
      <c r="A213" s="143"/>
      <c r="B213" s="252"/>
      <c r="C213" s="119"/>
      <c r="F213" s="119"/>
      <c r="I213" s="119"/>
      <c r="L213" s="119"/>
      <c r="O213" s="119"/>
      <c r="R213" s="119"/>
      <c r="U213" s="119"/>
      <c r="X213" s="119"/>
      <c r="AA213" s="119"/>
      <c r="AD213" s="119"/>
      <c r="AM213"/>
    </row>
    <row r="214" spans="1:39" ht="18" x14ac:dyDescent="0.45">
      <c r="A214" s="143"/>
      <c r="B214" s="252"/>
      <c r="C214" s="119"/>
      <c r="F214" s="119"/>
      <c r="I214" s="119"/>
      <c r="L214" s="119"/>
      <c r="O214" s="119"/>
      <c r="R214" s="119"/>
      <c r="U214" s="119"/>
      <c r="X214" s="119"/>
      <c r="AA214" s="119"/>
      <c r="AD214" s="119"/>
      <c r="AM214"/>
    </row>
    <row r="215" spans="1:39" ht="18" x14ac:dyDescent="0.45">
      <c r="A215" s="143"/>
      <c r="B215" s="252"/>
      <c r="C215" s="119"/>
      <c r="F215" s="119"/>
      <c r="I215" s="119"/>
      <c r="L215" s="119"/>
      <c r="O215" s="119"/>
      <c r="R215" s="119"/>
      <c r="U215" s="119"/>
      <c r="X215" s="119"/>
      <c r="AA215" s="119"/>
      <c r="AD215" s="119"/>
      <c r="AM215"/>
    </row>
    <row r="216" spans="1:39" ht="18" x14ac:dyDescent="0.45">
      <c r="A216" s="143"/>
      <c r="B216" s="252"/>
      <c r="C216" s="119"/>
      <c r="F216" s="119"/>
      <c r="I216" s="119"/>
      <c r="L216" s="119"/>
      <c r="O216" s="119"/>
      <c r="R216" s="119"/>
      <c r="U216" s="119"/>
      <c r="X216" s="119"/>
      <c r="AA216" s="119"/>
      <c r="AD216" s="119"/>
      <c r="AM216"/>
    </row>
    <row r="217" spans="1:39" ht="18" x14ac:dyDescent="0.45">
      <c r="A217" s="143"/>
      <c r="B217" s="252"/>
      <c r="C217" s="119"/>
      <c r="F217" s="119"/>
      <c r="I217" s="119"/>
      <c r="L217" s="119"/>
      <c r="O217" s="119"/>
      <c r="R217" s="119"/>
      <c r="U217" s="119"/>
      <c r="X217" s="119"/>
      <c r="AA217" s="119"/>
      <c r="AD217" s="119"/>
      <c r="AM217"/>
    </row>
    <row r="218" spans="1:39" ht="18" x14ac:dyDescent="0.45">
      <c r="A218" s="143"/>
      <c r="B218" s="252"/>
      <c r="C218" s="119"/>
      <c r="F218" s="119"/>
      <c r="I218" s="119"/>
      <c r="L218" s="119"/>
      <c r="O218" s="119"/>
      <c r="R218" s="119"/>
      <c r="U218" s="119"/>
      <c r="X218" s="119"/>
      <c r="AA218" s="119"/>
      <c r="AD218" s="119"/>
      <c r="AM218"/>
    </row>
    <row r="219" spans="1:39" ht="18" x14ac:dyDescent="0.45">
      <c r="A219" s="143"/>
      <c r="B219" s="252"/>
      <c r="C219" s="119"/>
      <c r="F219" s="119"/>
      <c r="I219" s="119"/>
      <c r="L219" s="119"/>
      <c r="O219" s="119"/>
      <c r="R219" s="119"/>
      <c r="U219" s="119"/>
      <c r="X219" s="119"/>
      <c r="AA219" s="119"/>
      <c r="AD219" s="119"/>
      <c r="AM219"/>
    </row>
    <row r="220" spans="1:39" ht="18" x14ac:dyDescent="0.45">
      <c r="A220" s="143"/>
      <c r="B220" s="252"/>
      <c r="C220" s="119"/>
      <c r="F220" s="119"/>
      <c r="I220" s="119"/>
      <c r="L220" s="119"/>
      <c r="O220" s="119"/>
      <c r="R220" s="119"/>
      <c r="U220" s="119"/>
      <c r="X220" s="119"/>
      <c r="AA220" s="119"/>
      <c r="AD220" s="119"/>
      <c r="AM220"/>
    </row>
    <row r="221" spans="1:39" ht="18" x14ac:dyDescent="0.45">
      <c r="A221" s="143"/>
      <c r="B221" s="252"/>
      <c r="C221" s="119"/>
      <c r="F221" s="119"/>
      <c r="I221" s="119"/>
      <c r="L221" s="119"/>
      <c r="O221" s="119"/>
      <c r="R221" s="119"/>
      <c r="U221" s="119"/>
      <c r="X221" s="119"/>
      <c r="AA221" s="119"/>
      <c r="AD221" s="119"/>
      <c r="AM221"/>
    </row>
    <row r="222" spans="1:39" ht="18" x14ac:dyDescent="0.45">
      <c r="A222" s="143"/>
      <c r="B222" s="252"/>
      <c r="C222" s="119"/>
      <c r="F222" s="119"/>
      <c r="I222" s="119"/>
      <c r="L222" s="119"/>
      <c r="O222" s="119"/>
      <c r="R222" s="119"/>
      <c r="U222" s="119"/>
      <c r="X222" s="119"/>
      <c r="AA222" s="119"/>
      <c r="AD222" s="119"/>
      <c r="AM222"/>
    </row>
    <row r="223" spans="1:39" ht="18" x14ac:dyDescent="0.45">
      <c r="A223" s="143"/>
      <c r="B223" s="252"/>
      <c r="C223" s="119"/>
      <c r="F223" s="119"/>
      <c r="I223" s="119"/>
      <c r="L223" s="119"/>
      <c r="O223" s="119"/>
      <c r="R223" s="119"/>
      <c r="U223" s="119"/>
      <c r="X223" s="119"/>
      <c r="AA223" s="119"/>
      <c r="AD223" s="119"/>
      <c r="AM223"/>
    </row>
    <row r="224" spans="1:39" ht="18" x14ac:dyDescent="0.45">
      <c r="A224" s="143"/>
      <c r="B224" s="252"/>
      <c r="C224" s="119"/>
      <c r="F224" s="119"/>
      <c r="I224" s="119"/>
      <c r="L224" s="119"/>
      <c r="O224" s="119"/>
      <c r="R224" s="119"/>
      <c r="U224" s="119"/>
      <c r="X224" s="119"/>
      <c r="AA224" s="119"/>
      <c r="AD224" s="119"/>
      <c r="AM224"/>
    </row>
    <row r="225" spans="1:39" ht="18" x14ac:dyDescent="0.45">
      <c r="A225" s="143"/>
      <c r="B225" s="252"/>
      <c r="C225" s="119"/>
      <c r="F225" s="119"/>
      <c r="I225" s="119"/>
      <c r="L225" s="119"/>
      <c r="O225" s="119"/>
      <c r="R225" s="119"/>
      <c r="U225" s="119"/>
      <c r="X225" s="119"/>
      <c r="AA225" s="119"/>
      <c r="AD225" s="119"/>
      <c r="AM225"/>
    </row>
    <row r="226" spans="1:39" ht="18" x14ac:dyDescent="0.45">
      <c r="A226" s="143"/>
      <c r="B226" s="252"/>
      <c r="C226" s="119"/>
      <c r="F226" s="119"/>
      <c r="I226" s="119"/>
      <c r="L226" s="119"/>
      <c r="O226" s="119"/>
      <c r="R226" s="119"/>
      <c r="U226" s="119"/>
      <c r="X226" s="119"/>
      <c r="AA226" s="119"/>
      <c r="AD226" s="119"/>
      <c r="AM226"/>
    </row>
    <row r="227" spans="1:39" ht="18" x14ac:dyDescent="0.45">
      <c r="A227" s="143"/>
      <c r="B227" s="252"/>
      <c r="C227" s="119"/>
      <c r="F227" s="119"/>
      <c r="I227" s="119"/>
      <c r="L227" s="119"/>
      <c r="O227" s="119"/>
      <c r="R227" s="119"/>
      <c r="U227" s="119"/>
      <c r="X227" s="119"/>
      <c r="AA227" s="119"/>
      <c r="AD227" s="119"/>
      <c r="AM227"/>
    </row>
    <row r="228" spans="1:39" ht="18" x14ac:dyDescent="0.45">
      <c r="A228" s="143"/>
      <c r="B228" s="252"/>
      <c r="C228" s="119"/>
      <c r="F228" s="119"/>
      <c r="I228" s="119"/>
      <c r="L228" s="119"/>
      <c r="O228" s="119"/>
      <c r="R228" s="119"/>
      <c r="U228" s="119"/>
      <c r="X228" s="119"/>
      <c r="AA228" s="119"/>
      <c r="AD228" s="119"/>
      <c r="AM228"/>
    </row>
    <row r="229" spans="1:39" ht="18" x14ac:dyDescent="0.45">
      <c r="A229" s="143"/>
      <c r="B229" s="252"/>
      <c r="C229" s="119"/>
      <c r="F229" s="119"/>
      <c r="I229" s="119"/>
      <c r="L229" s="119"/>
      <c r="O229" s="119"/>
      <c r="R229" s="119"/>
      <c r="U229" s="119"/>
      <c r="X229" s="119"/>
      <c r="AA229" s="119"/>
      <c r="AD229" s="119"/>
      <c r="AM229"/>
    </row>
    <row r="230" spans="1:39" ht="18" x14ac:dyDescent="0.45">
      <c r="A230" s="143"/>
      <c r="B230" s="252"/>
      <c r="C230" s="119"/>
      <c r="F230" s="119"/>
      <c r="I230" s="119"/>
      <c r="L230" s="119"/>
      <c r="O230" s="119"/>
      <c r="R230" s="119"/>
      <c r="U230" s="119"/>
      <c r="X230" s="119"/>
      <c r="AA230" s="119"/>
      <c r="AD230" s="119"/>
      <c r="AM230"/>
    </row>
    <row r="231" spans="1:39" ht="18" x14ac:dyDescent="0.45">
      <c r="A231" s="143"/>
      <c r="B231" s="252"/>
      <c r="C231" s="119"/>
      <c r="F231" s="119"/>
      <c r="I231" s="119"/>
      <c r="L231" s="119"/>
      <c r="O231" s="119"/>
      <c r="R231" s="119"/>
      <c r="U231" s="119"/>
      <c r="X231" s="119"/>
      <c r="AA231" s="119"/>
      <c r="AD231" s="119"/>
      <c r="AM231"/>
    </row>
    <row r="232" spans="1:39" ht="18" x14ac:dyDescent="0.45">
      <c r="A232" s="143"/>
      <c r="B232" s="252"/>
      <c r="C232" s="119"/>
      <c r="F232" s="119"/>
      <c r="I232" s="119"/>
      <c r="L232" s="119"/>
      <c r="O232" s="119"/>
      <c r="R232" s="119"/>
      <c r="U232" s="119"/>
      <c r="X232" s="119"/>
      <c r="AA232" s="119"/>
      <c r="AD232" s="119"/>
      <c r="AM232"/>
    </row>
    <row r="233" spans="1:39" ht="18" x14ac:dyDescent="0.45">
      <c r="A233" s="143"/>
      <c r="B233" s="252"/>
      <c r="C233" s="119"/>
      <c r="F233" s="119"/>
      <c r="I233" s="119"/>
      <c r="L233" s="119"/>
      <c r="O233" s="119"/>
      <c r="R233" s="119"/>
      <c r="U233" s="119"/>
      <c r="X233" s="119"/>
      <c r="AA233" s="119"/>
      <c r="AD233" s="119"/>
      <c r="AM233"/>
    </row>
    <row r="234" spans="1:39" ht="18" x14ac:dyDescent="0.45">
      <c r="A234" s="143"/>
      <c r="B234" s="252"/>
      <c r="C234" s="119"/>
      <c r="F234" s="119"/>
      <c r="I234" s="119"/>
      <c r="L234" s="119"/>
      <c r="O234" s="119"/>
      <c r="R234" s="119"/>
      <c r="U234" s="119"/>
      <c r="X234" s="119"/>
      <c r="AA234" s="119"/>
      <c r="AD234" s="119"/>
      <c r="AM234"/>
    </row>
    <row r="235" spans="1:39" ht="18" x14ac:dyDescent="0.45">
      <c r="A235" s="143"/>
      <c r="B235" s="252"/>
      <c r="C235" s="119"/>
      <c r="F235" s="119"/>
      <c r="I235" s="119"/>
      <c r="L235" s="119"/>
      <c r="O235" s="119"/>
      <c r="R235" s="119"/>
      <c r="U235" s="119"/>
      <c r="X235" s="119"/>
      <c r="AA235" s="119"/>
      <c r="AD235" s="119"/>
      <c r="AM235"/>
    </row>
    <row r="236" spans="1:39" ht="18" x14ac:dyDescent="0.45">
      <c r="A236" s="143"/>
      <c r="B236" s="252"/>
      <c r="C236" s="119"/>
      <c r="F236" s="119"/>
      <c r="I236" s="119"/>
      <c r="L236" s="119"/>
      <c r="O236" s="119"/>
      <c r="R236" s="119"/>
      <c r="U236" s="119"/>
      <c r="X236" s="119"/>
      <c r="AA236" s="119"/>
      <c r="AD236" s="119"/>
      <c r="AM236"/>
    </row>
    <row r="237" spans="1:39" ht="18" x14ac:dyDescent="0.45">
      <c r="A237" s="143"/>
      <c r="B237" s="252"/>
      <c r="C237" s="119"/>
      <c r="F237" s="119"/>
      <c r="I237" s="119"/>
      <c r="L237" s="119"/>
      <c r="O237" s="119"/>
      <c r="R237" s="119"/>
      <c r="U237" s="119"/>
      <c r="X237" s="119"/>
      <c r="AA237" s="119"/>
      <c r="AD237" s="119"/>
      <c r="AM237"/>
    </row>
    <row r="238" spans="1:39" ht="18" x14ac:dyDescent="0.45">
      <c r="A238" s="143"/>
      <c r="B238" s="252"/>
      <c r="C238" s="119"/>
      <c r="F238" s="119"/>
      <c r="I238" s="119"/>
      <c r="L238" s="119"/>
      <c r="O238" s="119"/>
      <c r="R238" s="119"/>
      <c r="U238" s="119"/>
      <c r="X238" s="119"/>
      <c r="AA238" s="119"/>
      <c r="AD238" s="119"/>
      <c r="AM238"/>
    </row>
    <row r="239" spans="1:39" ht="18" x14ac:dyDescent="0.45">
      <c r="A239" s="143"/>
      <c r="B239" s="252"/>
      <c r="C239" s="119"/>
      <c r="F239" s="119"/>
      <c r="I239" s="119"/>
      <c r="L239" s="119"/>
      <c r="O239" s="119"/>
      <c r="R239" s="119"/>
      <c r="U239" s="119"/>
      <c r="X239" s="119"/>
      <c r="AA239" s="119"/>
      <c r="AD239" s="119"/>
      <c r="AM239"/>
    </row>
    <row r="240" spans="1:39" ht="18" x14ac:dyDescent="0.45">
      <c r="A240" s="143"/>
      <c r="B240" s="252"/>
      <c r="C240" s="119"/>
      <c r="F240" s="119"/>
      <c r="I240" s="119"/>
      <c r="L240" s="119"/>
      <c r="O240" s="119"/>
      <c r="R240" s="119"/>
      <c r="U240" s="119"/>
      <c r="X240" s="119"/>
      <c r="AA240" s="119"/>
      <c r="AD240" s="119"/>
      <c r="AM240"/>
    </row>
    <row r="241" spans="1:39" ht="18" x14ac:dyDescent="0.45">
      <c r="A241" s="143"/>
      <c r="B241" s="252"/>
      <c r="C241" s="119"/>
      <c r="F241" s="119"/>
      <c r="I241" s="119"/>
      <c r="L241" s="119"/>
      <c r="O241" s="119"/>
      <c r="R241" s="119"/>
      <c r="U241" s="119"/>
      <c r="X241" s="119"/>
      <c r="AA241" s="119"/>
      <c r="AD241" s="119"/>
      <c r="AM241"/>
    </row>
    <row r="242" spans="1:39" ht="18" x14ac:dyDescent="0.45">
      <c r="A242" s="143"/>
      <c r="B242" s="252"/>
      <c r="C242" s="119"/>
      <c r="F242" s="119"/>
      <c r="I242" s="119"/>
      <c r="L242" s="119"/>
      <c r="O242" s="119"/>
      <c r="R242" s="119"/>
      <c r="U242" s="119"/>
      <c r="X242" s="119"/>
      <c r="AA242" s="119"/>
      <c r="AD242" s="119"/>
      <c r="AM242"/>
    </row>
    <row r="243" spans="1:39" ht="18" x14ac:dyDescent="0.45">
      <c r="A243" s="143"/>
      <c r="B243" s="252"/>
      <c r="C243" s="119"/>
      <c r="F243" s="119"/>
      <c r="I243" s="119"/>
      <c r="L243" s="119"/>
      <c r="O243" s="119"/>
      <c r="R243" s="119"/>
      <c r="U243" s="119"/>
      <c r="X243" s="119"/>
      <c r="AA243" s="119"/>
      <c r="AD243" s="119"/>
      <c r="AM243"/>
    </row>
    <row r="244" spans="1:39" ht="18" x14ac:dyDescent="0.45">
      <c r="A244" s="143"/>
      <c r="B244" s="252"/>
      <c r="C244" s="119"/>
      <c r="F244" s="119"/>
      <c r="I244" s="119"/>
      <c r="L244" s="119"/>
      <c r="O244" s="119"/>
      <c r="R244" s="119"/>
      <c r="U244" s="119"/>
      <c r="X244" s="119"/>
      <c r="AA244" s="119"/>
      <c r="AD244" s="119"/>
      <c r="AM244"/>
    </row>
    <row r="245" spans="1:39" ht="18" x14ac:dyDescent="0.45">
      <c r="A245" s="143"/>
      <c r="B245" s="252"/>
      <c r="C245" s="119"/>
      <c r="F245" s="119"/>
      <c r="I245" s="119"/>
      <c r="L245" s="119"/>
      <c r="O245" s="119"/>
      <c r="R245" s="119"/>
      <c r="U245" s="119"/>
      <c r="X245" s="119"/>
      <c r="AA245" s="119"/>
      <c r="AD245" s="119"/>
      <c r="AM245"/>
    </row>
    <row r="246" spans="1:39" ht="18" x14ac:dyDescent="0.45">
      <c r="A246" s="143"/>
      <c r="B246" s="252"/>
      <c r="C246" s="119"/>
      <c r="F246" s="119"/>
      <c r="I246" s="119"/>
      <c r="L246" s="119"/>
      <c r="O246" s="119"/>
      <c r="R246" s="119"/>
      <c r="U246" s="119"/>
      <c r="X246" s="119"/>
      <c r="AA246" s="119"/>
      <c r="AD246" s="119"/>
      <c r="AM246"/>
    </row>
    <row r="247" spans="1:39" ht="18" x14ac:dyDescent="0.45">
      <c r="A247" s="143"/>
      <c r="B247" s="252"/>
      <c r="C247" s="119"/>
      <c r="F247" s="119"/>
      <c r="I247" s="119"/>
      <c r="L247" s="119"/>
      <c r="O247" s="119"/>
      <c r="R247" s="119"/>
      <c r="U247" s="119"/>
      <c r="X247" s="119"/>
      <c r="AA247" s="119"/>
      <c r="AD247" s="119"/>
      <c r="AM247"/>
    </row>
    <row r="248" spans="1:39" ht="18" x14ac:dyDescent="0.45">
      <c r="A248" s="143"/>
      <c r="B248" s="252"/>
      <c r="C248" s="119"/>
      <c r="F248" s="119"/>
      <c r="I248" s="119"/>
      <c r="L248" s="119"/>
      <c r="O248" s="119"/>
      <c r="R248" s="119"/>
      <c r="U248" s="119"/>
      <c r="X248" s="119"/>
      <c r="AA248" s="119"/>
      <c r="AD248" s="119"/>
      <c r="AM248"/>
    </row>
    <row r="249" spans="1:39" ht="18" x14ac:dyDescent="0.45">
      <c r="A249" s="143"/>
      <c r="B249" s="252"/>
      <c r="C249" s="119"/>
      <c r="F249" s="119"/>
      <c r="I249" s="119"/>
      <c r="L249" s="119"/>
      <c r="O249" s="119"/>
      <c r="R249" s="119"/>
      <c r="U249" s="119"/>
      <c r="X249" s="119"/>
      <c r="AA249" s="119"/>
      <c r="AD249" s="119"/>
      <c r="AM249"/>
    </row>
    <row r="250" spans="1:39" ht="18" x14ac:dyDescent="0.45">
      <c r="A250" s="143"/>
      <c r="B250" s="252"/>
      <c r="C250" s="119"/>
      <c r="F250" s="119"/>
      <c r="I250" s="119"/>
      <c r="L250" s="119"/>
      <c r="O250" s="119"/>
      <c r="R250" s="119"/>
      <c r="U250" s="119"/>
      <c r="X250" s="119"/>
      <c r="AA250" s="119"/>
      <c r="AD250" s="119"/>
      <c r="AM250"/>
    </row>
    <row r="251" spans="1:39" ht="18" x14ac:dyDescent="0.45">
      <c r="A251" s="143"/>
      <c r="B251" s="252"/>
      <c r="C251" s="119"/>
      <c r="F251" s="119"/>
      <c r="I251" s="119"/>
      <c r="L251" s="119"/>
      <c r="O251" s="119"/>
      <c r="R251" s="119"/>
      <c r="U251" s="119"/>
      <c r="X251" s="119"/>
      <c r="AA251" s="119"/>
      <c r="AD251" s="119"/>
      <c r="AM251"/>
    </row>
    <row r="252" spans="1:39" ht="18" x14ac:dyDescent="0.45">
      <c r="A252" s="143"/>
      <c r="B252" s="252"/>
      <c r="C252" s="119"/>
      <c r="F252" s="119"/>
      <c r="I252" s="119"/>
      <c r="L252" s="119"/>
      <c r="O252" s="119"/>
      <c r="R252" s="119"/>
      <c r="U252" s="119"/>
      <c r="X252" s="119"/>
      <c r="AA252" s="119"/>
      <c r="AD252" s="119"/>
      <c r="AM252"/>
    </row>
    <row r="253" spans="1:39" ht="18" x14ac:dyDescent="0.45">
      <c r="A253" s="143"/>
      <c r="B253" s="252"/>
      <c r="C253" s="119"/>
      <c r="F253" s="119"/>
      <c r="I253" s="119"/>
      <c r="L253" s="119"/>
      <c r="O253" s="119"/>
      <c r="R253" s="119"/>
      <c r="U253" s="119"/>
      <c r="X253" s="119"/>
      <c r="AA253" s="119"/>
      <c r="AD253" s="119"/>
      <c r="AM253"/>
    </row>
    <row r="254" spans="1:39" ht="18" x14ac:dyDescent="0.45">
      <c r="A254" s="143"/>
      <c r="B254" s="252"/>
      <c r="C254" s="119"/>
      <c r="F254" s="119"/>
      <c r="I254" s="119"/>
      <c r="L254" s="119"/>
      <c r="O254" s="119"/>
      <c r="R254" s="119"/>
      <c r="U254" s="119"/>
      <c r="X254" s="119"/>
      <c r="AA254" s="119"/>
      <c r="AD254" s="119"/>
      <c r="AM254"/>
    </row>
    <row r="255" spans="1:39" ht="18" x14ac:dyDescent="0.45">
      <c r="A255" s="143"/>
      <c r="B255" s="252"/>
      <c r="C255" s="119"/>
      <c r="F255" s="119"/>
      <c r="I255" s="119"/>
      <c r="L255" s="119"/>
      <c r="O255" s="119"/>
      <c r="R255" s="119"/>
      <c r="U255" s="119"/>
      <c r="X255" s="119"/>
      <c r="AA255" s="119"/>
      <c r="AD255" s="119"/>
      <c r="AM255"/>
    </row>
    <row r="256" spans="1:39" ht="18" x14ac:dyDescent="0.45">
      <c r="A256" s="143"/>
      <c r="B256" s="252"/>
      <c r="C256" s="119"/>
      <c r="F256" s="119"/>
      <c r="I256" s="119"/>
      <c r="L256" s="119"/>
      <c r="O256" s="119"/>
      <c r="R256" s="119"/>
      <c r="U256" s="119"/>
      <c r="X256" s="119"/>
      <c r="AA256" s="119"/>
      <c r="AD256" s="119"/>
      <c r="AM256"/>
    </row>
    <row r="257" spans="1:39" ht="18" x14ac:dyDescent="0.45">
      <c r="A257" s="143"/>
      <c r="B257" s="252"/>
      <c r="C257" s="119"/>
      <c r="F257" s="119"/>
      <c r="I257" s="119"/>
      <c r="L257" s="119"/>
      <c r="O257" s="119"/>
      <c r="R257" s="119"/>
      <c r="U257" s="119"/>
      <c r="X257" s="119"/>
      <c r="AA257" s="119"/>
      <c r="AD257" s="119"/>
      <c r="AM257"/>
    </row>
    <row r="258" spans="1:39" ht="18" x14ac:dyDescent="0.45">
      <c r="A258" s="143"/>
      <c r="B258" s="252"/>
      <c r="C258" s="119"/>
      <c r="F258" s="119"/>
      <c r="I258" s="119"/>
      <c r="L258" s="119"/>
      <c r="O258" s="119"/>
      <c r="R258" s="119"/>
      <c r="U258" s="119"/>
      <c r="X258" s="119"/>
      <c r="AA258" s="119"/>
      <c r="AD258" s="119"/>
      <c r="AM258"/>
    </row>
    <row r="259" spans="1:39" ht="18" x14ac:dyDescent="0.45">
      <c r="A259" s="143"/>
      <c r="B259" s="252"/>
      <c r="C259" s="119"/>
      <c r="F259" s="119"/>
      <c r="I259" s="119"/>
      <c r="L259" s="119"/>
      <c r="O259" s="119"/>
      <c r="R259" s="119"/>
      <c r="U259" s="119"/>
      <c r="X259" s="119"/>
      <c r="AA259" s="119"/>
      <c r="AD259" s="119"/>
      <c r="AM259"/>
    </row>
    <row r="260" spans="1:39" ht="18" x14ac:dyDescent="0.45">
      <c r="A260" s="143"/>
      <c r="B260" s="252"/>
      <c r="C260" s="119"/>
      <c r="F260" s="119"/>
      <c r="I260" s="119"/>
      <c r="L260" s="119"/>
      <c r="O260" s="119"/>
      <c r="R260" s="119"/>
      <c r="U260" s="119"/>
      <c r="X260" s="119"/>
      <c r="AA260" s="119"/>
      <c r="AD260" s="119"/>
      <c r="AM260"/>
    </row>
    <row r="261" spans="1:39" ht="18" x14ac:dyDescent="0.45">
      <c r="A261" s="143"/>
      <c r="B261" s="252"/>
      <c r="C261" s="119"/>
      <c r="F261" s="119"/>
      <c r="I261" s="119"/>
      <c r="L261" s="119"/>
      <c r="O261" s="119"/>
      <c r="R261" s="119"/>
      <c r="U261" s="119"/>
      <c r="X261" s="119"/>
      <c r="AA261" s="119"/>
      <c r="AD261" s="119"/>
      <c r="AM261"/>
    </row>
    <row r="262" spans="1:39" ht="18" x14ac:dyDescent="0.45">
      <c r="A262" s="143"/>
      <c r="B262" s="252"/>
      <c r="C262" s="119"/>
      <c r="F262" s="119"/>
      <c r="I262" s="119"/>
      <c r="L262" s="119"/>
      <c r="O262" s="119"/>
      <c r="R262" s="119"/>
      <c r="U262" s="119"/>
      <c r="X262" s="119"/>
      <c r="AA262" s="119"/>
      <c r="AD262" s="119"/>
      <c r="AM262"/>
    </row>
    <row r="263" spans="1:39" ht="18" x14ac:dyDescent="0.45">
      <c r="A263" s="143"/>
      <c r="B263" s="252"/>
      <c r="C263" s="119"/>
      <c r="F263" s="119"/>
      <c r="I263" s="119"/>
      <c r="L263" s="119"/>
      <c r="O263" s="119"/>
      <c r="R263" s="119"/>
      <c r="U263" s="119"/>
      <c r="X263" s="119"/>
      <c r="AA263" s="119"/>
      <c r="AD263" s="119"/>
      <c r="AM263"/>
    </row>
    <row r="264" spans="1:39" ht="18" x14ac:dyDescent="0.45">
      <c r="A264" s="143"/>
      <c r="B264" s="252"/>
      <c r="C264" s="119"/>
      <c r="F264" s="119"/>
      <c r="I264" s="119"/>
      <c r="L264" s="119"/>
      <c r="O264" s="119"/>
      <c r="R264" s="119"/>
      <c r="U264" s="119"/>
      <c r="X264" s="119"/>
      <c r="AA264" s="119"/>
      <c r="AD264" s="119"/>
      <c r="AM264"/>
    </row>
    <row r="265" spans="1:39" ht="18" x14ac:dyDescent="0.45">
      <c r="A265" s="143"/>
      <c r="B265" s="252"/>
      <c r="C265" s="119"/>
      <c r="F265" s="119"/>
      <c r="I265" s="119"/>
      <c r="L265" s="119"/>
      <c r="O265" s="119"/>
      <c r="R265" s="119"/>
      <c r="U265" s="119"/>
      <c r="X265" s="119"/>
      <c r="AA265" s="119"/>
      <c r="AD265" s="119"/>
      <c r="AM265"/>
    </row>
    <row r="266" spans="1:39" ht="18" x14ac:dyDescent="0.45">
      <c r="A266" s="143"/>
      <c r="B266" s="252"/>
      <c r="C266" s="119"/>
      <c r="F266" s="119"/>
      <c r="I266" s="119"/>
      <c r="L266" s="119"/>
      <c r="O266" s="119"/>
      <c r="R266" s="119"/>
      <c r="U266" s="119"/>
      <c r="X266" s="119"/>
      <c r="AA266" s="119"/>
      <c r="AD266" s="119"/>
      <c r="AM266"/>
    </row>
    <row r="267" spans="1:39" ht="18" x14ac:dyDescent="0.45">
      <c r="A267" s="143"/>
      <c r="B267" s="252"/>
      <c r="C267" s="119"/>
      <c r="F267" s="119"/>
      <c r="I267" s="119"/>
      <c r="L267" s="119"/>
      <c r="O267" s="119"/>
      <c r="R267" s="119"/>
      <c r="U267" s="119"/>
      <c r="X267" s="119"/>
      <c r="AA267" s="119"/>
      <c r="AD267" s="119"/>
      <c r="AM267"/>
    </row>
    <row r="268" spans="1:39" ht="18" x14ac:dyDescent="0.45">
      <c r="A268" s="143"/>
      <c r="B268" s="252"/>
      <c r="C268" s="119"/>
      <c r="F268" s="119"/>
      <c r="I268" s="119"/>
      <c r="L268" s="119"/>
      <c r="O268" s="119"/>
      <c r="R268" s="119"/>
      <c r="U268" s="119"/>
      <c r="X268" s="119"/>
      <c r="AA268" s="119"/>
      <c r="AD268" s="119"/>
      <c r="AM268"/>
    </row>
    <row r="269" spans="1:39" ht="18" x14ac:dyDescent="0.45">
      <c r="A269" s="143"/>
      <c r="B269" s="252"/>
      <c r="C269" s="119"/>
      <c r="F269" s="119"/>
      <c r="I269" s="119"/>
      <c r="L269" s="119"/>
      <c r="O269" s="119"/>
      <c r="R269" s="119"/>
      <c r="U269" s="119"/>
      <c r="X269" s="119"/>
      <c r="AA269" s="119"/>
      <c r="AD269" s="119"/>
      <c r="AM269"/>
    </row>
    <row r="270" spans="1:39" ht="18" x14ac:dyDescent="0.45">
      <c r="A270" s="143"/>
      <c r="B270" s="252"/>
      <c r="C270" s="119"/>
      <c r="F270" s="119"/>
      <c r="I270" s="119"/>
      <c r="L270" s="119"/>
      <c r="O270" s="119"/>
      <c r="R270" s="119"/>
      <c r="U270" s="119"/>
      <c r="X270" s="119"/>
      <c r="AA270" s="119"/>
      <c r="AD270" s="119"/>
      <c r="AM270"/>
    </row>
    <row r="271" spans="1:39" ht="18" x14ac:dyDescent="0.45">
      <c r="A271" s="143"/>
      <c r="B271" s="252"/>
      <c r="C271" s="119"/>
      <c r="F271" s="119"/>
      <c r="I271" s="119"/>
      <c r="L271" s="119"/>
      <c r="O271" s="119"/>
      <c r="R271" s="119"/>
      <c r="U271" s="119"/>
      <c r="X271" s="119"/>
      <c r="AA271" s="119"/>
      <c r="AD271" s="119"/>
      <c r="AM271"/>
    </row>
    <row r="272" spans="1:39" ht="18" x14ac:dyDescent="0.45">
      <c r="A272" s="143"/>
      <c r="B272" s="252"/>
      <c r="C272" s="119"/>
      <c r="F272" s="119"/>
      <c r="I272" s="119"/>
      <c r="L272" s="119"/>
      <c r="O272" s="119"/>
      <c r="R272" s="119"/>
      <c r="U272" s="119"/>
      <c r="X272" s="119"/>
      <c r="AA272" s="119"/>
      <c r="AD272" s="119"/>
      <c r="AM272"/>
    </row>
    <row r="273" spans="1:39" ht="18" x14ac:dyDescent="0.45">
      <c r="A273" s="143"/>
      <c r="B273" s="252"/>
      <c r="C273" s="119"/>
      <c r="F273" s="119"/>
      <c r="I273" s="119"/>
      <c r="L273" s="119"/>
      <c r="O273" s="119"/>
      <c r="R273" s="119"/>
      <c r="U273" s="119"/>
      <c r="X273" s="119"/>
      <c r="AA273" s="119"/>
      <c r="AD273" s="119"/>
      <c r="AM273"/>
    </row>
    <row r="274" spans="1:39" ht="18" x14ac:dyDescent="0.45">
      <c r="A274" s="143"/>
      <c r="B274" s="252"/>
      <c r="C274" s="119"/>
      <c r="F274" s="119"/>
      <c r="I274" s="119"/>
      <c r="L274" s="119"/>
      <c r="O274" s="119"/>
      <c r="R274" s="119"/>
      <c r="U274" s="119"/>
      <c r="X274" s="119"/>
      <c r="AA274" s="119"/>
      <c r="AD274" s="119"/>
      <c r="AM274"/>
    </row>
    <row r="275" spans="1:39" ht="18" x14ac:dyDescent="0.45">
      <c r="A275" s="143"/>
      <c r="B275" s="252"/>
      <c r="C275" s="119"/>
      <c r="F275" s="119"/>
      <c r="I275" s="119"/>
      <c r="L275" s="119"/>
      <c r="O275" s="119"/>
      <c r="R275" s="119"/>
      <c r="U275" s="119"/>
      <c r="X275" s="119"/>
      <c r="AA275" s="119"/>
      <c r="AD275" s="119"/>
      <c r="AM275"/>
    </row>
    <row r="276" spans="1:39" ht="18" x14ac:dyDescent="0.45">
      <c r="A276" s="143"/>
      <c r="B276" s="252"/>
      <c r="C276" s="119"/>
      <c r="F276" s="119"/>
      <c r="I276" s="119"/>
      <c r="L276" s="119"/>
      <c r="O276" s="119"/>
      <c r="R276" s="119"/>
      <c r="U276" s="119"/>
      <c r="X276" s="119"/>
      <c r="AA276" s="119"/>
      <c r="AD276" s="119"/>
      <c r="AM276"/>
    </row>
    <row r="277" spans="1:39" ht="18" x14ac:dyDescent="0.45">
      <c r="A277" s="143"/>
      <c r="B277" s="252"/>
      <c r="C277" s="119"/>
      <c r="F277" s="119"/>
      <c r="I277" s="119"/>
      <c r="L277" s="119"/>
      <c r="O277" s="119"/>
      <c r="R277" s="119"/>
      <c r="U277" s="119"/>
      <c r="X277" s="119"/>
      <c r="AA277" s="119"/>
      <c r="AD277" s="119"/>
      <c r="AM277"/>
    </row>
    <row r="278" spans="1:39" ht="18" x14ac:dyDescent="0.45">
      <c r="A278" s="143"/>
      <c r="B278" s="252"/>
      <c r="C278" s="119"/>
      <c r="F278" s="119"/>
      <c r="I278" s="119"/>
      <c r="L278" s="119"/>
      <c r="O278" s="119"/>
      <c r="R278" s="119"/>
      <c r="U278" s="119"/>
      <c r="X278" s="119"/>
      <c r="AA278" s="119"/>
      <c r="AD278" s="119"/>
      <c r="AM278"/>
    </row>
    <row r="279" spans="1:39" ht="18" x14ac:dyDescent="0.45">
      <c r="A279" s="143"/>
      <c r="B279" s="252"/>
      <c r="C279" s="119"/>
      <c r="F279" s="119"/>
      <c r="I279" s="119"/>
      <c r="L279" s="119"/>
      <c r="O279" s="119"/>
      <c r="R279" s="119"/>
      <c r="U279" s="119"/>
      <c r="X279" s="119"/>
      <c r="AA279" s="119"/>
      <c r="AD279" s="119"/>
      <c r="AM279"/>
    </row>
    <row r="280" spans="1:39" ht="18" x14ac:dyDescent="0.45">
      <c r="A280" s="143"/>
      <c r="B280" s="252"/>
      <c r="C280" s="119"/>
      <c r="F280" s="119"/>
      <c r="I280" s="119"/>
      <c r="L280" s="119"/>
      <c r="O280" s="119"/>
      <c r="R280" s="119"/>
      <c r="U280" s="119"/>
      <c r="X280" s="119"/>
      <c r="AA280" s="119"/>
      <c r="AD280" s="119"/>
      <c r="AM280"/>
    </row>
    <row r="281" spans="1:39" ht="18" x14ac:dyDescent="0.45">
      <c r="A281" s="143"/>
      <c r="B281" s="252"/>
      <c r="C281" s="119"/>
      <c r="F281" s="119"/>
      <c r="I281" s="119"/>
      <c r="L281" s="119"/>
      <c r="O281" s="119"/>
      <c r="R281" s="119"/>
      <c r="U281" s="119"/>
      <c r="X281" s="119"/>
      <c r="AA281" s="119"/>
      <c r="AD281" s="119"/>
      <c r="AM281"/>
    </row>
    <row r="282" spans="1:39" ht="18" x14ac:dyDescent="0.45">
      <c r="A282" s="143"/>
      <c r="B282" s="252"/>
      <c r="C282" s="119"/>
      <c r="F282" s="119"/>
      <c r="I282" s="119"/>
      <c r="L282" s="119"/>
      <c r="O282" s="119"/>
      <c r="R282" s="119"/>
      <c r="U282" s="119"/>
      <c r="X282" s="119"/>
      <c r="AA282" s="119"/>
      <c r="AD282" s="119"/>
      <c r="AM282"/>
    </row>
    <row r="283" spans="1:39" ht="18" x14ac:dyDescent="0.45">
      <c r="A283" s="143"/>
      <c r="B283" s="252"/>
      <c r="C283" s="119"/>
      <c r="F283" s="119"/>
      <c r="I283" s="119"/>
      <c r="L283" s="119"/>
      <c r="O283" s="119"/>
      <c r="R283" s="119"/>
      <c r="U283" s="119"/>
      <c r="X283" s="119"/>
      <c r="AA283" s="119"/>
      <c r="AD283" s="119"/>
      <c r="AM283"/>
    </row>
    <row r="284" spans="1:39" ht="18" x14ac:dyDescent="0.45">
      <c r="A284" s="143"/>
      <c r="B284" s="252"/>
      <c r="C284" s="119"/>
      <c r="F284" s="119"/>
      <c r="I284" s="119"/>
      <c r="L284" s="119"/>
      <c r="O284" s="119"/>
      <c r="R284" s="119"/>
      <c r="U284" s="119"/>
      <c r="X284" s="119"/>
      <c r="AA284" s="119"/>
      <c r="AD284" s="119"/>
      <c r="AM284"/>
    </row>
    <row r="285" spans="1:39" ht="18" x14ac:dyDescent="0.45">
      <c r="A285" s="143"/>
      <c r="B285" s="252"/>
      <c r="C285" s="119"/>
      <c r="F285" s="119"/>
      <c r="I285" s="119"/>
      <c r="L285" s="119"/>
      <c r="O285" s="119"/>
      <c r="R285" s="119"/>
      <c r="U285" s="119"/>
      <c r="X285" s="119"/>
      <c r="AA285" s="119"/>
      <c r="AD285" s="119"/>
      <c r="AM285"/>
    </row>
    <row r="286" spans="1:39" ht="18" x14ac:dyDescent="0.45">
      <c r="A286" s="143"/>
      <c r="B286" s="252"/>
      <c r="C286" s="119"/>
      <c r="F286" s="119"/>
      <c r="I286" s="119"/>
      <c r="L286" s="119"/>
      <c r="O286" s="119"/>
      <c r="R286" s="119"/>
      <c r="U286" s="119"/>
      <c r="X286" s="119"/>
      <c r="AA286" s="119"/>
      <c r="AD286" s="119"/>
      <c r="AM286"/>
    </row>
    <row r="287" spans="1:39" ht="18" x14ac:dyDescent="0.45">
      <c r="A287" s="143"/>
      <c r="B287" s="252"/>
      <c r="C287" s="119"/>
      <c r="F287" s="119"/>
      <c r="I287" s="119"/>
      <c r="L287" s="119"/>
      <c r="O287" s="119"/>
      <c r="R287" s="119"/>
      <c r="U287" s="119"/>
      <c r="X287" s="119"/>
      <c r="AA287" s="119"/>
      <c r="AD287" s="119"/>
      <c r="AM287"/>
    </row>
    <row r="288" spans="1:39" ht="18" x14ac:dyDescent="0.45">
      <c r="A288" s="143"/>
      <c r="B288" s="252"/>
      <c r="C288" s="119"/>
      <c r="F288" s="119"/>
      <c r="I288" s="119"/>
      <c r="L288" s="119"/>
      <c r="O288" s="119"/>
      <c r="R288" s="119"/>
      <c r="U288" s="119"/>
      <c r="X288" s="119"/>
      <c r="AA288" s="119"/>
      <c r="AD288" s="119"/>
      <c r="AM288"/>
    </row>
    <row r="289" spans="1:39" ht="18" x14ac:dyDescent="0.45">
      <c r="A289" s="143"/>
      <c r="B289" s="252"/>
      <c r="C289" s="119"/>
      <c r="F289" s="119"/>
      <c r="I289" s="119"/>
      <c r="L289" s="119"/>
      <c r="O289" s="119"/>
      <c r="R289" s="119"/>
      <c r="U289" s="119"/>
      <c r="X289" s="119"/>
      <c r="AA289" s="119"/>
      <c r="AD289" s="119"/>
      <c r="AM289"/>
    </row>
    <row r="290" spans="1:39" ht="18" x14ac:dyDescent="0.45">
      <c r="A290" s="143"/>
      <c r="B290" s="252"/>
      <c r="C290" s="119"/>
      <c r="F290" s="119"/>
      <c r="I290" s="119"/>
      <c r="L290" s="119"/>
      <c r="O290" s="119"/>
      <c r="R290" s="119"/>
      <c r="U290" s="119"/>
      <c r="X290" s="119"/>
      <c r="AA290" s="119"/>
      <c r="AD290" s="119"/>
      <c r="AM290"/>
    </row>
    <row r="291" spans="1:39" ht="18" x14ac:dyDescent="0.45">
      <c r="A291" s="143"/>
      <c r="B291" s="252"/>
      <c r="C291" s="119"/>
      <c r="F291" s="119"/>
      <c r="I291" s="119"/>
      <c r="L291" s="119"/>
      <c r="O291" s="119"/>
      <c r="R291" s="119"/>
      <c r="U291" s="119"/>
      <c r="X291" s="119"/>
      <c r="AA291" s="119"/>
      <c r="AD291" s="119"/>
      <c r="AM291"/>
    </row>
    <row r="292" spans="1:39" ht="18" x14ac:dyDescent="0.45">
      <c r="A292" s="143"/>
      <c r="B292" s="252"/>
      <c r="C292" s="119"/>
      <c r="F292" s="119"/>
      <c r="I292" s="119"/>
      <c r="L292" s="119"/>
      <c r="O292" s="119"/>
      <c r="R292" s="119"/>
      <c r="U292" s="119"/>
      <c r="X292" s="119"/>
      <c r="AA292" s="119"/>
      <c r="AD292" s="119"/>
      <c r="AM292"/>
    </row>
    <row r="293" spans="1:39" ht="18" x14ac:dyDescent="0.45">
      <c r="A293" s="143"/>
      <c r="B293" s="252"/>
      <c r="C293" s="119"/>
      <c r="F293" s="119"/>
      <c r="I293" s="119"/>
      <c r="L293" s="119"/>
      <c r="O293" s="119"/>
      <c r="R293" s="119"/>
      <c r="U293" s="119"/>
      <c r="X293" s="119"/>
      <c r="AA293" s="119"/>
      <c r="AD293" s="119"/>
      <c r="AM293"/>
    </row>
    <row r="294" spans="1:39" ht="18" x14ac:dyDescent="0.45">
      <c r="A294" s="143"/>
      <c r="B294" s="252"/>
      <c r="C294" s="119"/>
      <c r="F294" s="119"/>
      <c r="I294" s="119"/>
      <c r="L294" s="119"/>
      <c r="O294" s="119"/>
      <c r="R294" s="119"/>
      <c r="U294" s="119"/>
      <c r="X294" s="119"/>
      <c r="AA294" s="119"/>
      <c r="AD294" s="119"/>
      <c r="AM294"/>
    </row>
    <row r="295" spans="1:39" ht="18" x14ac:dyDescent="0.45">
      <c r="A295" s="143"/>
      <c r="B295" s="252"/>
      <c r="C295" s="119"/>
      <c r="F295" s="119"/>
      <c r="I295" s="119"/>
      <c r="L295" s="119"/>
      <c r="O295" s="119"/>
      <c r="R295" s="119"/>
      <c r="U295" s="119"/>
      <c r="X295" s="119"/>
      <c r="AA295" s="119"/>
      <c r="AD295" s="119"/>
      <c r="AM295"/>
    </row>
    <row r="296" spans="1:39" ht="18" x14ac:dyDescent="0.45">
      <c r="A296" s="143"/>
      <c r="B296" s="252"/>
      <c r="C296" s="119"/>
      <c r="F296" s="119"/>
      <c r="I296" s="119"/>
      <c r="L296" s="119"/>
      <c r="O296" s="119"/>
      <c r="R296" s="119"/>
      <c r="U296" s="119"/>
      <c r="X296" s="119"/>
      <c r="AA296" s="119"/>
      <c r="AD296" s="119"/>
      <c r="AM296"/>
    </row>
    <row r="297" spans="1:39" ht="18" x14ac:dyDescent="0.45">
      <c r="A297" s="143"/>
      <c r="B297" s="252"/>
      <c r="C297" s="119"/>
      <c r="F297" s="119"/>
      <c r="I297" s="119"/>
      <c r="L297" s="119"/>
      <c r="O297" s="119"/>
      <c r="R297" s="119"/>
      <c r="U297" s="119"/>
      <c r="X297" s="119"/>
      <c r="AA297" s="119"/>
      <c r="AD297" s="119"/>
      <c r="AM297"/>
    </row>
    <row r="298" spans="1:39" ht="18" x14ac:dyDescent="0.45">
      <c r="A298" s="143"/>
      <c r="B298" s="252"/>
      <c r="C298" s="119"/>
      <c r="F298" s="119"/>
      <c r="I298" s="119"/>
      <c r="L298" s="119"/>
      <c r="O298" s="119"/>
      <c r="R298" s="119"/>
      <c r="U298" s="119"/>
      <c r="X298" s="119"/>
      <c r="AA298" s="119"/>
      <c r="AD298" s="119"/>
      <c r="AM298"/>
    </row>
    <row r="299" spans="1:39" ht="18" x14ac:dyDescent="0.45">
      <c r="A299" s="143"/>
      <c r="B299" s="252"/>
      <c r="C299" s="119"/>
      <c r="F299" s="119"/>
      <c r="I299" s="119"/>
      <c r="L299" s="119"/>
      <c r="O299" s="119"/>
      <c r="R299" s="119"/>
      <c r="U299" s="119"/>
      <c r="X299" s="119"/>
      <c r="AA299" s="119"/>
      <c r="AD299" s="119"/>
      <c r="AM299"/>
    </row>
    <row r="300" spans="1:39" ht="18" x14ac:dyDescent="0.45">
      <c r="A300" s="143"/>
      <c r="B300" s="252"/>
      <c r="C300" s="119"/>
      <c r="F300" s="119"/>
      <c r="I300" s="119"/>
      <c r="L300" s="119"/>
      <c r="O300" s="119"/>
      <c r="R300" s="119"/>
      <c r="U300" s="119"/>
      <c r="X300" s="119"/>
      <c r="AA300" s="119"/>
      <c r="AD300" s="119"/>
      <c r="AM300"/>
    </row>
    <row r="301" spans="1:39" ht="18" x14ac:dyDescent="0.45">
      <c r="A301" s="143"/>
      <c r="B301" s="252"/>
      <c r="C301" s="119"/>
      <c r="F301" s="119"/>
      <c r="I301" s="119"/>
      <c r="L301" s="119"/>
      <c r="O301" s="119"/>
      <c r="R301" s="119"/>
      <c r="U301" s="119"/>
      <c r="X301" s="119"/>
      <c r="AA301" s="119"/>
      <c r="AD301" s="119"/>
      <c r="AM301"/>
    </row>
    <row r="302" spans="1:39" ht="18" x14ac:dyDescent="0.45">
      <c r="A302" s="143"/>
      <c r="B302" s="252"/>
      <c r="C302" s="119"/>
      <c r="F302" s="119"/>
      <c r="I302" s="119"/>
      <c r="L302" s="119"/>
      <c r="O302" s="119"/>
      <c r="R302" s="119"/>
      <c r="U302" s="119"/>
      <c r="X302" s="119"/>
      <c r="AA302" s="119"/>
      <c r="AD302" s="119"/>
      <c r="AM302"/>
    </row>
    <row r="303" spans="1:39" ht="18" x14ac:dyDescent="0.45">
      <c r="A303" s="143"/>
      <c r="B303" s="252"/>
      <c r="C303" s="119"/>
      <c r="F303" s="119"/>
      <c r="I303" s="119"/>
      <c r="L303" s="119"/>
      <c r="O303" s="119"/>
      <c r="R303" s="119"/>
      <c r="U303" s="119"/>
      <c r="X303" s="119"/>
      <c r="AA303" s="119"/>
      <c r="AD303" s="119"/>
      <c r="AM303"/>
    </row>
    <row r="304" spans="1:39" ht="18" x14ac:dyDescent="0.45">
      <c r="A304" s="143"/>
      <c r="B304" s="252"/>
      <c r="C304" s="119"/>
      <c r="F304" s="119"/>
      <c r="I304" s="119"/>
      <c r="L304" s="119"/>
      <c r="O304" s="119"/>
      <c r="R304" s="119"/>
      <c r="U304" s="119"/>
      <c r="X304" s="119"/>
      <c r="AA304" s="119"/>
      <c r="AD304" s="119"/>
      <c r="AM304"/>
    </row>
    <row r="305" spans="1:39" ht="18" x14ac:dyDescent="0.45">
      <c r="A305" s="143"/>
      <c r="B305" s="252"/>
      <c r="C305" s="119"/>
      <c r="F305" s="119"/>
      <c r="I305" s="119"/>
      <c r="L305" s="119"/>
      <c r="O305" s="119"/>
      <c r="R305" s="119"/>
      <c r="U305" s="119"/>
      <c r="X305" s="119"/>
      <c r="AA305" s="119"/>
      <c r="AD305" s="119"/>
      <c r="AM305"/>
    </row>
    <row r="306" spans="1:39" ht="18" x14ac:dyDescent="0.45">
      <c r="A306" s="143"/>
      <c r="B306" s="252"/>
      <c r="C306" s="119"/>
      <c r="F306" s="119"/>
      <c r="I306" s="119"/>
      <c r="L306" s="119"/>
      <c r="O306" s="119"/>
      <c r="R306" s="119"/>
      <c r="U306" s="119"/>
      <c r="X306" s="119"/>
      <c r="AA306" s="119"/>
      <c r="AD306" s="119"/>
      <c r="AM306"/>
    </row>
    <row r="307" spans="1:39" ht="18" x14ac:dyDescent="0.45">
      <c r="A307" s="143"/>
      <c r="B307" s="252"/>
      <c r="C307" s="119"/>
      <c r="F307" s="119"/>
      <c r="I307" s="119"/>
      <c r="L307" s="119"/>
      <c r="O307" s="119"/>
      <c r="R307" s="119"/>
      <c r="U307" s="119"/>
      <c r="X307" s="119"/>
      <c r="AA307" s="119"/>
      <c r="AD307" s="119"/>
      <c r="AM307"/>
    </row>
    <row r="308" spans="1:39" ht="18" x14ac:dyDescent="0.45">
      <c r="A308" s="143"/>
      <c r="B308" s="252"/>
      <c r="C308" s="119"/>
      <c r="F308" s="119"/>
      <c r="I308" s="119"/>
      <c r="L308" s="119"/>
      <c r="O308" s="119"/>
      <c r="R308" s="119"/>
      <c r="U308" s="119"/>
      <c r="X308" s="119"/>
      <c r="AA308" s="119"/>
      <c r="AD308" s="119"/>
      <c r="AM308"/>
    </row>
    <row r="309" spans="1:39" ht="18" x14ac:dyDescent="0.45">
      <c r="A309" s="143"/>
      <c r="B309" s="252"/>
      <c r="C309" s="119"/>
      <c r="F309" s="119"/>
      <c r="I309" s="119"/>
      <c r="L309" s="119"/>
      <c r="O309" s="119"/>
      <c r="R309" s="119"/>
      <c r="U309" s="119"/>
      <c r="X309" s="119"/>
      <c r="AA309" s="119"/>
      <c r="AD309" s="119"/>
      <c r="AM309"/>
    </row>
    <row r="310" spans="1:39" ht="18" x14ac:dyDescent="0.45">
      <c r="A310" s="143"/>
      <c r="B310" s="252"/>
      <c r="C310" s="119"/>
      <c r="F310" s="119"/>
      <c r="I310" s="119"/>
      <c r="L310" s="119"/>
      <c r="O310" s="119"/>
      <c r="R310" s="119"/>
      <c r="U310" s="119"/>
      <c r="X310" s="119"/>
      <c r="AA310" s="119"/>
      <c r="AD310" s="119"/>
      <c r="AM310"/>
    </row>
    <row r="311" spans="1:39" ht="18" x14ac:dyDescent="0.45">
      <c r="A311" s="143"/>
      <c r="B311" s="252"/>
      <c r="C311" s="119"/>
      <c r="F311" s="119"/>
      <c r="I311" s="119"/>
      <c r="L311" s="119"/>
      <c r="O311" s="119"/>
      <c r="R311" s="119"/>
      <c r="U311" s="119"/>
      <c r="X311" s="119"/>
      <c r="AA311" s="119"/>
      <c r="AD311" s="119"/>
      <c r="AM311"/>
    </row>
    <row r="312" spans="1:39" ht="18" x14ac:dyDescent="0.45">
      <c r="A312" s="143"/>
      <c r="B312" s="252"/>
      <c r="C312" s="119"/>
      <c r="F312" s="119"/>
      <c r="I312" s="119"/>
      <c r="L312" s="119"/>
      <c r="O312" s="119"/>
      <c r="R312" s="119"/>
      <c r="U312" s="119"/>
      <c r="X312" s="119"/>
      <c r="AA312" s="119"/>
      <c r="AD312" s="119"/>
      <c r="AM312"/>
    </row>
    <row r="313" spans="1:39" ht="18" x14ac:dyDescent="0.45">
      <c r="A313" s="143"/>
      <c r="B313" s="252"/>
      <c r="C313" s="119"/>
      <c r="F313" s="119"/>
      <c r="I313" s="119"/>
      <c r="L313" s="119"/>
      <c r="O313" s="119"/>
      <c r="R313" s="119"/>
      <c r="U313" s="119"/>
      <c r="X313" s="119"/>
      <c r="AA313" s="119"/>
      <c r="AD313" s="119"/>
      <c r="AM313"/>
    </row>
    <row r="314" spans="1:39" ht="18" x14ac:dyDescent="0.45">
      <c r="A314" s="143"/>
      <c r="B314" s="252"/>
      <c r="C314" s="119"/>
      <c r="F314" s="119"/>
      <c r="I314" s="119"/>
      <c r="L314" s="119"/>
      <c r="O314" s="119"/>
      <c r="R314" s="119"/>
      <c r="U314" s="119"/>
      <c r="X314" s="119"/>
      <c r="AA314" s="119"/>
      <c r="AD314" s="119"/>
      <c r="AM314"/>
    </row>
    <row r="315" spans="1:39" ht="18" x14ac:dyDescent="0.45">
      <c r="A315" s="143"/>
      <c r="B315" s="252"/>
      <c r="C315" s="119"/>
      <c r="F315" s="119"/>
      <c r="I315" s="119"/>
      <c r="L315" s="119"/>
      <c r="O315" s="119"/>
      <c r="R315" s="119"/>
      <c r="U315" s="119"/>
      <c r="X315" s="119"/>
      <c r="AA315" s="119"/>
      <c r="AD315" s="119"/>
      <c r="AM315"/>
    </row>
    <row r="316" spans="1:39" ht="18" x14ac:dyDescent="0.45">
      <c r="A316" s="143"/>
      <c r="B316" s="252"/>
      <c r="C316" s="119"/>
      <c r="F316" s="119"/>
      <c r="I316" s="119"/>
      <c r="L316" s="119"/>
      <c r="O316" s="119"/>
      <c r="R316" s="119"/>
      <c r="U316" s="119"/>
      <c r="X316" s="119"/>
      <c r="AA316" s="119"/>
      <c r="AD316" s="119"/>
      <c r="AM316"/>
    </row>
    <row r="317" spans="1:39" ht="18" x14ac:dyDescent="0.45">
      <c r="A317" s="143"/>
      <c r="B317" s="252"/>
      <c r="C317" s="119"/>
      <c r="F317" s="119"/>
      <c r="I317" s="119"/>
      <c r="L317" s="119"/>
      <c r="O317" s="119"/>
      <c r="R317" s="119"/>
      <c r="U317" s="119"/>
      <c r="X317" s="119"/>
      <c r="AA317" s="119"/>
      <c r="AD317" s="119"/>
      <c r="AM317"/>
    </row>
    <row r="318" spans="1:39" ht="18" x14ac:dyDescent="0.45">
      <c r="A318" s="143"/>
      <c r="B318" s="252"/>
      <c r="C318" s="119"/>
      <c r="F318" s="119"/>
      <c r="I318" s="119"/>
      <c r="L318" s="119"/>
      <c r="O318" s="119"/>
      <c r="R318" s="119"/>
      <c r="U318" s="119"/>
      <c r="X318" s="119"/>
      <c r="AA318" s="119"/>
      <c r="AD318" s="119"/>
      <c r="AM318"/>
    </row>
    <row r="319" spans="1:39" ht="18" x14ac:dyDescent="0.45">
      <c r="A319" s="143"/>
      <c r="B319" s="252"/>
      <c r="C319" s="119"/>
      <c r="F319" s="119"/>
      <c r="I319" s="119"/>
      <c r="L319" s="119"/>
      <c r="O319" s="119"/>
      <c r="R319" s="119"/>
      <c r="U319" s="119"/>
      <c r="X319" s="119"/>
      <c r="AA319" s="119"/>
      <c r="AD319" s="119"/>
      <c r="AM319"/>
    </row>
    <row r="320" spans="1:39" ht="18" x14ac:dyDescent="0.45">
      <c r="A320" s="143"/>
      <c r="B320" s="252"/>
      <c r="C320" s="119"/>
      <c r="F320" s="119"/>
      <c r="I320" s="119"/>
      <c r="L320" s="119"/>
      <c r="O320" s="119"/>
      <c r="R320" s="119"/>
      <c r="U320" s="119"/>
      <c r="X320" s="119"/>
      <c r="AA320" s="119"/>
      <c r="AD320" s="119"/>
      <c r="AM320"/>
    </row>
    <row r="321" spans="1:39" ht="18" x14ac:dyDescent="0.45">
      <c r="A321" s="143"/>
      <c r="B321" s="252"/>
      <c r="C321" s="119"/>
      <c r="F321" s="119"/>
      <c r="I321" s="119"/>
      <c r="L321" s="119"/>
      <c r="O321" s="119"/>
      <c r="R321" s="119"/>
      <c r="U321" s="119"/>
      <c r="X321" s="119"/>
      <c r="AA321" s="119"/>
      <c r="AD321" s="119"/>
      <c r="AM321"/>
    </row>
    <row r="322" spans="1:39" ht="18" x14ac:dyDescent="0.45">
      <c r="A322" s="143"/>
      <c r="B322" s="252"/>
      <c r="C322" s="119"/>
      <c r="F322" s="119"/>
      <c r="I322" s="119"/>
      <c r="L322" s="119"/>
      <c r="O322" s="119"/>
      <c r="R322" s="119"/>
      <c r="U322" s="119"/>
      <c r="X322" s="119"/>
      <c r="AA322" s="119"/>
      <c r="AD322" s="119"/>
      <c r="AM322"/>
    </row>
    <row r="323" spans="1:39" ht="18" x14ac:dyDescent="0.45">
      <c r="A323" s="143"/>
      <c r="B323" s="252"/>
      <c r="C323" s="119"/>
      <c r="F323" s="119"/>
      <c r="I323" s="119"/>
      <c r="L323" s="119"/>
      <c r="O323" s="119"/>
      <c r="R323" s="119"/>
      <c r="U323" s="119"/>
      <c r="X323" s="119"/>
      <c r="AA323" s="119"/>
      <c r="AD323" s="119"/>
      <c r="AM323"/>
    </row>
    <row r="324" spans="1:39" ht="18" x14ac:dyDescent="0.45">
      <c r="A324" s="143"/>
      <c r="B324" s="252"/>
      <c r="C324" s="119"/>
      <c r="F324" s="119"/>
      <c r="I324" s="119"/>
      <c r="L324" s="119"/>
      <c r="O324" s="119"/>
      <c r="R324" s="119"/>
      <c r="U324" s="119"/>
      <c r="X324" s="119"/>
      <c r="AA324" s="119"/>
      <c r="AD324" s="119"/>
      <c r="AM324"/>
    </row>
    <row r="325" spans="1:39" ht="18" x14ac:dyDescent="0.45">
      <c r="A325" s="143"/>
      <c r="B325" s="252"/>
      <c r="C325" s="119"/>
      <c r="F325" s="119"/>
      <c r="I325" s="119"/>
      <c r="L325" s="119"/>
      <c r="O325" s="119"/>
      <c r="R325" s="119"/>
      <c r="U325" s="119"/>
      <c r="X325" s="119"/>
      <c r="AA325" s="119"/>
      <c r="AD325" s="119"/>
      <c r="AM325"/>
    </row>
    <row r="326" spans="1:39" ht="18" x14ac:dyDescent="0.45">
      <c r="A326" s="143"/>
      <c r="B326" s="252"/>
      <c r="C326" s="119"/>
      <c r="F326" s="119"/>
      <c r="I326" s="119"/>
      <c r="L326" s="119"/>
      <c r="O326" s="119"/>
      <c r="R326" s="119"/>
      <c r="U326" s="119"/>
      <c r="X326" s="119"/>
      <c r="AA326" s="119"/>
      <c r="AD326" s="119"/>
      <c r="AM326"/>
    </row>
    <row r="327" spans="1:39" ht="18" x14ac:dyDescent="0.45">
      <c r="A327" s="143"/>
      <c r="B327" s="252"/>
      <c r="C327" s="119"/>
      <c r="F327" s="119"/>
      <c r="I327" s="119"/>
      <c r="L327" s="119"/>
      <c r="O327" s="119"/>
      <c r="R327" s="119"/>
      <c r="U327" s="119"/>
      <c r="X327" s="119"/>
      <c r="AA327" s="119"/>
      <c r="AD327" s="119"/>
      <c r="AM327"/>
    </row>
    <row r="328" spans="1:39" ht="18" x14ac:dyDescent="0.45">
      <c r="A328" s="143"/>
      <c r="B328" s="252"/>
      <c r="C328" s="119"/>
      <c r="F328" s="119"/>
      <c r="I328" s="119"/>
      <c r="L328" s="119"/>
      <c r="O328" s="119"/>
      <c r="R328" s="119"/>
      <c r="U328" s="119"/>
      <c r="X328" s="119"/>
      <c r="AA328" s="119"/>
      <c r="AD328" s="119"/>
      <c r="AM328"/>
    </row>
    <row r="329" spans="1:39" ht="18" x14ac:dyDescent="0.45">
      <c r="A329" s="143"/>
      <c r="B329" s="252"/>
      <c r="C329" s="119"/>
      <c r="F329" s="119"/>
      <c r="I329" s="119"/>
      <c r="L329" s="119"/>
      <c r="O329" s="119"/>
      <c r="R329" s="119"/>
      <c r="U329" s="119"/>
      <c r="X329" s="119"/>
      <c r="AA329" s="119"/>
      <c r="AD329" s="119"/>
      <c r="AM329"/>
    </row>
    <row r="330" spans="1:39" ht="18" x14ac:dyDescent="0.45">
      <c r="A330" s="143"/>
      <c r="B330" s="252"/>
      <c r="C330" s="119"/>
      <c r="F330" s="119"/>
      <c r="I330" s="119"/>
      <c r="L330" s="119"/>
      <c r="O330" s="119"/>
      <c r="R330" s="119"/>
      <c r="U330" s="119"/>
      <c r="X330" s="119"/>
      <c r="AA330" s="119"/>
      <c r="AD330" s="119"/>
      <c r="AM330"/>
    </row>
    <row r="331" spans="1:39" ht="18" x14ac:dyDescent="0.45">
      <c r="A331" s="143"/>
      <c r="B331" s="252"/>
      <c r="C331" s="119"/>
      <c r="F331" s="119"/>
      <c r="I331" s="119"/>
      <c r="L331" s="119"/>
      <c r="O331" s="119"/>
      <c r="R331" s="119"/>
      <c r="U331" s="119"/>
      <c r="X331" s="119"/>
      <c r="AA331" s="119"/>
      <c r="AD331" s="119"/>
      <c r="AM331"/>
    </row>
    <row r="332" spans="1:39" ht="18" x14ac:dyDescent="0.45">
      <c r="A332" s="143"/>
      <c r="B332" s="252"/>
      <c r="C332" s="119"/>
      <c r="F332" s="119"/>
      <c r="I332" s="119"/>
      <c r="L332" s="119"/>
      <c r="O332" s="119"/>
      <c r="R332" s="119"/>
      <c r="U332" s="119"/>
      <c r="X332" s="119"/>
      <c r="AA332" s="119"/>
      <c r="AD332" s="119"/>
      <c r="AM332"/>
    </row>
    <row r="333" spans="1:39" ht="18" x14ac:dyDescent="0.45">
      <c r="A333" s="143"/>
      <c r="B333" s="252"/>
      <c r="C333" s="119"/>
      <c r="F333" s="119"/>
      <c r="I333" s="119"/>
      <c r="L333" s="119"/>
      <c r="O333" s="119"/>
      <c r="R333" s="119"/>
      <c r="U333" s="119"/>
      <c r="X333" s="119"/>
      <c r="AA333" s="119"/>
      <c r="AD333" s="119"/>
      <c r="AM333"/>
    </row>
    <row r="334" spans="1:39" ht="18" x14ac:dyDescent="0.45">
      <c r="A334" s="143"/>
      <c r="B334" s="252"/>
      <c r="C334" s="119"/>
      <c r="F334" s="119"/>
      <c r="I334" s="119"/>
      <c r="L334" s="119"/>
      <c r="O334" s="119"/>
      <c r="R334" s="119"/>
      <c r="U334" s="119"/>
      <c r="X334" s="119"/>
      <c r="AA334" s="119"/>
      <c r="AD334" s="119"/>
      <c r="AM334"/>
    </row>
    <row r="335" spans="1:39" ht="18" x14ac:dyDescent="0.45">
      <c r="A335" s="143"/>
      <c r="B335" s="252"/>
      <c r="C335" s="119"/>
      <c r="F335" s="119"/>
      <c r="I335" s="119"/>
      <c r="L335" s="119"/>
      <c r="O335" s="119"/>
      <c r="R335" s="119"/>
      <c r="U335" s="119"/>
      <c r="X335" s="119"/>
      <c r="AA335" s="119"/>
      <c r="AD335" s="119"/>
      <c r="AM335"/>
    </row>
    <row r="336" spans="1:39" ht="18" x14ac:dyDescent="0.45">
      <c r="A336" s="143"/>
      <c r="B336" s="252"/>
      <c r="C336" s="119"/>
      <c r="F336" s="119"/>
      <c r="I336" s="119"/>
      <c r="L336" s="119"/>
      <c r="O336" s="119"/>
      <c r="R336" s="119"/>
      <c r="U336" s="119"/>
      <c r="X336" s="119"/>
      <c r="AA336" s="119"/>
      <c r="AD336" s="119"/>
      <c r="AM336"/>
    </row>
    <row r="337" spans="1:39" ht="18" x14ac:dyDescent="0.45">
      <c r="A337" s="143"/>
      <c r="B337" s="252"/>
      <c r="C337" s="119"/>
      <c r="F337" s="119"/>
      <c r="I337" s="119"/>
      <c r="L337" s="119"/>
      <c r="O337" s="119"/>
      <c r="R337" s="119"/>
      <c r="U337" s="119"/>
      <c r="X337" s="119"/>
      <c r="AA337" s="119"/>
      <c r="AD337" s="119"/>
      <c r="AM337"/>
    </row>
    <row r="338" spans="1:39" ht="18" x14ac:dyDescent="0.45">
      <c r="A338" s="143"/>
      <c r="B338" s="252"/>
      <c r="C338" s="119"/>
      <c r="F338" s="119"/>
      <c r="I338" s="119"/>
      <c r="L338" s="119"/>
      <c r="O338" s="119"/>
      <c r="R338" s="119"/>
      <c r="U338" s="119"/>
      <c r="X338" s="119"/>
      <c r="AA338" s="119"/>
      <c r="AD338" s="119"/>
      <c r="AM338"/>
    </row>
    <row r="339" spans="1:39" ht="18" x14ac:dyDescent="0.45">
      <c r="A339" s="143"/>
      <c r="B339" s="252"/>
      <c r="C339" s="119"/>
      <c r="F339" s="119"/>
      <c r="I339" s="119"/>
      <c r="L339" s="119"/>
      <c r="O339" s="119"/>
      <c r="R339" s="119"/>
      <c r="U339" s="119"/>
      <c r="X339" s="119"/>
      <c r="AA339" s="119"/>
      <c r="AD339" s="119"/>
      <c r="AM339"/>
    </row>
    <row r="340" spans="1:39" ht="18" x14ac:dyDescent="0.45">
      <c r="A340" s="143"/>
      <c r="B340" s="252"/>
      <c r="C340" s="119"/>
      <c r="F340" s="119"/>
      <c r="I340" s="119"/>
      <c r="L340" s="119"/>
      <c r="O340" s="119"/>
      <c r="R340" s="119"/>
      <c r="U340" s="119"/>
      <c r="X340" s="119"/>
      <c r="AA340" s="119"/>
      <c r="AD340" s="119"/>
      <c r="AM340"/>
    </row>
    <row r="341" spans="1:39" ht="18" x14ac:dyDescent="0.45">
      <c r="A341" s="143"/>
      <c r="B341" s="252"/>
      <c r="C341" s="119"/>
      <c r="F341" s="119"/>
      <c r="I341" s="119"/>
      <c r="L341" s="119"/>
      <c r="O341" s="119"/>
      <c r="R341" s="119"/>
      <c r="U341" s="119"/>
      <c r="X341" s="119"/>
      <c r="AA341" s="119"/>
      <c r="AD341" s="119"/>
      <c r="AM341"/>
    </row>
    <row r="342" spans="1:39" ht="18" x14ac:dyDescent="0.45">
      <c r="A342" s="143"/>
      <c r="B342" s="252"/>
      <c r="C342" s="119"/>
      <c r="F342" s="119"/>
      <c r="I342" s="119"/>
      <c r="L342" s="119"/>
      <c r="O342" s="119"/>
      <c r="R342" s="119"/>
      <c r="U342" s="119"/>
      <c r="X342" s="119"/>
      <c r="AA342" s="119"/>
      <c r="AD342" s="119"/>
      <c r="AM342"/>
    </row>
    <row r="343" spans="1:39" ht="18" x14ac:dyDescent="0.45">
      <c r="A343" s="143"/>
      <c r="B343" s="252"/>
      <c r="C343" s="119"/>
      <c r="F343" s="119"/>
      <c r="I343" s="119"/>
      <c r="L343" s="119"/>
      <c r="O343" s="119"/>
      <c r="R343" s="119"/>
      <c r="U343" s="119"/>
      <c r="X343" s="119"/>
      <c r="AA343" s="119"/>
      <c r="AD343" s="119"/>
      <c r="AM343"/>
    </row>
    <row r="344" spans="1:39" ht="18" x14ac:dyDescent="0.45">
      <c r="A344" s="143"/>
      <c r="B344" s="252"/>
      <c r="C344" s="119"/>
      <c r="F344" s="119"/>
      <c r="I344" s="119"/>
      <c r="L344" s="119"/>
      <c r="O344" s="119"/>
      <c r="R344" s="119"/>
      <c r="U344" s="119"/>
      <c r="X344" s="119"/>
      <c r="AA344" s="119"/>
      <c r="AD344" s="119"/>
      <c r="AM344"/>
    </row>
    <row r="345" spans="1:39" ht="18" x14ac:dyDescent="0.45">
      <c r="A345" s="143"/>
      <c r="B345" s="252"/>
      <c r="C345" s="119"/>
      <c r="F345" s="119"/>
      <c r="I345" s="119"/>
      <c r="L345" s="119"/>
      <c r="O345" s="119"/>
      <c r="R345" s="119"/>
      <c r="U345" s="119"/>
      <c r="X345" s="119"/>
      <c r="AA345" s="119"/>
      <c r="AD345" s="119"/>
      <c r="AM345"/>
    </row>
    <row r="346" spans="1:39" ht="18" x14ac:dyDescent="0.45">
      <c r="A346" s="143"/>
      <c r="B346" s="252"/>
      <c r="C346" s="119"/>
      <c r="F346" s="119"/>
      <c r="I346" s="119"/>
      <c r="L346" s="119"/>
      <c r="O346" s="119"/>
      <c r="R346" s="119"/>
      <c r="U346" s="119"/>
      <c r="X346" s="119"/>
      <c r="AA346" s="119"/>
      <c r="AD346" s="119"/>
      <c r="AM346"/>
    </row>
    <row r="347" spans="1:39" ht="18" x14ac:dyDescent="0.45">
      <c r="A347" s="143"/>
      <c r="B347" s="252"/>
      <c r="C347" s="119"/>
      <c r="F347" s="119"/>
      <c r="I347" s="119"/>
      <c r="L347" s="119"/>
      <c r="O347" s="119"/>
      <c r="R347" s="119"/>
      <c r="U347" s="119"/>
      <c r="X347" s="119"/>
      <c r="AA347" s="119"/>
      <c r="AD347" s="119"/>
      <c r="AM347"/>
    </row>
    <row r="348" spans="1:39" ht="18" x14ac:dyDescent="0.45">
      <c r="A348" s="143"/>
      <c r="B348" s="252"/>
      <c r="C348" s="119"/>
      <c r="F348" s="119"/>
      <c r="I348" s="119"/>
      <c r="L348" s="119"/>
      <c r="O348" s="119"/>
      <c r="R348" s="119"/>
      <c r="U348" s="119"/>
      <c r="X348" s="119"/>
      <c r="AA348" s="119"/>
      <c r="AD348" s="119"/>
      <c r="AM348"/>
    </row>
    <row r="349" spans="1:39" ht="18" x14ac:dyDescent="0.45">
      <c r="A349" s="143"/>
      <c r="B349" s="252"/>
      <c r="C349" s="119"/>
      <c r="F349" s="119"/>
      <c r="I349" s="119"/>
      <c r="L349" s="119"/>
      <c r="O349" s="119"/>
      <c r="R349" s="119"/>
      <c r="U349" s="119"/>
      <c r="X349" s="119"/>
      <c r="AA349" s="119"/>
      <c r="AD349" s="119"/>
      <c r="AM349"/>
    </row>
    <row r="350" spans="1:39" ht="18" x14ac:dyDescent="0.45">
      <c r="A350" s="143"/>
      <c r="B350" s="252"/>
      <c r="C350" s="119"/>
      <c r="F350" s="119"/>
      <c r="I350" s="119"/>
      <c r="L350" s="119"/>
      <c r="O350" s="119"/>
      <c r="R350" s="119"/>
      <c r="U350" s="119"/>
      <c r="X350" s="119"/>
      <c r="AA350" s="119"/>
      <c r="AD350" s="119"/>
      <c r="AM350"/>
    </row>
    <row r="351" spans="1:39" ht="18" x14ac:dyDescent="0.45">
      <c r="A351" s="143"/>
      <c r="B351" s="252"/>
      <c r="C351" s="119"/>
      <c r="F351" s="119"/>
      <c r="I351" s="119"/>
      <c r="L351" s="119"/>
      <c r="O351" s="119"/>
      <c r="R351" s="119"/>
      <c r="U351" s="119"/>
      <c r="X351" s="119"/>
      <c r="AA351" s="119"/>
      <c r="AD351" s="119"/>
      <c r="AM351"/>
    </row>
    <row r="352" spans="1:39" ht="18" x14ac:dyDescent="0.45">
      <c r="A352" s="143"/>
      <c r="B352" s="252"/>
      <c r="C352" s="119"/>
      <c r="F352" s="119"/>
      <c r="I352" s="119"/>
      <c r="L352" s="119"/>
      <c r="O352" s="119"/>
      <c r="R352" s="119"/>
      <c r="U352" s="119"/>
      <c r="X352" s="119"/>
      <c r="AA352" s="119"/>
      <c r="AD352" s="119"/>
      <c r="AM352"/>
    </row>
    <row r="353" spans="1:39" ht="18" x14ac:dyDescent="0.45">
      <c r="A353" s="143"/>
      <c r="B353" s="252"/>
      <c r="C353" s="119"/>
      <c r="F353" s="119"/>
      <c r="I353" s="119"/>
      <c r="L353" s="119"/>
      <c r="O353" s="119"/>
      <c r="R353" s="119"/>
      <c r="U353" s="119"/>
      <c r="X353" s="119"/>
      <c r="AA353" s="119"/>
      <c r="AD353" s="119"/>
      <c r="AM353"/>
    </row>
    <row r="354" spans="1:39" ht="18" x14ac:dyDescent="0.45">
      <c r="A354" s="143"/>
      <c r="B354" s="252"/>
      <c r="C354" s="119"/>
      <c r="F354" s="119"/>
      <c r="I354" s="119"/>
      <c r="L354" s="119"/>
      <c r="O354" s="119"/>
      <c r="R354" s="119"/>
      <c r="U354" s="119"/>
      <c r="X354" s="119"/>
      <c r="AA354" s="119"/>
      <c r="AD354" s="119"/>
      <c r="AM354"/>
    </row>
    <row r="355" spans="1:39" ht="18" x14ac:dyDescent="0.45">
      <c r="A355" s="143"/>
      <c r="B355" s="252"/>
      <c r="C355" s="119"/>
      <c r="F355" s="119"/>
      <c r="I355" s="119"/>
      <c r="L355" s="119"/>
      <c r="O355" s="119"/>
      <c r="R355" s="119"/>
      <c r="U355" s="119"/>
      <c r="X355" s="119"/>
      <c r="AA355" s="119"/>
      <c r="AD355" s="119"/>
      <c r="AM355"/>
    </row>
    <row r="356" spans="1:39" ht="18" x14ac:dyDescent="0.45">
      <c r="A356" s="143"/>
      <c r="B356" s="252"/>
      <c r="C356" s="119"/>
      <c r="F356" s="119"/>
      <c r="I356" s="119"/>
      <c r="L356" s="119"/>
      <c r="O356" s="119"/>
      <c r="R356" s="119"/>
      <c r="U356" s="119"/>
      <c r="X356" s="119"/>
      <c r="AA356" s="119"/>
      <c r="AD356" s="119"/>
      <c r="AM356"/>
    </row>
    <row r="357" spans="1:39" ht="18" x14ac:dyDescent="0.45">
      <c r="A357" s="143"/>
      <c r="B357" s="252"/>
      <c r="C357" s="119"/>
      <c r="F357" s="119"/>
      <c r="I357" s="119"/>
      <c r="L357" s="119"/>
      <c r="O357" s="119"/>
      <c r="R357" s="119"/>
      <c r="U357" s="119"/>
      <c r="X357" s="119"/>
      <c r="AA357" s="119"/>
      <c r="AD357" s="119"/>
      <c r="AM357"/>
    </row>
    <row r="358" spans="1:39" ht="18" x14ac:dyDescent="0.45">
      <c r="A358" s="143"/>
      <c r="B358" s="252"/>
      <c r="C358" s="119"/>
      <c r="F358" s="119"/>
      <c r="I358" s="119"/>
      <c r="L358" s="119"/>
      <c r="O358" s="119"/>
      <c r="R358" s="119"/>
      <c r="U358" s="119"/>
      <c r="X358" s="119"/>
      <c r="AA358" s="119"/>
      <c r="AD358" s="119"/>
      <c r="AM358"/>
    </row>
    <row r="359" spans="1:39" ht="18" x14ac:dyDescent="0.45">
      <c r="A359" s="143"/>
      <c r="B359" s="252"/>
      <c r="C359" s="119"/>
      <c r="F359" s="119"/>
      <c r="I359" s="119"/>
      <c r="L359" s="119"/>
      <c r="O359" s="119"/>
      <c r="R359" s="119"/>
      <c r="U359" s="119"/>
      <c r="X359" s="119"/>
      <c r="AA359" s="119"/>
      <c r="AD359" s="119"/>
      <c r="AM359"/>
    </row>
    <row r="360" spans="1:39" ht="18" x14ac:dyDescent="0.45">
      <c r="A360" s="143"/>
      <c r="B360" s="252"/>
      <c r="C360" s="119"/>
      <c r="F360" s="119"/>
      <c r="I360" s="119"/>
      <c r="L360" s="119"/>
      <c r="O360" s="119"/>
      <c r="R360" s="119"/>
      <c r="U360" s="119"/>
      <c r="X360" s="119"/>
      <c r="AA360" s="119"/>
      <c r="AD360" s="119"/>
      <c r="AM360"/>
    </row>
    <row r="361" spans="1:39" ht="18" x14ac:dyDescent="0.45">
      <c r="A361" s="143"/>
      <c r="B361" s="252"/>
      <c r="C361" s="119"/>
      <c r="F361" s="119"/>
      <c r="I361" s="119"/>
      <c r="L361" s="119"/>
      <c r="O361" s="119"/>
      <c r="R361" s="119"/>
      <c r="U361" s="119"/>
      <c r="X361" s="119"/>
      <c r="AA361" s="119"/>
      <c r="AD361" s="119"/>
      <c r="AM361"/>
    </row>
    <row r="362" spans="1:39" ht="18" x14ac:dyDescent="0.45">
      <c r="A362" s="143"/>
      <c r="B362" s="252"/>
      <c r="C362" s="119"/>
      <c r="F362" s="119"/>
      <c r="I362" s="119"/>
      <c r="L362" s="119"/>
      <c r="O362" s="119"/>
      <c r="R362" s="119"/>
      <c r="U362" s="119"/>
      <c r="X362" s="119"/>
      <c r="AA362" s="119"/>
      <c r="AD362" s="119"/>
      <c r="AM362"/>
    </row>
    <row r="363" spans="1:39" ht="18" x14ac:dyDescent="0.45">
      <c r="A363" s="143"/>
      <c r="B363" s="252"/>
      <c r="C363" s="119"/>
      <c r="F363" s="119"/>
      <c r="I363" s="119"/>
      <c r="L363" s="119"/>
      <c r="O363" s="119"/>
      <c r="R363" s="119"/>
      <c r="U363" s="119"/>
      <c r="X363" s="119"/>
      <c r="AA363" s="119"/>
      <c r="AD363" s="119"/>
      <c r="AM363"/>
    </row>
    <row r="364" spans="1:39" ht="18" x14ac:dyDescent="0.45">
      <c r="A364" s="143"/>
      <c r="B364" s="252"/>
      <c r="C364" s="119"/>
      <c r="F364" s="119"/>
      <c r="I364" s="119"/>
      <c r="L364" s="119"/>
      <c r="O364" s="119"/>
      <c r="R364" s="119"/>
      <c r="U364" s="119"/>
      <c r="X364" s="119"/>
      <c r="AA364" s="119"/>
      <c r="AD364" s="119"/>
      <c r="AM364"/>
    </row>
    <row r="365" spans="1:39" ht="18" x14ac:dyDescent="0.45">
      <c r="A365" s="143"/>
      <c r="B365" s="252"/>
      <c r="C365" s="119"/>
      <c r="F365" s="119"/>
      <c r="I365" s="119"/>
      <c r="L365" s="119"/>
      <c r="O365" s="119"/>
      <c r="R365" s="119"/>
      <c r="U365" s="119"/>
      <c r="X365" s="119"/>
      <c r="AA365" s="119"/>
      <c r="AD365" s="119"/>
      <c r="AM365"/>
    </row>
    <row r="366" spans="1:39" ht="18" x14ac:dyDescent="0.45">
      <c r="A366" s="143"/>
      <c r="B366" s="252"/>
      <c r="C366" s="119"/>
      <c r="F366" s="119"/>
      <c r="I366" s="119"/>
      <c r="L366" s="119"/>
      <c r="O366" s="119"/>
      <c r="R366" s="119"/>
      <c r="U366" s="119"/>
      <c r="X366" s="119"/>
      <c r="AA366" s="119"/>
      <c r="AD366" s="119"/>
      <c r="AM366"/>
    </row>
    <row r="367" spans="1:39" ht="18" x14ac:dyDescent="0.45">
      <c r="A367" s="143"/>
      <c r="B367" s="252"/>
      <c r="C367" s="119"/>
      <c r="F367" s="119"/>
      <c r="I367" s="119"/>
      <c r="L367" s="119"/>
      <c r="O367" s="119"/>
      <c r="R367" s="119"/>
      <c r="U367" s="119"/>
      <c r="X367" s="119"/>
      <c r="AA367" s="119"/>
      <c r="AD367" s="119"/>
      <c r="AM367"/>
    </row>
    <row r="368" spans="1:39" ht="18" x14ac:dyDescent="0.45">
      <c r="A368" s="143"/>
      <c r="B368" s="252"/>
      <c r="C368" s="119"/>
      <c r="F368" s="119"/>
      <c r="I368" s="119"/>
      <c r="L368" s="119"/>
      <c r="O368" s="119"/>
      <c r="R368" s="119"/>
      <c r="U368" s="119"/>
      <c r="X368" s="119"/>
      <c r="AA368" s="119"/>
      <c r="AD368" s="119"/>
      <c r="AM368"/>
    </row>
    <row r="369" spans="1:39" ht="18" x14ac:dyDescent="0.45">
      <c r="A369" s="143"/>
      <c r="B369" s="252"/>
      <c r="C369" s="119"/>
      <c r="F369" s="119"/>
      <c r="I369" s="119"/>
      <c r="L369" s="119"/>
      <c r="O369" s="119"/>
      <c r="R369" s="119"/>
      <c r="U369" s="119"/>
      <c r="X369" s="119"/>
      <c r="AA369" s="119"/>
      <c r="AD369" s="119"/>
      <c r="AM369"/>
    </row>
    <row r="370" spans="1:39" ht="18" x14ac:dyDescent="0.45">
      <c r="A370" s="143"/>
      <c r="B370" s="252"/>
      <c r="C370" s="119"/>
      <c r="F370" s="119"/>
      <c r="I370" s="119"/>
      <c r="L370" s="119"/>
      <c r="O370" s="119"/>
      <c r="R370" s="119"/>
      <c r="U370" s="119"/>
      <c r="X370" s="119"/>
      <c r="AA370" s="119"/>
      <c r="AD370" s="119"/>
      <c r="AM370"/>
    </row>
    <row r="371" spans="1:39" ht="18" x14ac:dyDescent="0.45">
      <c r="A371" s="143"/>
      <c r="B371" s="252"/>
      <c r="C371" s="119"/>
      <c r="F371" s="119"/>
      <c r="I371" s="119"/>
      <c r="L371" s="119"/>
      <c r="O371" s="119"/>
      <c r="R371" s="119"/>
      <c r="U371" s="119"/>
      <c r="X371" s="119"/>
      <c r="AA371" s="119"/>
      <c r="AD371" s="119"/>
      <c r="AM371"/>
    </row>
    <row r="372" spans="1:39" ht="18" x14ac:dyDescent="0.45">
      <c r="A372" s="143"/>
      <c r="B372" s="252"/>
      <c r="C372" s="119"/>
      <c r="F372" s="119"/>
      <c r="I372" s="119"/>
      <c r="L372" s="119"/>
      <c r="O372" s="119"/>
      <c r="R372" s="119"/>
      <c r="U372" s="119"/>
      <c r="X372" s="119"/>
      <c r="AA372" s="119"/>
      <c r="AD372" s="119"/>
      <c r="AM372"/>
    </row>
    <row r="373" spans="1:39" ht="18" x14ac:dyDescent="0.45">
      <c r="A373" s="143"/>
      <c r="B373" s="252"/>
      <c r="C373" s="119"/>
      <c r="F373" s="119"/>
      <c r="I373" s="119"/>
      <c r="L373" s="119"/>
      <c r="O373" s="119"/>
      <c r="R373" s="119"/>
      <c r="U373" s="119"/>
      <c r="X373" s="119"/>
      <c r="AA373" s="119"/>
      <c r="AD373" s="119"/>
      <c r="AM373"/>
    </row>
    <row r="374" spans="1:39" ht="18" x14ac:dyDescent="0.45">
      <c r="A374" s="143"/>
      <c r="B374" s="252"/>
      <c r="C374" s="119"/>
      <c r="F374" s="119"/>
      <c r="I374" s="119"/>
      <c r="L374" s="119"/>
      <c r="O374" s="119"/>
      <c r="R374" s="119"/>
      <c r="U374" s="119"/>
      <c r="X374" s="119"/>
      <c r="AA374" s="119"/>
      <c r="AD374" s="119"/>
      <c r="AM374"/>
    </row>
    <row r="375" spans="1:39" ht="18" x14ac:dyDescent="0.45">
      <c r="A375" s="143"/>
      <c r="B375" s="252"/>
      <c r="C375" s="119"/>
      <c r="F375" s="119"/>
      <c r="I375" s="119"/>
      <c r="L375" s="119"/>
      <c r="O375" s="119"/>
      <c r="R375" s="119"/>
      <c r="U375" s="119"/>
      <c r="X375" s="119"/>
      <c r="AA375" s="119"/>
      <c r="AD375" s="119"/>
      <c r="AM375"/>
    </row>
    <row r="376" spans="1:39" ht="18" x14ac:dyDescent="0.45">
      <c r="A376" s="143"/>
      <c r="B376" s="252"/>
      <c r="C376" s="119"/>
      <c r="F376" s="119"/>
      <c r="I376" s="119"/>
      <c r="L376" s="119"/>
      <c r="O376" s="119"/>
      <c r="R376" s="119"/>
      <c r="U376" s="119"/>
      <c r="X376" s="119"/>
      <c r="AA376" s="119"/>
      <c r="AD376" s="119"/>
      <c r="AM376"/>
    </row>
    <row r="377" spans="1:39" ht="18" x14ac:dyDescent="0.45">
      <c r="A377" s="143"/>
      <c r="B377" s="252"/>
      <c r="C377" s="119"/>
      <c r="F377" s="119"/>
      <c r="I377" s="119"/>
      <c r="L377" s="119"/>
      <c r="O377" s="119"/>
      <c r="R377" s="119"/>
      <c r="U377" s="119"/>
      <c r="X377" s="119"/>
      <c r="AA377" s="119"/>
      <c r="AD377" s="119"/>
      <c r="AM377"/>
    </row>
    <row r="378" spans="1:39" ht="18" x14ac:dyDescent="0.45">
      <c r="A378" s="143"/>
      <c r="B378" s="252"/>
      <c r="C378" s="119"/>
      <c r="F378" s="119"/>
      <c r="I378" s="119"/>
      <c r="L378" s="119"/>
      <c r="O378" s="119"/>
      <c r="R378" s="119"/>
      <c r="U378" s="119"/>
      <c r="X378" s="119"/>
      <c r="AA378" s="119"/>
      <c r="AD378" s="119"/>
      <c r="AM378"/>
    </row>
    <row r="379" spans="1:39" ht="18" x14ac:dyDescent="0.45">
      <c r="A379" s="143"/>
      <c r="B379" s="252"/>
      <c r="C379" s="119"/>
      <c r="F379" s="119"/>
      <c r="I379" s="119"/>
      <c r="L379" s="119"/>
      <c r="O379" s="119"/>
      <c r="R379" s="119"/>
      <c r="U379" s="119"/>
      <c r="X379" s="119"/>
      <c r="AA379" s="119"/>
      <c r="AD379" s="119"/>
      <c r="AM379"/>
    </row>
    <row r="380" spans="1:39" ht="18" x14ac:dyDescent="0.45">
      <c r="A380" s="143"/>
      <c r="B380" s="252"/>
      <c r="C380" s="119"/>
      <c r="F380" s="119"/>
      <c r="I380" s="119"/>
      <c r="L380" s="119"/>
      <c r="O380" s="119"/>
      <c r="R380" s="119"/>
      <c r="U380" s="119"/>
      <c r="X380" s="119"/>
      <c r="AA380" s="119"/>
      <c r="AD380" s="119"/>
      <c r="AM380"/>
    </row>
    <row r="381" spans="1:39" ht="18" x14ac:dyDescent="0.45">
      <c r="A381" s="143"/>
      <c r="B381" s="252"/>
      <c r="C381" s="119"/>
      <c r="F381" s="119"/>
      <c r="I381" s="119"/>
      <c r="L381" s="119"/>
      <c r="O381" s="119"/>
      <c r="R381" s="119"/>
      <c r="U381" s="119"/>
      <c r="X381" s="119"/>
      <c r="AA381" s="119"/>
      <c r="AD381" s="119"/>
      <c r="AM381"/>
    </row>
    <row r="382" spans="1:39" ht="18" x14ac:dyDescent="0.45">
      <c r="A382" s="143"/>
      <c r="B382" s="252"/>
      <c r="C382" s="119"/>
      <c r="F382" s="119"/>
      <c r="I382" s="119"/>
      <c r="L382" s="119"/>
      <c r="O382" s="119"/>
      <c r="R382" s="119"/>
      <c r="U382" s="119"/>
      <c r="X382" s="119"/>
      <c r="AA382" s="119"/>
      <c r="AD382" s="119"/>
      <c r="AM382"/>
    </row>
    <row r="383" spans="1:39" ht="18" x14ac:dyDescent="0.45">
      <c r="A383" s="143"/>
      <c r="B383" s="252"/>
      <c r="C383" s="119"/>
      <c r="F383" s="119"/>
      <c r="I383" s="119"/>
      <c r="L383" s="119"/>
      <c r="O383" s="119"/>
      <c r="R383" s="119"/>
      <c r="U383" s="119"/>
      <c r="X383" s="119"/>
      <c r="AA383" s="119"/>
      <c r="AD383" s="119"/>
      <c r="AM383"/>
    </row>
    <row r="384" spans="1:39" ht="18" x14ac:dyDescent="0.45">
      <c r="A384" s="143"/>
      <c r="B384" s="252"/>
      <c r="C384" s="119"/>
      <c r="F384" s="119"/>
      <c r="I384" s="119"/>
      <c r="L384" s="119"/>
      <c r="O384" s="119"/>
      <c r="R384" s="119"/>
      <c r="U384" s="119"/>
      <c r="X384" s="119"/>
      <c r="AA384" s="119"/>
      <c r="AD384" s="119"/>
      <c r="AM384"/>
    </row>
    <row r="385" spans="1:39" ht="18" x14ac:dyDescent="0.45">
      <c r="A385" s="143"/>
      <c r="B385" s="252"/>
      <c r="C385" s="119"/>
      <c r="F385" s="119"/>
      <c r="I385" s="119"/>
      <c r="L385" s="119"/>
      <c r="O385" s="119"/>
      <c r="R385" s="119"/>
      <c r="U385" s="119"/>
      <c r="X385" s="119"/>
      <c r="AA385" s="119"/>
      <c r="AD385" s="119"/>
      <c r="AM385"/>
    </row>
    <row r="386" spans="1:39" ht="18" x14ac:dyDescent="0.45">
      <c r="A386" s="143"/>
      <c r="B386" s="252"/>
      <c r="C386" s="119"/>
      <c r="F386" s="119"/>
      <c r="I386" s="119"/>
      <c r="L386" s="119"/>
      <c r="O386" s="119"/>
      <c r="R386" s="119"/>
      <c r="U386" s="119"/>
      <c r="X386" s="119"/>
      <c r="AA386" s="119"/>
      <c r="AD386" s="119"/>
      <c r="AM386"/>
    </row>
    <row r="387" spans="1:39" ht="18" x14ac:dyDescent="0.45">
      <c r="A387" s="143"/>
      <c r="B387" s="252"/>
      <c r="C387" s="119"/>
      <c r="F387" s="119"/>
      <c r="I387" s="119"/>
      <c r="L387" s="119"/>
      <c r="O387" s="119"/>
      <c r="R387" s="119"/>
      <c r="U387" s="119"/>
      <c r="X387" s="119"/>
      <c r="AA387" s="119"/>
      <c r="AD387" s="119"/>
      <c r="AM387"/>
    </row>
    <row r="388" spans="1:39" ht="18" x14ac:dyDescent="0.45">
      <c r="A388" s="143"/>
      <c r="B388" s="252"/>
      <c r="C388" s="119"/>
      <c r="F388" s="119"/>
      <c r="I388" s="119"/>
      <c r="L388" s="119"/>
      <c r="O388" s="119"/>
      <c r="R388" s="119"/>
      <c r="U388" s="119"/>
      <c r="X388" s="119"/>
      <c r="AA388" s="119"/>
      <c r="AD388" s="119"/>
      <c r="AM388"/>
    </row>
    <row r="389" spans="1:39" ht="18" x14ac:dyDescent="0.45">
      <c r="A389" s="143"/>
      <c r="B389" s="252"/>
      <c r="C389" s="119"/>
      <c r="F389" s="119"/>
      <c r="I389" s="119"/>
      <c r="L389" s="119"/>
      <c r="O389" s="119"/>
      <c r="R389" s="119"/>
      <c r="U389" s="119"/>
      <c r="X389" s="119"/>
      <c r="AA389" s="119"/>
      <c r="AD389" s="119"/>
      <c r="AM389"/>
    </row>
    <row r="390" spans="1:39" ht="18" x14ac:dyDescent="0.45">
      <c r="A390" s="143"/>
      <c r="B390" s="252"/>
      <c r="C390" s="119"/>
      <c r="F390" s="119"/>
      <c r="I390" s="119"/>
      <c r="L390" s="119"/>
      <c r="O390" s="119"/>
      <c r="R390" s="119"/>
      <c r="U390" s="119"/>
      <c r="X390" s="119"/>
      <c r="AA390" s="119"/>
      <c r="AD390" s="119"/>
      <c r="AM390"/>
    </row>
    <row r="391" spans="1:39" ht="18" x14ac:dyDescent="0.45">
      <c r="A391" s="143"/>
      <c r="B391" s="252"/>
      <c r="C391" s="119"/>
      <c r="F391" s="119"/>
      <c r="I391" s="119"/>
      <c r="L391" s="119"/>
      <c r="O391" s="119"/>
      <c r="R391" s="119"/>
      <c r="U391" s="119"/>
      <c r="X391" s="119"/>
      <c r="AA391" s="119"/>
      <c r="AD391" s="119"/>
      <c r="AM391"/>
    </row>
    <row r="392" spans="1:39" ht="18" x14ac:dyDescent="0.45">
      <c r="A392" s="143"/>
      <c r="B392" s="252"/>
      <c r="C392" s="119"/>
      <c r="F392" s="119"/>
      <c r="I392" s="119"/>
      <c r="L392" s="119"/>
      <c r="O392" s="119"/>
      <c r="R392" s="119"/>
      <c r="U392" s="119"/>
      <c r="X392" s="119"/>
      <c r="AA392" s="119"/>
      <c r="AD392" s="119"/>
      <c r="AM392"/>
    </row>
    <row r="393" spans="1:39" ht="18" x14ac:dyDescent="0.45">
      <c r="A393" s="143"/>
      <c r="B393" s="252"/>
      <c r="C393" s="119"/>
      <c r="F393" s="119"/>
      <c r="I393" s="119"/>
      <c r="L393" s="119"/>
      <c r="O393" s="119"/>
      <c r="R393" s="119"/>
      <c r="U393" s="119"/>
      <c r="X393" s="119"/>
      <c r="AA393" s="119"/>
      <c r="AD393" s="119"/>
      <c r="AM393"/>
    </row>
    <row r="394" spans="1:39" ht="18" x14ac:dyDescent="0.45">
      <c r="A394" s="143"/>
      <c r="B394" s="252"/>
      <c r="C394" s="119"/>
      <c r="F394" s="119"/>
      <c r="I394" s="119"/>
      <c r="L394" s="119"/>
      <c r="O394" s="119"/>
      <c r="R394" s="119"/>
      <c r="U394" s="119"/>
      <c r="X394" s="119"/>
      <c r="AA394" s="119"/>
      <c r="AD394" s="119"/>
      <c r="AM394"/>
    </row>
    <row r="395" spans="1:39" ht="18" x14ac:dyDescent="0.45">
      <c r="A395" s="143"/>
      <c r="B395" s="252"/>
      <c r="C395" s="119"/>
      <c r="F395" s="119"/>
      <c r="I395" s="119"/>
      <c r="L395" s="119"/>
      <c r="O395" s="119"/>
      <c r="R395" s="119"/>
      <c r="U395" s="119"/>
      <c r="X395" s="119"/>
      <c r="AA395" s="119"/>
      <c r="AD395" s="119"/>
      <c r="AM395"/>
    </row>
    <row r="396" spans="1:39" ht="18" x14ac:dyDescent="0.45">
      <c r="A396" s="143"/>
      <c r="B396" s="252"/>
      <c r="C396" s="119"/>
      <c r="F396" s="119"/>
      <c r="I396" s="119"/>
      <c r="L396" s="119"/>
      <c r="O396" s="119"/>
      <c r="R396" s="119"/>
      <c r="U396" s="119"/>
      <c r="X396" s="119"/>
      <c r="AA396" s="119"/>
      <c r="AD396" s="119"/>
      <c r="AM396"/>
    </row>
    <row r="397" spans="1:39" ht="18" x14ac:dyDescent="0.45">
      <c r="A397" s="143"/>
      <c r="B397" s="252"/>
      <c r="C397" s="119"/>
      <c r="F397" s="119"/>
      <c r="I397" s="119"/>
      <c r="L397" s="119"/>
      <c r="O397" s="119"/>
      <c r="R397" s="119"/>
      <c r="U397" s="119"/>
      <c r="X397" s="119"/>
      <c r="AA397" s="119"/>
      <c r="AD397" s="119"/>
      <c r="AM397"/>
    </row>
    <row r="398" spans="1:39" ht="18" x14ac:dyDescent="0.45">
      <c r="A398" s="143"/>
      <c r="B398" s="252"/>
      <c r="C398" s="119"/>
      <c r="F398" s="119"/>
      <c r="I398" s="119"/>
      <c r="L398" s="119"/>
      <c r="O398" s="119"/>
      <c r="R398" s="119"/>
      <c r="U398" s="119"/>
      <c r="X398" s="119"/>
      <c r="AA398" s="119"/>
      <c r="AD398" s="119"/>
      <c r="AM398"/>
    </row>
    <row r="399" spans="1:39" ht="18" x14ac:dyDescent="0.45">
      <c r="A399" s="143"/>
      <c r="B399" s="252"/>
      <c r="C399" s="119"/>
      <c r="F399" s="119"/>
      <c r="I399" s="119"/>
      <c r="L399" s="119"/>
      <c r="O399" s="119"/>
      <c r="R399" s="119"/>
      <c r="U399" s="119"/>
      <c r="X399" s="119"/>
      <c r="AA399" s="119"/>
      <c r="AD399" s="119"/>
      <c r="AM399"/>
    </row>
    <row r="400" spans="1:39" ht="18" x14ac:dyDescent="0.45">
      <c r="A400" s="143"/>
      <c r="B400" s="252"/>
      <c r="C400" s="119"/>
      <c r="F400" s="119"/>
      <c r="I400" s="119"/>
      <c r="L400" s="119"/>
      <c r="O400" s="119"/>
      <c r="R400" s="119"/>
      <c r="U400" s="119"/>
      <c r="X400" s="119"/>
      <c r="AA400" s="119"/>
      <c r="AD400" s="119"/>
      <c r="AM400"/>
    </row>
    <row r="401" spans="1:39" ht="18" x14ac:dyDescent="0.45">
      <c r="A401" s="143"/>
      <c r="B401" s="252"/>
      <c r="C401" s="119"/>
      <c r="F401" s="119"/>
      <c r="I401" s="119"/>
      <c r="L401" s="119"/>
      <c r="O401" s="119"/>
      <c r="R401" s="119"/>
      <c r="U401" s="119"/>
      <c r="X401" s="119"/>
      <c r="AA401" s="119"/>
      <c r="AD401" s="119"/>
      <c r="AM401"/>
    </row>
    <row r="402" spans="1:39" ht="18" x14ac:dyDescent="0.45">
      <c r="A402" s="143"/>
      <c r="B402" s="252"/>
      <c r="C402" s="119"/>
      <c r="F402" s="119"/>
      <c r="I402" s="119"/>
      <c r="L402" s="119"/>
      <c r="O402" s="119"/>
      <c r="R402" s="119"/>
      <c r="U402" s="119"/>
      <c r="X402" s="119"/>
      <c r="AA402" s="119"/>
      <c r="AD402" s="119"/>
      <c r="AM402"/>
    </row>
    <row r="403" spans="1:39" ht="18" x14ac:dyDescent="0.45">
      <c r="A403" s="143"/>
      <c r="B403" s="252"/>
      <c r="C403" s="119"/>
      <c r="F403" s="119"/>
      <c r="I403" s="119"/>
      <c r="L403" s="119"/>
      <c r="O403" s="119"/>
      <c r="R403" s="119"/>
      <c r="U403" s="119"/>
      <c r="X403" s="119"/>
      <c r="AA403" s="119"/>
      <c r="AD403" s="119"/>
      <c r="AM403"/>
    </row>
    <row r="404" spans="1:39" ht="18" x14ac:dyDescent="0.45">
      <c r="A404" s="143"/>
      <c r="B404" s="252"/>
      <c r="C404" s="119"/>
      <c r="F404" s="119"/>
      <c r="I404" s="119"/>
      <c r="L404" s="119"/>
      <c r="O404" s="119"/>
      <c r="R404" s="119"/>
      <c r="U404" s="119"/>
      <c r="X404" s="119"/>
      <c r="AA404" s="119"/>
      <c r="AD404" s="119"/>
      <c r="AM404"/>
    </row>
    <row r="405" spans="1:39" ht="18" x14ac:dyDescent="0.45">
      <c r="A405" s="143"/>
      <c r="B405" s="252"/>
      <c r="C405" s="119"/>
      <c r="F405" s="119"/>
      <c r="I405" s="119"/>
      <c r="L405" s="119"/>
      <c r="O405" s="119"/>
      <c r="R405" s="119"/>
      <c r="U405" s="119"/>
      <c r="X405" s="119"/>
      <c r="AA405" s="119"/>
      <c r="AD405" s="119"/>
      <c r="AM405"/>
    </row>
    <row r="406" spans="1:39" ht="18" x14ac:dyDescent="0.45">
      <c r="A406" s="143"/>
      <c r="B406" s="252"/>
      <c r="C406" s="119"/>
      <c r="F406" s="119"/>
      <c r="I406" s="119"/>
      <c r="L406" s="119"/>
      <c r="O406" s="119"/>
      <c r="R406" s="119"/>
      <c r="U406" s="119"/>
      <c r="X406" s="119"/>
      <c r="AA406" s="119"/>
      <c r="AD406" s="119"/>
      <c r="AM406"/>
    </row>
    <row r="407" spans="1:39" ht="18" x14ac:dyDescent="0.45">
      <c r="A407" s="143"/>
      <c r="B407" s="252"/>
      <c r="C407" s="119"/>
      <c r="F407" s="119"/>
      <c r="I407" s="119"/>
      <c r="L407" s="119"/>
      <c r="O407" s="119"/>
      <c r="R407" s="119"/>
      <c r="U407" s="119"/>
      <c r="X407" s="119"/>
      <c r="AA407" s="119"/>
      <c r="AD407" s="119"/>
      <c r="AM407"/>
    </row>
    <row r="408" spans="1:39" ht="18" x14ac:dyDescent="0.45">
      <c r="A408" s="143"/>
      <c r="B408" s="252"/>
      <c r="C408" s="119"/>
      <c r="F408" s="119"/>
      <c r="I408" s="119"/>
      <c r="L408" s="119"/>
      <c r="O408" s="119"/>
      <c r="R408" s="119"/>
      <c r="U408" s="119"/>
      <c r="X408" s="119"/>
      <c r="AA408" s="119"/>
      <c r="AD408" s="119"/>
      <c r="AM408"/>
    </row>
    <row r="409" spans="1:39" ht="18" x14ac:dyDescent="0.45">
      <c r="A409" s="143"/>
      <c r="B409" s="252"/>
      <c r="C409" s="119"/>
      <c r="F409" s="119"/>
      <c r="I409" s="119"/>
      <c r="L409" s="119"/>
      <c r="O409" s="119"/>
      <c r="R409" s="119"/>
      <c r="U409" s="119"/>
      <c r="X409" s="119"/>
      <c r="AA409" s="119"/>
      <c r="AD409" s="119"/>
      <c r="AM409"/>
    </row>
    <row r="410" spans="1:39" ht="18" x14ac:dyDescent="0.45">
      <c r="A410" s="143"/>
      <c r="B410" s="252"/>
      <c r="C410" s="119"/>
      <c r="F410" s="119"/>
      <c r="I410" s="119"/>
      <c r="L410" s="119"/>
      <c r="O410" s="119"/>
      <c r="R410" s="119"/>
      <c r="U410" s="119"/>
      <c r="X410" s="119"/>
      <c r="AA410" s="119"/>
      <c r="AD410" s="119"/>
      <c r="AM410"/>
    </row>
    <row r="411" spans="1:39" ht="18" x14ac:dyDescent="0.45">
      <c r="A411" s="143"/>
      <c r="B411" s="252"/>
      <c r="C411" s="119"/>
      <c r="F411" s="119"/>
      <c r="I411" s="119"/>
      <c r="L411" s="119"/>
      <c r="O411" s="119"/>
      <c r="R411" s="119"/>
      <c r="U411" s="119"/>
      <c r="X411" s="119"/>
      <c r="AA411" s="119"/>
      <c r="AD411" s="119"/>
      <c r="AM411"/>
    </row>
    <row r="412" spans="1:39" ht="18" x14ac:dyDescent="0.45">
      <c r="A412" s="143"/>
      <c r="B412" s="252"/>
      <c r="C412" s="119"/>
      <c r="F412" s="119"/>
      <c r="I412" s="119"/>
      <c r="L412" s="119"/>
      <c r="O412" s="119"/>
      <c r="R412" s="119"/>
      <c r="U412" s="119"/>
      <c r="X412" s="119"/>
      <c r="AA412" s="119"/>
      <c r="AD412" s="119"/>
      <c r="AM412"/>
    </row>
    <row r="413" spans="1:39" ht="18" x14ac:dyDescent="0.45">
      <c r="A413" s="143"/>
      <c r="B413" s="252"/>
      <c r="C413" s="119"/>
      <c r="F413" s="119"/>
      <c r="I413" s="119"/>
      <c r="L413" s="119"/>
      <c r="O413" s="119"/>
      <c r="R413" s="119"/>
      <c r="U413" s="119"/>
      <c r="X413" s="119"/>
      <c r="AA413" s="119"/>
      <c r="AD413" s="119"/>
      <c r="AM413"/>
    </row>
    <row r="414" spans="1:39" ht="18" x14ac:dyDescent="0.45">
      <c r="A414" s="143"/>
      <c r="B414" s="252"/>
      <c r="C414" s="119"/>
      <c r="F414" s="119"/>
      <c r="I414" s="119"/>
      <c r="L414" s="119"/>
      <c r="O414" s="119"/>
      <c r="R414" s="119"/>
      <c r="U414" s="119"/>
      <c r="X414" s="119"/>
      <c r="AA414" s="119"/>
      <c r="AD414" s="119"/>
      <c r="AM414"/>
    </row>
    <row r="415" spans="1:39" ht="18" x14ac:dyDescent="0.45">
      <c r="A415" s="143"/>
      <c r="B415" s="252"/>
      <c r="C415" s="119"/>
      <c r="F415" s="119"/>
      <c r="I415" s="119"/>
      <c r="L415" s="119"/>
      <c r="O415" s="119"/>
      <c r="R415" s="119"/>
      <c r="U415" s="119"/>
      <c r="X415" s="119"/>
      <c r="AA415" s="119"/>
      <c r="AD415" s="119"/>
      <c r="AM415"/>
    </row>
    <row r="416" spans="1:39" ht="18" x14ac:dyDescent="0.45">
      <c r="A416" s="143"/>
      <c r="B416" s="252"/>
      <c r="C416" s="119"/>
      <c r="F416" s="119"/>
      <c r="I416" s="119"/>
      <c r="L416" s="119"/>
      <c r="O416" s="119"/>
      <c r="R416" s="119"/>
      <c r="U416" s="119"/>
      <c r="X416" s="119"/>
      <c r="AA416" s="119"/>
      <c r="AD416" s="119"/>
      <c r="AM416"/>
    </row>
    <row r="417" spans="1:39" ht="18" x14ac:dyDescent="0.45">
      <c r="A417" s="143"/>
      <c r="B417" s="252"/>
      <c r="C417" s="119"/>
      <c r="F417" s="119"/>
      <c r="I417" s="119"/>
      <c r="L417" s="119"/>
      <c r="O417" s="119"/>
      <c r="R417" s="119"/>
      <c r="U417" s="119"/>
      <c r="X417" s="119"/>
      <c r="AA417" s="119"/>
      <c r="AD417" s="119"/>
      <c r="AM417"/>
    </row>
    <row r="418" spans="1:39" ht="18" x14ac:dyDescent="0.45">
      <c r="A418" s="143"/>
      <c r="B418" s="252"/>
      <c r="C418" s="119"/>
      <c r="F418" s="119"/>
      <c r="I418" s="119"/>
      <c r="L418" s="119"/>
      <c r="O418" s="119"/>
      <c r="R418" s="119"/>
      <c r="U418" s="119"/>
      <c r="X418" s="119"/>
      <c r="AA418" s="119"/>
      <c r="AD418" s="119"/>
      <c r="AM418"/>
    </row>
    <row r="419" spans="1:39" ht="18" x14ac:dyDescent="0.45">
      <c r="A419" s="143"/>
      <c r="B419" s="252"/>
      <c r="C419" s="119"/>
      <c r="F419" s="119"/>
      <c r="I419" s="119"/>
      <c r="L419" s="119"/>
      <c r="O419" s="119"/>
      <c r="R419" s="119"/>
      <c r="U419" s="119"/>
      <c r="X419" s="119"/>
      <c r="AA419" s="119"/>
      <c r="AD419" s="119"/>
      <c r="AM419"/>
    </row>
    <row r="420" spans="1:39" ht="18" x14ac:dyDescent="0.45">
      <c r="A420" s="143"/>
      <c r="B420" s="252"/>
      <c r="C420" s="119"/>
      <c r="F420" s="119"/>
      <c r="I420" s="119"/>
      <c r="L420" s="119"/>
      <c r="O420" s="119"/>
      <c r="R420" s="119"/>
      <c r="U420" s="119"/>
      <c r="X420" s="119"/>
      <c r="AA420" s="119"/>
      <c r="AD420" s="119"/>
      <c r="AM420"/>
    </row>
    <row r="421" spans="1:39" ht="18" x14ac:dyDescent="0.45">
      <c r="A421" s="143"/>
      <c r="B421" s="252"/>
      <c r="C421" s="119"/>
      <c r="F421" s="119"/>
      <c r="I421" s="119"/>
      <c r="L421" s="119"/>
      <c r="O421" s="119"/>
      <c r="R421" s="119"/>
      <c r="U421" s="119"/>
      <c r="X421" s="119"/>
      <c r="AA421" s="119"/>
      <c r="AD421" s="119"/>
      <c r="AM421"/>
    </row>
    <row r="422" spans="1:39" ht="18" x14ac:dyDescent="0.45">
      <c r="A422" s="143"/>
      <c r="B422" s="252"/>
      <c r="C422" s="119"/>
      <c r="F422" s="119"/>
      <c r="I422" s="119"/>
      <c r="L422" s="119"/>
      <c r="O422" s="119"/>
      <c r="R422" s="119"/>
      <c r="U422" s="119"/>
      <c r="X422" s="119"/>
      <c r="AA422" s="119"/>
      <c r="AD422" s="119"/>
      <c r="AM422"/>
    </row>
    <row r="423" spans="1:39" ht="18" x14ac:dyDescent="0.45">
      <c r="A423" s="143"/>
      <c r="B423" s="252"/>
      <c r="C423" s="119"/>
      <c r="F423" s="119"/>
      <c r="I423" s="119"/>
      <c r="L423" s="119"/>
      <c r="O423" s="119"/>
      <c r="R423" s="119"/>
      <c r="U423" s="119"/>
      <c r="X423" s="119"/>
      <c r="AA423" s="119"/>
      <c r="AD423" s="119"/>
      <c r="AM423"/>
    </row>
    <row r="424" spans="1:39" ht="18" x14ac:dyDescent="0.45">
      <c r="A424" s="143"/>
      <c r="B424" s="252"/>
      <c r="C424" s="119"/>
      <c r="F424" s="119"/>
      <c r="I424" s="119"/>
      <c r="L424" s="119"/>
      <c r="O424" s="119"/>
      <c r="R424" s="119"/>
      <c r="U424" s="119"/>
      <c r="X424" s="119"/>
      <c r="AA424" s="119"/>
      <c r="AD424" s="119"/>
      <c r="AM424"/>
    </row>
    <row r="425" spans="1:39" ht="18" x14ac:dyDescent="0.45">
      <c r="A425" s="143"/>
      <c r="B425" s="252"/>
      <c r="C425" s="119"/>
      <c r="F425" s="119"/>
      <c r="I425" s="119"/>
      <c r="L425" s="119"/>
      <c r="O425" s="119"/>
      <c r="R425" s="119"/>
      <c r="U425" s="119"/>
      <c r="X425" s="119"/>
      <c r="AA425" s="119"/>
      <c r="AD425" s="119"/>
      <c r="AM425"/>
    </row>
    <row r="426" spans="1:39" ht="18" x14ac:dyDescent="0.45">
      <c r="A426" s="143"/>
      <c r="B426" s="252"/>
      <c r="C426" s="119"/>
      <c r="F426" s="119"/>
      <c r="I426" s="119"/>
      <c r="L426" s="119"/>
      <c r="O426" s="119"/>
      <c r="R426" s="119"/>
      <c r="U426" s="119"/>
      <c r="X426" s="119"/>
      <c r="AA426" s="119"/>
      <c r="AD426" s="119"/>
      <c r="AM426"/>
    </row>
    <row r="427" spans="1:39" ht="18" x14ac:dyDescent="0.45">
      <c r="A427" s="143"/>
      <c r="B427" s="252"/>
      <c r="C427" s="119"/>
      <c r="F427" s="119"/>
      <c r="I427" s="119"/>
      <c r="L427" s="119"/>
      <c r="O427" s="119"/>
      <c r="R427" s="119"/>
      <c r="U427" s="119"/>
      <c r="X427" s="119"/>
      <c r="AA427" s="119"/>
      <c r="AD427" s="119"/>
      <c r="AM427"/>
    </row>
    <row r="428" spans="1:39" ht="18" x14ac:dyDescent="0.45">
      <c r="A428" s="143"/>
      <c r="B428" s="252"/>
      <c r="C428" s="119"/>
      <c r="F428" s="119"/>
      <c r="I428" s="119"/>
      <c r="L428" s="119"/>
      <c r="O428" s="119"/>
      <c r="R428" s="119"/>
      <c r="U428" s="119"/>
      <c r="X428" s="119"/>
      <c r="AA428" s="119"/>
      <c r="AD428" s="119"/>
      <c r="AM428"/>
    </row>
    <row r="429" spans="1:39" ht="18" x14ac:dyDescent="0.45">
      <c r="A429" s="143"/>
      <c r="B429" s="252"/>
      <c r="C429" s="119"/>
      <c r="F429" s="119"/>
      <c r="I429" s="119"/>
      <c r="L429" s="119"/>
      <c r="O429" s="119"/>
      <c r="R429" s="119"/>
      <c r="U429" s="119"/>
      <c r="X429" s="119"/>
      <c r="AA429" s="119"/>
      <c r="AD429" s="119"/>
      <c r="AM429"/>
    </row>
    <row r="430" spans="1:39" ht="18" x14ac:dyDescent="0.45">
      <c r="A430" s="143"/>
      <c r="B430" s="252"/>
      <c r="C430" s="119"/>
      <c r="F430" s="119"/>
      <c r="I430" s="119"/>
      <c r="L430" s="119"/>
      <c r="O430" s="119"/>
      <c r="R430" s="119"/>
      <c r="U430" s="119"/>
      <c r="X430" s="119"/>
      <c r="AA430" s="119"/>
      <c r="AD430" s="119"/>
      <c r="AM430"/>
    </row>
    <row r="431" spans="1:39" ht="18" x14ac:dyDescent="0.45">
      <c r="A431" s="143"/>
      <c r="B431" s="252"/>
      <c r="C431" s="119"/>
      <c r="F431" s="119"/>
      <c r="I431" s="119"/>
      <c r="L431" s="119"/>
      <c r="O431" s="119"/>
      <c r="R431" s="119"/>
      <c r="U431" s="119"/>
      <c r="X431" s="119"/>
      <c r="AA431" s="119"/>
      <c r="AD431" s="119"/>
      <c r="AM431"/>
    </row>
    <row r="432" spans="1:39" ht="18" x14ac:dyDescent="0.45">
      <c r="A432" s="143"/>
      <c r="B432" s="252"/>
      <c r="C432" s="119"/>
      <c r="F432" s="119"/>
      <c r="I432" s="119"/>
      <c r="L432" s="119"/>
      <c r="O432" s="119"/>
      <c r="R432" s="119"/>
      <c r="U432" s="119"/>
      <c r="X432" s="119"/>
      <c r="AA432" s="119"/>
      <c r="AD432" s="119"/>
      <c r="AM432"/>
    </row>
    <row r="433" spans="1:39" ht="18" x14ac:dyDescent="0.45">
      <c r="A433" s="143"/>
      <c r="B433" s="252"/>
      <c r="C433" s="119"/>
      <c r="F433" s="119"/>
      <c r="I433" s="119"/>
      <c r="L433" s="119"/>
      <c r="O433" s="119"/>
      <c r="R433" s="119"/>
      <c r="U433" s="119"/>
      <c r="X433" s="119"/>
      <c r="AA433" s="119"/>
      <c r="AD433" s="119"/>
      <c r="AM433"/>
    </row>
    <row r="434" spans="1:39" ht="18" x14ac:dyDescent="0.45">
      <c r="A434" s="143"/>
      <c r="B434" s="252"/>
      <c r="C434" s="119"/>
      <c r="F434" s="119"/>
      <c r="I434" s="119"/>
      <c r="L434" s="119"/>
      <c r="O434" s="119"/>
      <c r="R434" s="119"/>
      <c r="U434" s="119"/>
      <c r="X434" s="119"/>
      <c r="AA434" s="119"/>
      <c r="AD434" s="119"/>
      <c r="AM434"/>
    </row>
    <row r="435" spans="1:39" ht="18" x14ac:dyDescent="0.45">
      <c r="A435" s="143"/>
      <c r="B435" s="252"/>
      <c r="C435" s="119"/>
      <c r="F435" s="119"/>
      <c r="I435" s="119"/>
      <c r="L435" s="119"/>
      <c r="O435" s="119"/>
      <c r="R435" s="119"/>
      <c r="U435" s="119"/>
      <c r="X435" s="119"/>
      <c r="AA435" s="119"/>
      <c r="AD435" s="119"/>
      <c r="AM435"/>
    </row>
    <row r="436" spans="1:39" ht="18" x14ac:dyDescent="0.45">
      <c r="A436" s="143"/>
      <c r="B436" s="252"/>
      <c r="C436" s="119"/>
      <c r="F436" s="119"/>
      <c r="I436" s="119"/>
      <c r="L436" s="119"/>
      <c r="O436" s="119"/>
      <c r="R436" s="119"/>
      <c r="U436" s="119"/>
      <c r="X436" s="119"/>
      <c r="AA436" s="119"/>
      <c r="AD436" s="119"/>
      <c r="AM436"/>
    </row>
    <row r="437" spans="1:39" ht="18" x14ac:dyDescent="0.45">
      <c r="A437" s="143"/>
      <c r="B437" s="252"/>
      <c r="C437" s="119"/>
      <c r="F437" s="119"/>
      <c r="I437" s="119"/>
      <c r="L437" s="119"/>
      <c r="O437" s="119"/>
      <c r="R437" s="119"/>
      <c r="U437" s="119"/>
      <c r="X437" s="119"/>
      <c r="AA437" s="119"/>
      <c r="AD437" s="119"/>
      <c r="AM437"/>
    </row>
    <row r="438" spans="1:39" ht="18" x14ac:dyDescent="0.45">
      <c r="A438" s="143"/>
      <c r="B438" s="252"/>
      <c r="C438" s="119"/>
      <c r="F438" s="119"/>
      <c r="I438" s="119"/>
      <c r="L438" s="119"/>
      <c r="O438" s="119"/>
      <c r="R438" s="119"/>
      <c r="U438" s="119"/>
      <c r="X438" s="119"/>
      <c r="AA438" s="119"/>
      <c r="AD438" s="119"/>
      <c r="AM438"/>
    </row>
    <row r="439" spans="1:39" ht="18" x14ac:dyDescent="0.45">
      <c r="A439" s="143"/>
      <c r="B439" s="252"/>
      <c r="C439" s="119"/>
      <c r="F439" s="119"/>
      <c r="I439" s="119"/>
      <c r="L439" s="119"/>
      <c r="O439" s="119"/>
      <c r="R439" s="119"/>
      <c r="U439" s="119"/>
      <c r="X439" s="119"/>
      <c r="AA439" s="119"/>
      <c r="AD439" s="119"/>
      <c r="AM439"/>
    </row>
    <row r="440" spans="1:39" ht="18" x14ac:dyDescent="0.45">
      <c r="A440" s="143"/>
      <c r="B440" s="252"/>
      <c r="C440" s="119"/>
      <c r="F440" s="119"/>
      <c r="I440" s="119"/>
      <c r="L440" s="119"/>
      <c r="O440" s="119"/>
      <c r="R440" s="119"/>
      <c r="U440" s="119"/>
      <c r="X440" s="119"/>
      <c r="AA440" s="119"/>
      <c r="AD440" s="119"/>
      <c r="AM440"/>
    </row>
    <row r="441" spans="1:39" ht="18" x14ac:dyDescent="0.45">
      <c r="A441" s="143"/>
      <c r="B441" s="252"/>
      <c r="C441" s="119"/>
      <c r="F441" s="119"/>
      <c r="I441" s="119"/>
      <c r="L441" s="119"/>
      <c r="O441" s="119"/>
      <c r="R441" s="119"/>
      <c r="U441" s="119"/>
      <c r="X441" s="119"/>
      <c r="AA441" s="119"/>
      <c r="AD441" s="119"/>
      <c r="AM441"/>
    </row>
    <row r="442" spans="1:39" ht="18" x14ac:dyDescent="0.45">
      <c r="A442" s="143"/>
      <c r="B442" s="252"/>
      <c r="C442" s="119"/>
      <c r="F442" s="119"/>
      <c r="I442" s="119"/>
      <c r="L442" s="119"/>
      <c r="O442" s="119"/>
      <c r="R442" s="119"/>
      <c r="U442" s="119"/>
      <c r="X442" s="119"/>
      <c r="AA442" s="119"/>
      <c r="AD442" s="119"/>
      <c r="AM442"/>
    </row>
    <row r="443" spans="1:39" ht="18" x14ac:dyDescent="0.45">
      <c r="A443" s="143"/>
      <c r="B443" s="252"/>
      <c r="C443" s="119"/>
      <c r="F443" s="119"/>
      <c r="I443" s="119"/>
      <c r="L443" s="119"/>
      <c r="O443" s="119"/>
      <c r="R443" s="119"/>
      <c r="U443" s="119"/>
      <c r="X443" s="119"/>
      <c r="AA443" s="119"/>
      <c r="AD443" s="119"/>
      <c r="AM443"/>
    </row>
    <row r="444" spans="1:39" ht="18" x14ac:dyDescent="0.45">
      <c r="A444" s="143"/>
      <c r="B444" s="252"/>
      <c r="C444" s="119"/>
      <c r="F444" s="119"/>
      <c r="I444" s="119"/>
      <c r="L444" s="119"/>
      <c r="O444" s="119"/>
      <c r="R444" s="119"/>
      <c r="U444" s="119"/>
      <c r="X444" s="119"/>
      <c r="AA444" s="119"/>
      <c r="AD444" s="119"/>
      <c r="AM444"/>
    </row>
    <row r="445" spans="1:39" ht="18" x14ac:dyDescent="0.45">
      <c r="A445" s="143"/>
      <c r="B445" s="252"/>
      <c r="C445" s="119"/>
      <c r="F445" s="119"/>
      <c r="I445" s="119"/>
      <c r="L445" s="119"/>
      <c r="O445" s="119"/>
      <c r="R445" s="119"/>
      <c r="U445" s="119"/>
      <c r="X445" s="119"/>
      <c r="AA445" s="119"/>
      <c r="AD445" s="119"/>
      <c r="AM445"/>
    </row>
    <row r="446" spans="1:39" ht="18" x14ac:dyDescent="0.45">
      <c r="A446" s="143"/>
      <c r="B446" s="252"/>
      <c r="C446" s="119"/>
      <c r="F446" s="119"/>
      <c r="I446" s="119"/>
      <c r="L446" s="119"/>
      <c r="O446" s="119"/>
      <c r="R446" s="119"/>
      <c r="U446" s="119"/>
      <c r="X446" s="119"/>
      <c r="AA446" s="119"/>
      <c r="AD446" s="119"/>
      <c r="AM446"/>
    </row>
    <row r="447" spans="1:39" ht="18" x14ac:dyDescent="0.45">
      <c r="A447" s="143"/>
      <c r="B447" s="252"/>
      <c r="C447" s="119"/>
      <c r="F447" s="119"/>
      <c r="I447" s="119"/>
      <c r="L447" s="119"/>
      <c r="O447" s="119"/>
      <c r="R447" s="119"/>
      <c r="U447" s="119"/>
      <c r="X447" s="119"/>
      <c r="AA447" s="119"/>
      <c r="AD447" s="119"/>
      <c r="AM447"/>
    </row>
    <row r="448" spans="1:39" ht="18" x14ac:dyDescent="0.45">
      <c r="A448" s="143"/>
      <c r="B448" s="252"/>
      <c r="C448" s="119"/>
      <c r="F448" s="119"/>
      <c r="I448" s="119"/>
      <c r="L448" s="119"/>
      <c r="O448" s="119"/>
      <c r="R448" s="119"/>
      <c r="U448" s="119"/>
      <c r="X448" s="119"/>
      <c r="AA448" s="119"/>
      <c r="AD448" s="119"/>
      <c r="AM448"/>
    </row>
    <row r="449" spans="1:39" ht="18" x14ac:dyDescent="0.45">
      <c r="A449" s="143"/>
      <c r="B449" s="252"/>
      <c r="C449" s="119"/>
      <c r="F449" s="119"/>
      <c r="I449" s="119"/>
      <c r="L449" s="119"/>
      <c r="O449" s="119"/>
      <c r="R449" s="119"/>
      <c r="U449" s="119"/>
      <c r="X449" s="119"/>
      <c r="AA449" s="119"/>
      <c r="AD449" s="119"/>
      <c r="AM449"/>
    </row>
    <row r="450" spans="1:39" ht="18" x14ac:dyDescent="0.45">
      <c r="A450" s="143"/>
      <c r="B450" s="252"/>
      <c r="C450" s="119"/>
      <c r="F450" s="119"/>
      <c r="I450" s="119"/>
      <c r="L450" s="119"/>
      <c r="O450" s="119"/>
      <c r="R450" s="119"/>
      <c r="U450" s="119"/>
      <c r="X450" s="119"/>
      <c r="AA450" s="119"/>
      <c r="AD450" s="119"/>
      <c r="AM450"/>
    </row>
    <row r="451" spans="1:39" ht="18" x14ac:dyDescent="0.45">
      <c r="A451" s="143"/>
      <c r="B451" s="252"/>
      <c r="C451" s="119"/>
      <c r="F451" s="119"/>
      <c r="I451" s="119"/>
      <c r="L451" s="119"/>
      <c r="O451" s="119"/>
      <c r="R451" s="119"/>
      <c r="U451" s="119"/>
      <c r="X451" s="119"/>
      <c r="AA451" s="119"/>
      <c r="AD451" s="119"/>
      <c r="AM451"/>
    </row>
    <row r="452" spans="1:39" ht="18" x14ac:dyDescent="0.45">
      <c r="A452" s="143"/>
      <c r="B452" s="252"/>
      <c r="C452" s="119"/>
      <c r="F452" s="119"/>
      <c r="I452" s="119"/>
      <c r="L452" s="119"/>
      <c r="O452" s="119"/>
      <c r="R452" s="119"/>
      <c r="U452" s="119"/>
      <c r="X452" s="119"/>
      <c r="AA452" s="119"/>
      <c r="AD452" s="119"/>
      <c r="AM452"/>
    </row>
    <row r="453" spans="1:39" ht="18" x14ac:dyDescent="0.45">
      <c r="A453" s="143"/>
      <c r="B453" s="252"/>
      <c r="C453" s="119"/>
      <c r="F453" s="119"/>
      <c r="I453" s="119"/>
      <c r="L453" s="119"/>
      <c r="O453" s="119"/>
      <c r="R453" s="119"/>
      <c r="U453" s="119"/>
      <c r="X453" s="119"/>
      <c r="AA453" s="119"/>
      <c r="AD453" s="119"/>
      <c r="AM453"/>
    </row>
    <row r="454" spans="1:39" ht="18" x14ac:dyDescent="0.45">
      <c r="A454" s="143"/>
      <c r="B454" s="252"/>
      <c r="C454" s="119"/>
      <c r="F454" s="119"/>
      <c r="I454" s="119"/>
      <c r="L454" s="119"/>
      <c r="O454" s="119"/>
      <c r="R454" s="119"/>
      <c r="U454" s="119"/>
      <c r="X454" s="119"/>
      <c r="AA454" s="119"/>
      <c r="AD454" s="119"/>
      <c r="AM454"/>
    </row>
    <row r="455" spans="1:39" ht="18" x14ac:dyDescent="0.45">
      <c r="A455" s="143"/>
      <c r="B455" s="252"/>
      <c r="C455" s="119"/>
      <c r="F455" s="119"/>
      <c r="I455" s="119"/>
      <c r="L455" s="119"/>
      <c r="O455" s="119"/>
      <c r="R455" s="119"/>
      <c r="U455" s="119"/>
      <c r="X455" s="119"/>
      <c r="AA455" s="119"/>
      <c r="AD455" s="119"/>
      <c r="AM455"/>
    </row>
    <row r="456" spans="1:39" ht="18" x14ac:dyDescent="0.45">
      <c r="A456" s="143"/>
      <c r="B456" s="252"/>
      <c r="C456" s="119"/>
      <c r="F456" s="119"/>
      <c r="I456" s="119"/>
      <c r="L456" s="119"/>
      <c r="O456" s="119"/>
      <c r="R456" s="119"/>
      <c r="U456" s="119"/>
      <c r="X456" s="119"/>
      <c r="AA456" s="119"/>
      <c r="AD456" s="119"/>
      <c r="AM456"/>
    </row>
    <row r="457" spans="1:39" ht="18" x14ac:dyDescent="0.45">
      <c r="A457" s="143"/>
      <c r="B457" s="252"/>
      <c r="C457" s="119"/>
      <c r="F457" s="119"/>
      <c r="I457" s="119"/>
      <c r="L457" s="119"/>
      <c r="O457" s="119"/>
      <c r="R457" s="119"/>
      <c r="U457" s="119"/>
      <c r="X457" s="119"/>
      <c r="AA457" s="119"/>
      <c r="AD457" s="119"/>
      <c r="AM457"/>
    </row>
    <row r="458" spans="1:39" ht="18" x14ac:dyDescent="0.45">
      <c r="A458" s="143"/>
      <c r="B458" s="252"/>
      <c r="C458" s="119"/>
      <c r="F458" s="119"/>
      <c r="I458" s="119"/>
      <c r="L458" s="119"/>
      <c r="O458" s="119"/>
      <c r="R458" s="119"/>
      <c r="U458" s="119"/>
      <c r="X458" s="119"/>
      <c r="AA458" s="119"/>
      <c r="AD458" s="119"/>
      <c r="AM458"/>
    </row>
    <row r="459" spans="1:39" ht="18" x14ac:dyDescent="0.45">
      <c r="A459" s="143"/>
      <c r="B459" s="252"/>
      <c r="C459" s="119"/>
      <c r="F459" s="119"/>
      <c r="I459" s="119"/>
      <c r="L459" s="119"/>
      <c r="O459" s="119"/>
      <c r="R459" s="119"/>
      <c r="U459" s="119"/>
      <c r="X459" s="119"/>
      <c r="AA459" s="119"/>
      <c r="AD459" s="119"/>
      <c r="AM459"/>
    </row>
    <row r="460" spans="1:39" ht="18" x14ac:dyDescent="0.45">
      <c r="A460" s="143"/>
      <c r="B460" s="252"/>
      <c r="C460" s="119"/>
      <c r="F460" s="119"/>
      <c r="I460" s="119"/>
      <c r="L460" s="119"/>
      <c r="O460" s="119"/>
      <c r="R460" s="119"/>
      <c r="U460" s="119"/>
      <c r="X460" s="119"/>
      <c r="AA460" s="119"/>
      <c r="AD460" s="119"/>
      <c r="AM460"/>
    </row>
    <row r="461" spans="1:39" ht="18" x14ac:dyDescent="0.45">
      <c r="A461" s="143"/>
      <c r="B461" s="252"/>
      <c r="C461" s="119"/>
      <c r="F461" s="119"/>
      <c r="I461" s="119"/>
      <c r="L461" s="119"/>
      <c r="O461" s="119"/>
      <c r="R461" s="119"/>
      <c r="U461" s="119"/>
      <c r="X461" s="119"/>
      <c r="AA461" s="119"/>
      <c r="AD461" s="119"/>
      <c r="AM461"/>
    </row>
    <row r="462" spans="1:39" ht="18" x14ac:dyDescent="0.45">
      <c r="A462" s="143"/>
      <c r="B462" s="252"/>
      <c r="C462" s="119"/>
      <c r="F462" s="119"/>
      <c r="I462" s="119"/>
      <c r="L462" s="119"/>
      <c r="O462" s="119"/>
      <c r="R462" s="119"/>
      <c r="U462" s="119"/>
      <c r="X462" s="119"/>
      <c r="AA462" s="119"/>
      <c r="AD462" s="119"/>
      <c r="AM462"/>
    </row>
    <row r="463" spans="1:39" ht="18" x14ac:dyDescent="0.45">
      <c r="A463" s="143"/>
      <c r="B463" s="252"/>
      <c r="C463" s="119"/>
      <c r="F463" s="119"/>
      <c r="I463" s="119"/>
      <c r="L463" s="119"/>
      <c r="O463" s="119"/>
      <c r="R463" s="119"/>
      <c r="U463" s="119"/>
      <c r="X463" s="119"/>
      <c r="AA463" s="119"/>
      <c r="AD463" s="119"/>
      <c r="AM463"/>
    </row>
    <row r="464" spans="1:39" ht="18" x14ac:dyDescent="0.45">
      <c r="A464" s="143"/>
      <c r="B464" s="252"/>
      <c r="C464" s="119"/>
      <c r="F464" s="119"/>
      <c r="I464" s="119"/>
      <c r="L464" s="119"/>
      <c r="O464" s="119"/>
      <c r="R464" s="119"/>
      <c r="U464" s="119"/>
      <c r="X464" s="119"/>
      <c r="AA464" s="119"/>
      <c r="AD464" s="119"/>
      <c r="AM464"/>
    </row>
    <row r="465" spans="1:39" ht="18" x14ac:dyDescent="0.45">
      <c r="A465" s="143"/>
      <c r="B465" s="252"/>
      <c r="C465" s="119"/>
      <c r="F465" s="119"/>
      <c r="I465" s="119"/>
      <c r="L465" s="119"/>
      <c r="O465" s="119"/>
      <c r="R465" s="119"/>
      <c r="U465" s="119"/>
      <c r="X465" s="119"/>
      <c r="AA465" s="119"/>
      <c r="AD465" s="119"/>
      <c r="AM465"/>
    </row>
    <row r="466" spans="1:39" ht="18" x14ac:dyDescent="0.45">
      <c r="A466" s="143"/>
      <c r="B466" s="252"/>
      <c r="C466" s="119"/>
      <c r="F466" s="119"/>
      <c r="I466" s="119"/>
      <c r="L466" s="119"/>
      <c r="O466" s="119"/>
      <c r="R466" s="119"/>
      <c r="U466" s="119"/>
      <c r="X466" s="119"/>
      <c r="AA466" s="119"/>
      <c r="AD466" s="119"/>
      <c r="AM466"/>
    </row>
    <row r="467" spans="1:39" ht="18" x14ac:dyDescent="0.45">
      <c r="A467" s="143"/>
      <c r="B467" s="252"/>
      <c r="C467" s="119"/>
      <c r="F467" s="119"/>
      <c r="I467" s="119"/>
      <c r="L467" s="119"/>
      <c r="O467" s="119"/>
      <c r="R467" s="119"/>
      <c r="U467" s="119"/>
      <c r="X467" s="119"/>
      <c r="AA467" s="119"/>
      <c r="AD467" s="119"/>
      <c r="AM467"/>
    </row>
    <row r="468" spans="1:39" ht="18" x14ac:dyDescent="0.45">
      <c r="A468" s="143"/>
      <c r="B468" s="252"/>
      <c r="C468" s="119"/>
      <c r="F468" s="119"/>
      <c r="I468" s="119"/>
      <c r="L468" s="119"/>
      <c r="O468" s="119"/>
      <c r="R468" s="119"/>
      <c r="U468" s="119"/>
      <c r="X468" s="119"/>
      <c r="AA468" s="119"/>
      <c r="AD468" s="119"/>
      <c r="AM468"/>
    </row>
    <row r="469" spans="1:39" ht="18" x14ac:dyDescent="0.45">
      <c r="A469" s="143"/>
      <c r="B469" s="252"/>
      <c r="C469" s="119"/>
      <c r="F469" s="119"/>
      <c r="I469" s="119"/>
      <c r="L469" s="119"/>
      <c r="O469" s="119"/>
      <c r="R469" s="119"/>
      <c r="U469" s="119"/>
      <c r="X469" s="119"/>
      <c r="AA469" s="119"/>
      <c r="AD469" s="119"/>
      <c r="AM469"/>
    </row>
    <row r="470" spans="1:39" ht="18" x14ac:dyDescent="0.45">
      <c r="A470" s="143"/>
      <c r="B470" s="252"/>
      <c r="C470" s="119"/>
      <c r="F470" s="119"/>
      <c r="I470" s="119"/>
      <c r="L470" s="119"/>
      <c r="O470" s="119"/>
      <c r="R470" s="119"/>
      <c r="U470" s="119"/>
      <c r="X470" s="119"/>
      <c r="AA470" s="119"/>
      <c r="AD470" s="119"/>
      <c r="AM470"/>
    </row>
    <row r="471" spans="1:39" ht="18" x14ac:dyDescent="0.45">
      <c r="A471" s="143"/>
      <c r="B471" s="252"/>
      <c r="C471" s="119"/>
      <c r="F471" s="119"/>
      <c r="I471" s="119"/>
      <c r="L471" s="119"/>
      <c r="O471" s="119"/>
      <c r="R471" s="119"/>
      <c r="U471" s="119"/>
      <c r="X471" s="119"/>
      <c r="AA471" s="119"/>
      <c r="AD471" s="119"/>
      <c r="AM471"/>
    </row>
    <row r="472" spans="1:39" ht="18" x14ac:dyDescent="0.45">
      <c r="A472" s="143"/>
      <c r="B472" s="252"/>
      <c r="C472" s="119"/>
      <c r="F472" s="119"/>
      <c r="I472" s="119"/>
      <c r="L472" s="119"/>
      <c r="O472" s="119"/>
      <c r="R472" s="119"/>
      <c r="U472" s="119"/>
      <c r="X472" s="119"/>
      <c r="AA472" s="119"/>
      <c r="AD472" s="119"/>
      <c r="AM472"/>
    </row>
    <row r="473" spans="1:39" ht="18" x14ac:dyDescent="0.45">
      <c r="A473" s="143"/>
      <c r="B473" s="252"/>
      <c r="C473" s="119"/>
      <c r="F473" s="119"/>
      <c r="I473" s="119"/>
      <c r="L473" s="119"/>
      <c r="O473" s="119"/>
      <c r="R473" s="119"/>
      <c r="U473" s="119"/>
      <c r="X473" s="119"/>
      <c r="AA473" s="119"/>
      <c r="AD473" s="119"/>
      <c r="AM473"/>
    </row>
    <row r="474" spans="1:39" ht="18" x14ac:dyDescent="0.45">
      <c r="A474" s="143"/>
      <c r="B474" s="252"/>
      <c r="C474" s="119"/>
      <c r="F474" s="119"/>
      <c r="I474" s="119"/>
      <c r="L474" s="119"/>
      <c r="O474" s="119"/>
      <c r="R474" s="119"/>
      <c r="U474" s="119"/>
      <c r="X474" s="119"/>
      <c r="AA474" s="119"/>
      <c r="AD474" s="119"/>
      <c r="AM474"/>
    </row>
    <row r="475" spans="1:39" ht="18" x14ac:dyDescent="0.45">
      <c r="A475" s="143"/>
      <c r="B475" s="252"/>
      <c r="C475" s="119"/>
      <c r="F475" s="119"/>
      <c r="I475" s="119"/>
      <c r="L475" s="119"/>
      <c r="O475" s="119"/>
      <c r="R475" s="119"/>
      <c r="U475" s="119"/>
      <c r="X475" s="119"/>
      <c r="AA475" s="119"/>
      <c r="AD475" s="119"/>
      <c r="AM475"/>
    </row>
    <row r="476" spans="1:39" ht="18" x14ac:dyDescent="0.45">
      <c r="A476" s="143"/>
      <c r="B476" s="252"/>
      <c r="C476" s="119"/>
      <c r="F476" s="119"/>
      <c r="I476" s="119"/>
      <c r="L476" s="119"/>
      <c r="O476" s="119"/>
      <c r="R476" s="119"/>
      <c r="U476" s="119"/>
      <c r="X476" s="119"/>
      <c r="AA476" s="119"/>
      <c r="AD476" s="119"/>
      <c r="AM476"/>
    </row>
    <row r="477" spans="1:39" ht="18" x14ac:dyDescent="0.45">
      <c r="A477" s="143"/>
      <c r="B477" s="252"/>
      <c r="C477" s="119"/>
      <c r="F477" s="119"/>
      <c r="I477" s="119"/>
      <c r="L477" s="119"/>
      <c r="O477" s="119"/>
      <c r="R477" s="119"/>
      <c r="U477" s="119"/>
      <c r="X477" s="119"/>
      <c r="AA477" s="119"/>
      <c r="AD477" s="119"/>
      <c r="AM477"/>
    </row>
    <row r="478" spans="1:39" ht="18" x14ac:dyDescent="0.45">
      <c r="A478" s="143"/>
      <c r="B478" s="252"/>
      <c r="C478" s="119"/>
      <c r="F478" s="119"/>
      <c r="I478" s="119"/>
      <c r="L478" s="119"/>
      <c r="O478" s="119"/>
      <c r="R478" s="119"/>
      <c r="U478" s="119"/>
      <c r="X478" s="119"/>
      <c r="AA478" s="119"/>
      <c r="AD478" s="119"/>
      <c r="AM478"/>
    </row>
    <row r="479" spans="1:39" ht="18" x14ac:dyDescent="0.45">
      <c r="A479" s="143"/>
      <c r="B479" s="252"/>
      <c r="C479" s="119"/>
      <c r="F479" s="119"/>
      <c r="I479" s="119"/>
      <c r="L479" s="119"/>
      <c r="O479" s="119"/>
      <c r="R479" s="119"/>
      <c r="U479" s="119"/>
      <c r="X479" s="119"/>
      <c r="AA479" s="119"/>
      <c r="AD479" s="119"/>
      <c r="AM479"/>
    </row>
    <row r="480" spans="1:39" ht="18" x14ac:dyDescent="0.45">
      <c r="A480" s="143"/>
      <c r="B480" s="252"/>
      <c r="C480" s="119"/>
      <c r="F480" s="119"/>
      <c r="I480" s="119"/>
      <c r="L480" s="119"/>
      <c r="O480" s="119"/>
      <c r="R480" s="119"/>
      <c r="U480" s="119"/>
      <c r="X480" s="119"/>
      <c r="AA480" s="119"/>
      <c r="AD480" s="119"/>
      <c r="AM480"/>
    </row>
    <row r="481" spans="1:39" ht="18" x14ac:dyDescent="0.45">
      <c r="A481" s="143"/>
      <c r="B481" s="252"/>
      <c r="C481" s="119"/>
      <c r="F481" s="119"/>
      <c r="I481" s="119"/>
      <c r="L481" s="119"/>
      <c r="O481" s="119"/>
      <c r="R481" s="119"/>
      <c r="U481" s="119"/>
      <c r="X481" s="119"/>
      <c r="AA481" s="119"/>
      <c r="AD481" s="119"/>
      <c r="AM481"/>
    </row>
    <row r="482" spans="1:39" ht="18" x14ac:dyDescent="0.45">
      <c r="A482" s="143"/>
      <c r="B482" s="252"/>
      <c r="C482" s="119"/>
      <c r="F482" s="119"/>
      <c r="I482" s="119"/>
      <c r="L482" s="119"/>
      <c r="O482" s="119"/>
      <c r="R482" s="119"/>
      <c r="U482" s="119"/>
      <c r="X482" s="119"/>
      <c r="AA482" s="119"/>
      <c r="AD482" s="119"/>
      <c r="AM482"/>
    </row>
    <row r="483" spans="1:39" ht="18" x14ac:dyDescent="0.45">
      <c r="A483" s="143"/>
      <c r="B483" s="252"/>
      <c r="C483" s="119"/>
      <c r="F483" s="119"/>
      <c r="I483" s="119"/>
      <c r="L483" s="119"/>
      <c r="O483" s="119"/>
      <c r="R483" s="119"/>
      <c r="U483" s="119"/>
      <c r="X483" s="119"/>
      <c r="AA483" s="119"/>
      <c r="AD483" s="119"/>
      <c r="AM483"/>
    </row>
    <row r="484" spans="1:39" ht="18" x14ac:dyDescent="0.45">
      <c r="A484" s="143"/>
      <c r="B484" s="252"/>
      <c r="C484" s="119"/>
      <c r="F484" s="119"/>
      <c r="I484" s="119"/>
      <c r="L484" s="119"/>
      <c r="O484" s="119"/>
      <c r="R484" s="119"/>
      <c r="U484" s="119"/>
      <c r="X484" s="119"/>
      <c r="AA484" s="119"/>
      <c r="AD484" s="119"/>
      <c r="AM484"/>
    </row>
    <row r="485" spans="1:39" ht="18" x14ac:dyDescent="0.45">
      <c r="A485" s="143"/>
      <c r="B485" s="252"/>
      <c r="C485" s="119"/>
      <c r="F485" s="119"/>
      <c r="I485" s="119"/>
      <c r="L485" s="119"/>
      <c r="O485" s="119"/>
      <c r="R485" s="119"/>
      <c r="U485" s="119"/>
      <c r="X485" s="119"/>
      <c r="AA485" s="119"/>
      <c r="AD485" s="119"/>
      <c r="AM485"/>
    </row>
    <row r="486" spans="1:39" ht="18" x14ac:dyDescent="0.45">
      <c r="A486" s="143"/>
      <c r="B486" s="252"/>
      <c r="C486" s="119"/>
      <c r="F486" s="119"/>
      <c r="I486" s="119"/>
      <c r="L486" s="119"/>
      <c r="O486" s="119"/>
      <c r="R486" s="119"/>
      <c r="U486" s="119"/>
      <c r="X486" s="119"/>
      <c r="AA486" s="119"/>
      <c r="AD486" s="119"/>
      <c r="AM486"/>
    </row>
    <row r="487" spans="1:39" ht="18" x14ac:dyDescent="0.45">
      <c r="A487" s="143"/>
      <c r="B487" s="252"/>
      <c r="C487" s="119"/>
      <c r="F487" s="119"/>
      <c r="I487" s="119"/>
      <c r="L487" s="119"/>
      <c r="O487" s="119"/>
      <c r="R487" s="119"/>
      <c r="U487" s="119"/>
      <c r="X487" s="119"/>
      <c r="AA487" s="119"/>
      <c r="AD487" s="119"/>
      <c r="AM487"/>
    </row>
    <row r="488" spans="1:39" ht="18" x14ac:dyDescent="0.45">
      <c r="A488" s="143"/>
      <c r="B488" s="252"/>
      <c r="C488" s="119"/>
      <c r="F488" s="119"/>
      <c r="I488" s="119"/>
      <c r="L488" s="119"/>
      <c r="O488" s="119"/>
      <c r="R488" s="119"/>
      <c r="U488" s="119"/>
      <c r="X488" s="119"/>
      <c r="AA488" s="119"/>
      <c r="AD488" s="119"/>
      <c r="AM488"/>
    </row>
    <row r="489" spans="1:39" ht="18" x14ac:dyDescent="0.45">
      <c r="A489" s="143"/>
      <c r="B489" s="252"/>
      <c r="C489" s="119"/>
      <c r="F489" s="119"/>
      <c r="I489" s="119"/>
      <c r="L489" s="119"/>
      <c r="O489" s="119"/>
      <c r="R489" s="119"/>
      <c r="U489" s="119"/>
      <c r="X489" s="119"/>
      <c r="AA489" s="119"/>
      <c r="AD489" s="119"/>
      <c r="AM489"/>
    </row>
    <row r="490" spans="1:39" ht="18" x14ac:dyDescent="0.45">
      <c r="A490" s="143"/>
      <c r="B490" s="252"/>
      <c r="C490" s="119"/>
      <c r="F490" s="119"/>
      <c r="I490" s="119"/>
      <c r="L490" s="119"/>
      <c r="O490" s="119"/>
      <c r="R490" s="119"/>
      <c r="U490" s="119"/>
      <c r="X490" s="119"/>
      <c r="AA490" s="119"/>
      <c r="AD490" s="119"/>
      <c r="AM490"/>
    </row>
    <row r="491" spans="1:39" ht="18" x14ac:dyDescent="0.45">
      <c r="A491" s="143"/>
      <c r="B491" s="252"/>
      <c r="C491" s="119"/>
      <c r="F491" s="119"/>
      <c r="I491" s="119"/>
      <c r="L491" s="119"/>
      <c r="O491" s="119"/>
      <c r="R491" s="119"/>
      <c r="U491" s="119"/>
      <c r="X491" s="119"/>
      <c r="AA491" s="119"/>
      <c r="AD491" s="119"/>
      <c r="AM491"/>
    </row>
    <row r="492" spans="1:39" ht="18" x14ac:dyDescent="0.45">
      <c r="A492" s="143"/>
      <c r="B492" s="252"/>
      <c r="C492" s="119"/>
      <c r="F492" s="119"/>
      <c r="I492" s="119"/>
      <c r="L492" s="119"/>
      <c r="O492" s="119"/>
      <c r="R492" s="119"/>
      <c r="U492" s="119"/>
      <c r="X492" s="119"/>
      <c r="AA492" s="119"/>
      <c r="AD492" s="119"/>
      <c r="AM492"/>
    </row>
    <row r="493" spans="1:39" ht="18" x14ac:dyDescent="0.45">
      <c r="A493" s="143"/>
      <c r="B493" s="252"/>
      <c r="C493" s="119"/>
      <c r="F493" s="119"/>
      <c r="I493" s="119"/>
      <c r="L493" s="119"/>
      <c r="O493" s="119"/>
      <c r="R493" s="119"/>
      <c r="U493" s="119"/>
      <c r="X493" s="119"/>
      <c r="AA493" s="119"/>
      <c r="AD493" s="119"/>
      <c r="AM493"/>
    </row>
    <row r="494" spans="1:39" ht="18" x14ac:dyDescent="0.45">
      <c r="A494" s="143"/>
      <c r="B494" s="252"/>
      <c r="C494" s="119"/>
      <c r="F494" s="119"/>
      <c r="I494" s="119"/>
      <c r="L494" s="119"/>
      <c r="O494" s="119"/>
      <c r="R494" s="119"/>
      <c r="U494" s="119"/>
      <c r="X494" s="119"/>
      <c r="AA494" s="119"/>
      <c r="AD494" s="119"/>
      <c r="AM494"/>
    </row>
    <row r="495" spans="1:39" ht="18" x14ac:dyDescent="0.45">
      <c r="A495" s="143"/>
      <c r="B495" s="252"/>
      <c r="C495" s="119"/>
      <c r="F495" s="119"/>
      <c r="I495" s="119"/>
      <c r="L495" s="119"/>
      <c r="O495" s="119"/>
      <c r="R495" s="119"/>
      <c r="U495" s="119"/>
      <c r="X495" s="119"/>
      <c r="AA495" s="119"/>
      <c r="AD495" s="119"/>
      <c r="AM495"/>
    </row>
    <row r="496" spans="1:39" ht="18" x14ac:dyDescent="0.45">
      <c r="A496" s="143"/>
      <c r="B496" s="252"/>
      <c r="C496" s="119"/>
      <c r="F496" s="119"/>
      <c r="I496" s="119"/>
      <c r="L496" s="119"/>
      <c r="O496" s="119"/>
      <c r="R496" s="119"/>
      <c r="U496" s="119"/>
      <c r="X496" s="119"/>
      <c r="AA496" s="119"/>
      <c r="AD496" s="119"/>
      <c r="AM496"/>
    </row>
    <row r="497" spans="1:39" ht="18" x14ac:dyDescent="0.45">
      <c r="A497" s="143"/>
      <c r="B497" s="252"/>
      <c r="C497" s="119"/>
      <c r="F497" s="119"/>
      <c r="I497" s="119"/>
      <c r="L497" s="119"/>
      <c r="O497" s="119"/>
      <c r="R497" s="119"/>
      <c r="U497" s="119"/>
      <c r="X497" s="119"/>
      <c r="AA497" s="119"/>
      <c r="AD497" s="119"/>
      <c r="AM497"/>
    </row>
    <row r="498" spans="1:39" ht="18" x14ac:dyDescent="0.45">
      <c r="A498" s="143"/>
      <c r="B498" s="252"/>
      <c r="C498" s="119"/>
      <c r="F498" s="119"/>
      <c r="I498" s="119"/>
      <c r="L498" s="119"/>
      <c r="O498" s="119"/>
      <c r="R498" s="119"/>
      <c r="U498" s="119"/>
      <c r="X498" s="119"/>
      <c r="AA498" s="119"/>
      <c r="AD498" s="119"/>
      <c r="AM498"/>
    </row>
    <row r="499" spans="1:39" ht="18" x14ac:dyDescent="0.45">
      <c r="A499" s="143"/>
      <c r="B499" s="252"/>
      <c r="C499" s="119"/>
      <c r="F499" s="119"/>
      <c r="I499" s="119"/>
      <c r="L499" s="119"/>
      <c r="O499" s="119"/>
      <c r="R499" s="119"/>
      <c r="U499" s="119"/>
      <c r="X499" s="119"/>
      <c r="AA499" s="119"/>
      <c r="AD499" s="119"/>
      <c r="AM499"/>
    </row>
    <row r="500" spans="1:39" ht="18" x14ac:dyDescent="0.45">
      <c r="A500" s="143"/>
      <c r="B500" s="252"/>
      <c r="C500" s="119"/>
      <c r="F500" s="119"/>
      <c r="I500" s="119"/>
      <c r="L500" s="119"/>
      <c r="O500" s="119"/>
      <c r="R500" s="119"/>
      <c r="U500" s="119"/>
      <c r="X500" s="119"/>
      <c r="AA500" s="119"/>
      <c r="AD500" s="119"/>
      <c r="AM500"/>
    </row>
    <row r="501" spans="1:39" ht="18" x14ac:dyDescent="0.45">
      <c r="A501" s="143"/>
      <c r="B501" s="252"/>
      <c r="C501" s="119"/>
      <c r="F501" s="119"/>
      <c r="I501" s="119"/>
      <c r="L501" s="119"/>
      <c r="O501" s="119"/>
      <c r="R501" s="119"/>
      <c r="U501" s="119"/>
      <c r="X501" s="119"/>
      <c r="AA501" s="119"/>
      <c r="AD501" s="119"/>
      <c r="AM501"/>
    </row>
    <row r="502" spans="1:39" ht="18" x14ac:dyDescent="0.45">
      <c r="A502" s="143"/>
      <c r="B502" s="252"/>
      <c r="C502" s="119"/>
      <c r="F502" s="119"/>
      <c r="I502" s="119"/>
      <c r="L502" s="119"/>
      <c r="O502" s="119"/>
      <c r="R502" s="119"/>
      <c r="U502" s="119"/>
      <c r="X502" s="119"/>
      <c r="AA502" s="119"/>
      <c r="AD502" s="119"/>
      <c r="AM502"/>
    </row>
    <row r="503" spans="1:39" ht="18" x14ac:dyDescent="0.45">
      <c r="A503" s="143"/>
      <c r="B503" s="252"/>
      <c r="C503" s="119"/>
      <c r="F503" s="119"/>
      <c r="I503" s="119"/>
      <c r="L503" s="119"/>
      <c r="O503" s="119"/>
      <c r="R503" s="119"/>
      <c r="U503" s="119"/>
      <c r="X503" s="119"/>
      <c r="AA503" s="119"/>
      <c r="AD503" s="119"/>
      <c r="AM503"/>
    </row>
    <row r="504" spans="1:39" ht="18" x14ac:dyDescent="0.45">
      <c r="A504" s="143"/>
      <c r="B504" s="252"/>
      <c r="C504" s="119"/>
      <c r="F504" s="119"/>
      <c r="I504" s="119"/>
      <c r="L504" s="119"/>
      <c r="O504" s="119"/>
      <c r="R504" s="119"/>
      <c r="U504" s="119"/>
      <c r="X504" s="119"/>
      <c r="AA504" s="119"/>
      <c r="AD504" s="119"/>
      <c r="AM504"/>
    </row>
    <row r="505" spans="1:39" ht="18" x14ac:dyDescent="0.45">
      <c r="A505" s="143"/>
      <c r="B505" s="252"/>
      <c r="C505" s="119"/>
      <c r="F505" s="119"/>
      <c r="I505" s="119"/>
      <c r="L505" s="119"/>
      <c r="O505" s="119"/>
      <c r="R505" s="119"/>
      <c r="U505" s="119"/>
      <c r="X505" s="119"/>
      <c r="AA505" s="119"/>
      <c r="AD505" s="119"/>
      <c r="AM505"/>
    </row>
    <row r="506" spans="1:39" ht="18" x14ac:dyDescent="0.45">
      <c r="A506" s="143"/>
      <c r="B506" s="252"/>
      <c r="C506" s="119"/>
      <c r="F506" s="119"/>
      <c r="I506" s="119"/>
      <c r="L506" s="119"/>
      <c r="O506" s="119"/>
      <c r="R506" s="119"/>
      <c r="U506" s="119"/>
      <c r="X506" s="119"/>
      <c r="AA506" s="119"/>
      <c r="AD506" s="119"/>
      <c r="AM506"/>
    </row>
    <row r="507" spans="1:39" ht="18" x14ac:dyDescent="0.45">
      <c r="A507" s="143"/>
      <c r="B507" s="252"/>
      <c r="C507" s="119"/>
      <c r="F507" s="119"/>
      <c r="I507" s="119"/>
      <c r="L507" s="119"/>
      <c r="O507" s="119"/>
      <c r="R507" s="119"/>
      <c r="U507" s="119"/>
      <c r="X507" s="119"/>
      <c r="AA507" s="119"/>
      <c r="AD507" s="119"/>
      <c r="AM507"/>
    </row>
    <row r="508" spans="1:39" ht="18" x14ac:dyDescent="0.45">
      <c r="A508" s="143"/>
      <c r="B508" s="252"/>
      <c r="C508" s="119"/>
      <c r="F508" s="119"/>
      <c r="I508" s="119"/>
      <c r="L508" s="119"/>
      <c r="O508" s="119"/>
      <c r="R508" s="119"/>
      <c r="U508" s="119"/>
      <c r="X508" s="119"/>
      <c r="AA508" s="119"/>
      <c r="AD508" s="119"/>
      <c r="AM508"/>
    </row>
    <row r="509" spans="1:39" ht="18" x14ac:dyDescent="0.45">
      <c r="A509" s="143"/>
      <c r="B509" s="252"/>
      <c r="C509" s="119"/>
      <c r="F509" s="119"/>
      <c r="I509" s="119"/>
      <c r="L509" s="119"/>
      <c r="O509" s="119"/>
      <c r="R509" s="119"/>
      <c r="U509" s="119"/>
      <c r="X509" s="119"/>
      <c r="AA509" s="119"/>
      <c r="AD509" s="119"/>
      <c r="AM509"/>
    </row>
    <row r="510" spans="1:39" ht="18" x14ac:dyDescent="0.45">
      <c r="A510" s="143"/>
      <c r="B510" s="252"/>
      <c r="C510" s="119"/>
      <c r="F510" s="119"/>
      <c r="I510" s="119"/>
      <c r="L510" s="119"/>
      <c r="O510" s="119"/>
      <c r="R510" s="119"/>
      <c r="U510" s="119"/>
      <c r="X510" s="119"/>
      <c r="AA510" s="119"/>
      <c r="AD510" s="119"/>
      <c r="AM510"/>
    </row>
    <row r="511" spans="1:39" ht="18" x14ac:dyDescent="0.45">
      <c r="A511" s="143"/>
      <c r="B511" s="252"/>
      <c r="C511" s="119"/>
      <c r="F511" s="119"/>
      <c r="I511" s="119"/>
      <c r="L511" s="119"/>
      <c r="O511" s="119"/>
      <c r="R511" s="119"/>
      <c r="U511" s="119"/>
      <c r="X511" s="119"/>
      <c r="AA511" s="119"/>
      <c r="AD511" s="119"/>
      <c r="AM511"/>
    </row>
    <row r="512" spans="1:39" ht="18" x14ac:dyDescent="0.45">
      <c r="A512" s="143"/>
      <c r="B512" s="252"/>
      <c r="C512" s="119"/>
      <c r="F512" s="119"/>
      <c r="I512" s="119"/>
      <c r="L512" s="119"/>
      <c r="O512" s="119"/>
      <c r="R512" s="119"/>
      <c r="U512" s="119"/>
      <c r="X512" s="119"/>
      <c r="AA512" s="119"/>
      <c r="AD512" s="119"/>
      <c r="AM512"/>
    </row>
    <row r="513" spans="1:39" ht="18" x14ac:dyDescent="0.45">
      <c r="A513" s="143"/>
      <c r="B513" s="252"/>
      <c r="C513" s="119"/>
      <c r="F513" s="119"/>
      <c r="I513" s="119"/>
      <c r="L513" s="119"/>
      <c r="O513" s="119"/>
      <c r="R513" s="119"/>
      <c r="U513" s="119"/>
      <c r="X513" s="119"/>
      <c r="AA513" s="119"/>
      <c r="AD513" s="119"/>
      <c r="AM513"/>
    </row>
    <row r="514" spans="1:39" ht="18" x14ac:dyDescent="0.45">
      <c r="A514" s="143"/>
      <c r="B514" s="252"/>
      <c r="C514" s="119"/>
      <c r="F514" s="119"/>
      <c r="I514" s="119"/>
      <c r="L514" s="119"/>
      <c r="O514" s="119"/>
      <c r="R514" s="119"/>
      <c r="U514" s="119"/>
      <c r="X514" s="119"/>
      <c r="AA514" s="119"/>
      <c r="AD514" s="119"/>
      <c r="AM514"/>
    </row>
    <row r="515" spans="1:39" ht="18" x14ac:dyDescent="0.45">
      <c r="A515" s="143"/>
      <c r="B515" s="252"/>
      <c r="C515" s="119"/>
      <c r="F515" s="119"/>
      <c r="I515" s="119"/>
      <c r="L515" s="119"/>
      <c r="O515" s="119"/>
      <c r="R515" s="119"/>
      <c r="U515" s="119"/>
      <c r="X515" s="119"/>
      <c r="AA515" s="119"/>
      <c r="AD515" s="119"/>
      <c r="AM515"/>
    </row>
    <row r="516" spans="1:39" ht="18" x14ac:dyDescent="0.45">
      <c r="A516" s="143"/>
      <c r="B516" s="252"/>
      <c r="C516" s="119"/>
      <c r="F516" s="119"/>
      <c r="I516" s="119"/>
      <c r="L516" s="119"/>
      <c r="O516" s="119"/>
      <c r="R516" s="119"/>
      <c r="U516" s="119"/>
      <c r="X516" s="119"/>
      <c r="AA516" s="119"/>
      <c r="AD516" s="119"/>
      <c r="AM516"/>
    </row>
    <row r="517" spans="1:39" ht="18" x14ac:dyDescent="0.45">
      <c r="A517" s="143"/>
      <c r="B517" s="252"/>
      <c r="C517" s="119"/>
      <c r="F517" s="119"/>
      <c r="I517" s="119"/>
      <c r="L517" s="119"/>
      <c r="O517" s="119"/>
      <c r="R517" s="119"/>
      <c r="U517" s="119"/>
      <c r="X517" s="119"/>
      <c r="AA517" s="119"/>
      <c r="AD517" s="119"/>
      <c r="AM517"/>
    </row>
    <row r="518" spans="1:39" ht="18" x14ac:dyDescent="0.45">
      <c r="A518" s="143"/>
      <c r="B518" s="252"/>
      <c r="C518" s="119"/>
      <c r="F518" s="119"/>
      <c r="I518" s="119"/>
      <c r="L518" s="119"/>
      <c r="O518" s="119"/>
      <c r="R518" s="119"/>
      <c r="U518" s="119"/>
      <c r="X518" s="119"/>
      <c r="AA518" s="119"/>
      <c r="AD518" s="119"/>
      <c r="AM518"/>
    </row>
    <row r="519" spans="1:39" ht="18" x14ac:dyDescent="0.45">
      <c r="A519" s="143"/>
      <c r="B519" s="252"/>
      <c r="C519" s="119"/>
      <c r="F519" s="119"/>
      <c r="I519" s="119"/>
      <c r="L519" s="119"/>
      <c r="O519" s="119"/>
      <c r="R519" s="119"/>
      <c r="U519" s="119"/>
      <c r="X519" s="119"/>
      <c r="AA519" s="119"/>
      <c r="AD519" s="119"/>
      <c r="AM519"/>
    </row>
    <row r="520" spans="1:39" ht="18" x14ac:dyDescent="0.45">
      <c r="A520" s="143"/>
      <c r="B520" s="252"/>
      <c r="C520" s="119"/>
      <c r="F520" s="119"/>
      <c r="I520" s="119"/>
      <c r="L520" s="119"/>
      <c r="O520" s="119"/>
      <c r="R520" s="119"/>
      <c r="U520" s="119"/>
      <c r="X520" s="119"/>
      <c r="AA520" s="119"/>
      <c r="AD520" s="119"/>
      <c r="AM520"/>
    </row>
    <row r="521" spans="1:39" ht="18" x14ac:dyDescent="0.45">
      <c r="A521" s="143"/>
      <c r="B521" s="252"/>
      <c r="C521" s="119"/>
      <c r="F521" s="119"/>
      <c r="I521" s="119"/>
      <c r="L521" s="119"/>
      <c r="O521" s="119"/>
      <c r="R521" s="119"/>
      <c r="U521" s="119"/>
      <c r="X521" s="119"/>
      <c r="AA521" s="119"/>
      <c r="AD521" s="119"/>
      <c r="AM521"/>
    </row>
    <row r="522" spans="1:39" ht="18" x14ac:dyDescent="0.45">
      <c r="A522" s="143"/>
      <c r="B522" s="252"/>
      <c r="C522" s="119"/>
      <c r="F522" s="119"/>
      <c r="I522" s="119"/>
      <c r="L522" s="119"/>
      <c r="O522" s="119"/>
      <c r="R522" s="119"/>
      <c r="U522" s="119"/>
      <c r="X522" s="119"/>
      <c r="AA522" s="119"/>
      <c r="AD522" s="119"/>
      <c r="AM522"/>
    </row>
    <row r="523" spans="1:39" ht="18" x14ac:dyDescent="0.45">
      <c r="A523" s="143"/>
      <c r="B523" s="252"/>
      <c r="C523" s="119"/>
      <c r="F523" s="119"/>
      <c r="I523" s="119"/>
      <c r="L523" s="119"/>
      <c r="O523" s="119"/>
      <c r="R523" s="119"/>
      <c r="U523" s="119"/>
      <c r="X523" s="119"/>
      <c r="AA523" s="119"/>
      <c r="AD523" s="119"/>
      <c r="AM523"/>
    </row>
    <row r="524" spans="1:39" ht="18" x14ac:dyDescent="0.45">
      <c r="A524" s="143"/>
      <c r="B524" s="252"/>
      <c r="C524" s="119"/>
      <c r="F524" s="119"/>
      <c r="I524" s="119"/>
      <c r="L524" s="119"/>
      <c r="O524" s="119"/>
      <c r="R524" s="119"/>
      <c r="U524" s="119"/>
      <c r="X524" s="119"/>
      <c r="AA524" s="119"/>
      <c r="AD524" s="119"/>
      <c r="AM524"/>
    </row>
    <row r="525" spans="1:39" ht="18" x14ac:dyDescent="0.45">
      <c r="A525" s="143"/>
      <c r="B525" s="252"/>
      <c r="C525" s="119"/>
      <c r="F525" s="119"/>
      <c r="I525" s="119"/>
      <c r="L525" s="119"/>
      <c r="O525" s="119"/>
      <c r="R525" s="119"/>
      <c r="U525" s="119"/>
      <c r="X525" s="119"/>
      <c r="AA525" s="119"/>
      <c r="AD525" s="119"/>
      <c r="AM525"/>
    </row>
    <row r="526" spans="1:39" ht="18" x14ac:dyDescent="0.45">
      <c r="A526" s="143"/>
      <c r="B526" s="252"/>
      <c r="C526" s="119"/>
      <c r="F526" s="119"/>
      <c r="I526" s="119"/>
      <c r="L526" s="119"/>
      <c r="O526" s="119"/>
      <c r="R526" s="119"/>
      <c r="U526" s="119"/>
      <c r="X526" s="119"/>
      <c r="AA526" s="119"/>
      <c r="AD526" s="119"/>
      <c r="AM526"/>
    </row>
    <row r="527" spans="1:39" ht="18" x14ac:dyDescent="0.45">
      <c r="A527" s="143"/>
      <c r="B527" s="252"/>
      <c r="C527" s="119"/>
      <c r="F527" s="119"/>
      <c r="I527" s="119"/>
      <c r="L527" s="119"/>
      <c r="O527" s="119"/>
      <c r="R527" s="119"/>
      <c r="U527" s="119"/>
      <c r="X527" s="119"/>
      <c r="AA527" s="119"/>
      <c r="AD527" s="119"/>
      <c r="AM527"/>
    </row>
    <row r="528" spans="1:39" ht="18" x14ac:dyDescent="0.45">
      <c r="A528" s="143"/>
      <c r="B528" s="252"/>
      <c r="C528" s="119"/>
      <c r="F528" s="119"/>
      <c r="I528" s="119"/>
      <c r="L528" s="119"/>
      <c r="O528" s="119"/>
      <c r="R528" s="119"/>
      <c r="U528" s="119"/>
      <c r="X528" s="119"/>
      <c r="AA528" s="119"/>
      <c r="AD528" s="119"/>
      <c r="AM528"/>
    </row>
    <row r="529" spans="1:39" ht="18" x14ac:dyDescent="0.45">
      <c r="A529" s="143"/>
      <c r="B529" s="252"/>
      <c r="C529" s="119"/>
      <c r="F529" s="119"/>
      <c r="I529" s="119"/>
      <c r="L529" s="119"/>
      <c r="O529" s="119"/>
      <c r="R529" s="119"/>
      <c r="U529" s="119"/>
      <c r="X529" s="119"/>
      <c r="AA529" s="119"/>
      <c r="AD529" s="119"/>
      <c r="AM529"/>
    </row>
    <row r="530" spans="1:39" ht="18" x14ac:dyDescent="0.45">
      <c r="A530" s="143"/>
      <c r="B530" s="252"/>
      <c r="C530" s="119"/>
      <c r="F530" s="119"/>
      <c r="I530" s="119"/>
      <c r="L530" s="119"/>
      <c r="O530" s="119"/>
      <c r="R530" s="119"/>
      <c r="U530" s="119"/>
      <c r="X530" s="119"/>
      <c r="AA530" s="119"/>
      <c r="AD530" s="119"/>
      <c r="AM530"/>
    </row>
    <row r="531" spans="1:39" ht="18" x14ac:dyDescent="0.45">
      <c r="A531" s="143"/>
      <c r="B531" s="252"/>
      <c r="C531" s="119"/>
      <c r="F531" s="119"/>
      <c r="I531" s="119"/>
      <c r="L531" s="119"/>
      <c r="O531" s="119"/>
      <c r="R531" s="119"/>
      <c r="U531" s="119"/>
      <c r="X531" s="119"/>
      <c r="AA531" s="119"/>
      <c r="AD531" s="119"/>
      <c r="AM531"/>
    </row>
    <row r="532" spans="1:39" ht="18" x14ac:dyDescent="0.45">
      <c r="A532" s="143"/>
      <c r="B532" s="252"/>
      <c r="C532" s="119"/>
      <c r="F532" s="119"/>
      <c r="I532" s="119"/>
      <c r="L532" s="119"/>
      <c r="O532" s="119"/>
      <c r="R532" s="119"/>
      <c r="U532" s="119"/>
      <c r="X532" s="119"/>
      <c r="AA532" s="119"/>
      <c r="AD532" s="119"/>
      <c r="AM532"/>
    </row>
    <row r="533" spans="1:39" ht="18" x14ac:dyDescent="0.45">
      <c r="A533" s="143"/>
      <c r="B533" s="252"/>
      <c r="C533" s="119"/>
      <c r="F533" s="119"/>
      <c r="I533" s="119"/>
      <c r="L533" s="119"/>
      <c r="O533" s="119"/>
      <c r="R533" s="119"/>
      <c r="U533" s="119"/>
      <c r="X533" s="119"/>
      <c r="AA533" s="119"/>
      <c r="AD533" s="119"/>
      <c r="AM533"/>
    </row>
    <row r="534" spans="1:39" ht="18" x14ac:dyDescent="0.45">
      <c r="A534" s="143"/>
      <c r="B534" s="252"/>
      <c r="C534" s="119"/>
      <c r="F534" s="119"/>
      <c r="I534" s="119"/>
      <c r="L534" s="119"/>
      <c r="O534" s="119"/>
      <c r="R534" s="119"/>
      <c r="U534" s="119"/>
      <c r="X534" s="119"/>
      <c r="AA534" s="119"/>
      <c r="AD534" s="119"/>
      <c r="AM534"/>
    </row>
    <row r="535" spans="1:39" ht="18" x14ac:dyDescent="0.45">
      <c r="A535" s="143"/>
      <c r="B535" s="252"/>
      <c r="C535" s="119"/>
      <c r="F535" s="119"/>
      <c r="I535" s="119"/>
      <c r="L535" s="119"/>
      <c r="O535" s="119"/>
      <c r="R535" s="119"/>
      <c r="U535" s="119"/>
      <c r="X535" s="119"/>
      <c r="AA535" s="119"/>
      <c r="AD535" s="119"/>
      <c r="AM535"/>
    </row>
    <row r="536" spans="1:39" ht="18" x14ac:dyDescent="0.45">
      <c r="A536" s="143"/>
      <c r="B536" s="252"/>
      <c r="C536" s="119"/>
      <c r="F536" s="119"/>
      <c r="I536" s="119"/>
      <c r="L536" s="119"/>
      <c r="O536" s="119"/>
      <c r="R536" s="119"/>
      <c r="U536" s="119"/>
      <c r="X536" s="119"/>
      <c r="AA536" s="119"/>
      <c r="AD536" s="119"/>
      <c r="AM536"/>
    </row>
    <row r="537" spans="1:39" ht="18" x14ac:dyDescent="0.45">
      <c r="A537" s="143"/>
      <c r="B537" s="252"/>
      <c r="C537" s="119"/>
      <c r="F537" s="119"/>
      <c r="I537" s="119"/>
      <c r="L537" s="119"/>
      <c r="O537" s="119"/>
      <c r="R537" s="119"/>
      <c r="U537" s="119"/>
      <c r="X537" s="119"/>
      <c r="AA537" s="119"/>
      <c r="AD537" s="119"/>
      <c r="AM537"/>
    </row>
    <row r="538" spans="1:39" ht="18" x14ac:dyDescent="0.45">
      <c r="A538" s="143"/>
      <c r="B538" s="252"/>
      <c r="C538" s="119"/>
      <c r="F538" s="119"/>
      <c r="I538" s="119"/>
      <c r="L538" s="119"/>
      <c r="O538" s="119"/>
      <c r="R538" s="119"/>
      <c r="U538" s="119"/>
      <c r="X538" s="119"/>
      <c r="AA538" s="119"/>
      <c r="AD538" s="119"/>
      <c r="AM538"/>
    </row>
    <row r="539" spans="1:39" ht="18" x14ac:dyDescent="0.45">
      <c r="A539" s="143"/>
      <c r="B539" s="252"/>
      <c r="C539" s="119"/>
      <c r="F539" s="119"/>
      <c r="I539" s="119"/>
      <c r="L539" s="119"/>
      <c r="O539" s="119"/>
      <c r="R539" s="119"/>
      <c r="U539" s="119"/>
      <c r="X539" s="119"/>
      <c r="AA539" s="119"/>
      <c r="AD539" s="119"/>
      <c r="AM539"/>
    </row>
    <row r="540" spans="1:39" ht="18" x14ac:dyDescent="0.45">
      <c r="A540" s="143"/>
      <c r="B540" s="252"/>
      <c r="C540" s="119"/>
      <c r="F540" s="119"/>
      <c r="I540" s="119"/>
      <c r="L540" s="119"/>
      <c r="O540" s="119"/>
      <c r="R540" s="119"/>
      <c r="U540" s="119"/>
      <c r="X540" s="119"/>
      <c r="AA540" s="119"/>
      <c r="AD540" s="119"/>
      <c r="AM540"/>
    </row>
    <row r="541" spans="1:39" ht="18" x14ac:dyDescent="0.45">
      <c r="A541" s="143"/>
      <c r="B541" s="252"/>
      <c r="C541" s="119"/>
      <c r="F541" s="119"/>
      <c r="I541" s="119"/>
      <c r="L541" s="119"/>
      <c r="O541" s="119"/>
      <c r="R541" s="119"/>
      <c r="U541" s="119"/>
      <c r="X541" s="119"/>
      <c r="AA541" s="119"/>
      <c r="AD541" s="119"/>
      <c r="AM541"/>
    </row>
    <row r="542" spans="1:39" ht="18" x14ac:dyDescent="0.45">
      <c r="A542" s="143"/>
      <c r="B542" s="252"/>
      <c r="C542" s="119"/>
      <c r="F542" s="119"/>
      <c r="I542" s="119"/>
      <c r="L542" s="119"/>
      <c r="O542" s="119"/>
      <c r="R542" s="119"/>
      <c r="U542" s="119"/>
      <c r="X542" s="119"/>
      <c r="AA542" s="119"/>
      <c r="AD542" s="119"/>
      <c r="AM542"/>
    </row>
    <row r="543" spans="1:39" ht="18" x14ac:dyDescent="0.45">
      <c r="A543" s="143"/>
      <c r="B543" s="252"/>
      <c r="C543" s="119"/>
      <c r="F543" s="119"/>
      <c r="I543" s="119"/>
      <c r="L543" s="119"/>
      <c r="O543" s="119"/>
      <c r="R543" s="119"/>
      <c r="U543" s="119"/>
      <c r="X543" s="119"/>
      <c r="AA543" s="119"/>
      <c r="AD543" s="119"/>
      <c r="AM543"/>
    </row>
    <row r="544" spans="1:39" ht="18" x14ac:dyDescent="0.45">
      <c r="A544" s="143"/>
      <c r="B544" s="252"/>
      <c r="C544" s="119"/>
      <c r="F544" s="119"/>
      <c r="I544" s="119"/>
      <c r="L544" s="119"/>
      <c r="O544" s="119"/>
      <c r="R544" s="119"/>
      <c r="U544" s="119"/>
      <c r="X544" s="119"/>
      <c r="AA544" s="119"/>
      <c r="AD544" s="119"/>
      <c r="AM544"/>
    </row>
    <row r="545" spans="1:39" ht="18" x14ac:dyDescent="0.45">
      <c r="A545" s="143"/>
      <c r="B545" s="252"/>
      <c r="C545" s="119"/>
      <c r="F545" s="119"/>
      <c r="I545" s="119"/>
      <c r="L545" s="119"/>
      <c r="O545" s="119"/>
      <c r="R545" s="119"/>
      <c r="U545" s="119"/>
      <c r="X545" s="119"/>
      <c r="AA545" s="119"/>
      <c r="AD545" s="119"/>
      <c r="AM545"/>
    </row>
    <row r="546" spans="1:39" ht="18" x14ac:dyDescent="0.45">
      <c r="A546" s="143"/>
      <c r="B546" s="252"/>
      <c r="C546" s="119"/>
      <c r="F546" s="119"/>
      <c r="I546" s="119"/>
      <c r="L546" s="119"/>
      <c r="O546" s="119"/>
      <c r="R546" s="119"/>
      <c r="U546" s="119"/>
      <c r="X546" s="119"/>
      <c r="AA546" s="119"/>
      <c r="AD546" s="119"/>
      <c r="AM546"/>
    </row>
    <row r="547" spans="1:39" ht="18" x14ac:dyDescent="0.45">
      <c r="A547" s="143"/>
      <c r="B547" s="252"/>
      <c r="C547" s="119"/>
      <c r="F547" s="119"/>
      <c r="I547" s="119"/>
      <c r="L547" s="119"/>
      <c r="O547" s="119"/>
      <c r="R547" s="119"/>
      <c r="U547" s="119"/>
      <c r="X547" s="119"/>
      <c r="AA547" s="119"/>
      <c r="AD547" s="119"/>
      <c r="AM547"/>
    </row>
    <row r="548" spans="1:39" ht="18" x14ac:dyDescent="0.45">
      <c r="A548" s="143"/>
      <c r="B548" s="252"/>
      <c r="C548" s="119"/>
      <c r="F548" s="119"/>
      <c r="I548" s="119"/>
      <c r="L548" s="119"/>
      <c r="O548" s="119"/>
      <c r="R548" s="119"/>
      <c r="U548" s="119"/>
      <c r="X548" s="119"/>
      <c r="AA548" s="119"/>
      <c r="AD548" s="119"/>
      <c r="AM548"/>
    </row>
    <row r="549" spans="1:39" ht="18" x14ac:dyDescent="0.45">
      <c r="A549" s="143"/>
      <c r="B549" s="252"/>
      <c r="C549" s="119"/>
      <c r="F549" s="119"/>
      <c r="I549" s="119"/>
      <c r="L549" s="119"/>
      <c r="O549" s="119"/>
      <c r="R549" s="119"/>
      <c r="U549" s="119"/>
      <c r="X549" s="119"/>
      <c r="AA549" s="119"/>
      <c r="AD549" s="119"/>
      <c r="AM549"/>
    </row>
    <row r="550" spans="1:39" ht="18" x14ac:dyDescent="0.45">
      <c r="A550" s="143"/>
      <c r="B550" s="252"/>
      <c r="C550" s="119"/>
      <c r="F550" s="119"/>
      <c r="I550" s="119"/>
      <c r="L550" s="119"/>
      <c r="O550" s="119"/>
      <c r="R550" s="119"/>
      <c r="U550" s="119"/>
      <c r="X550" s="119"/>
      <c r="AA550" s="119"/>
      <c r="AD550" s="119"/>
      <c r="AM550"/>
    </row>
    <row r="551" spans="1:39" ht="18" x14ac:dyDescent="0.45">
      <c r="A551" s="143"/>
      <c r="B551" s="252"/>
      <c r="C551" s="119"/>
      <c r="F551" s="119"/>
      <c r="I551" s="119"/>
      <c r="L551" s="119"/>
      <c r="O551" s="119"/>
      <c r="R551" s="119"/>
      <c r="U551" s="119"/>
      <c r="X551" s="119"/>
      <c r="AA551" s="119"/>
      <c r="AD551" s="119"/>
      <c r="AM551"/>
    </row>
    <row r="552" spans="1:39" ht="18" x14ac:dyDescent="0.45">
      <c r="A552" s="143"/>
      <c r="B552" s="252"/>
      <c r="C552" s="119"/>
      <c r="F552" s="119"/>
      <c r="I552" s="119"/>
      <c r="L552" s="119"/>
      <c r="O552" s="119"/>
      <c r="R552" s="119"/>
      <c r="U552" s="119"/>
      <c r="X552" s="119"/>
      <c r="AA552" s="119"/>
      <c r="AD552" s="119"/>
      <c r="AM552"/>
    </row>
    <row r="553" spans="1:39" ht="18" x14ac:dyDescent="0.45">
      <c r="A553" s="143"/>
      <c r="B553" s="252"/>
      <c r="C553" s="119"/>
      <c r="F553" s="119"/>
      <c r="I553" s="119"/>
      <c r="L553" s="119"/>
      <c r="O553" s="119"/>
      <c r="R553" s="119"/>
      <c r="U553" s="119"/>
      <c r="X553" s="119"/>
      <c r="AA553" s="119"/>
      <c r="AD553" s="119"/>
      <c r="AM553"/>
    </row>
    <row r="554" spans="1:39" ht="18" x14ac:dyDescent="0.45">
      <c r="A554" s="143"/>
      <c r="B554" s="252"/>
      <c r="C554" s="119"/>
      <c r="F554" s="119"/>
      <c r="I554" s="119"/>
      <c r="L554" s="119"/>
      <c r="O554" s="119"/>
      <c r="R554" s="119"/>
      <c r="U554" s="119"/>
      <c r="X554" s="119"/>
      <c r="AA554" s="119"/>
      <c r="AD554" s="119"/>
      <c r="AM554"/>
    </row>
    <row r="555" spans="1:39" ht="18" x14ac:dyDescent="0.45">
      <c r="A555" s="143"/>
      <c r="B555" s="252"/>
      <c r="C555" s="119"/>
      <c r="F555" s="119"/>
      <c r="I555" s="119"/>
      <c r="L555" s="119"/>
      <c r="O555" s="119"/>
      <c r="R555" s="119"/>
      <c r="U555" s="119"/>
      <c r="X555" s="119"/>
      <c r="AA555" s="119"/>
      <c r="AD555" s="119"/>
      <c r="AM555"/>
    </row>
    <row r="556" spans="1:39" ht="18" x14ac:dyDescent="0.45">
      <c r="A556" s="143"/>
      <c r="B556" s="252"/>
      <c r="C556" s="119"/>
      <c r="F556" s="119"/>
      <c r="I556" s="119"/>
      <c r="L556" s="119"/>
      <c r="O556" s="119"/>
      <c r="R556" s="119"/>
      <c r="U556" s="119"/>
      <c r="X556" s="119"/>
      <c r="AA556" s="119"/>
      <c r="AD556" s="119"/>
      <c r="AM556"/>
    </row>
    <row r="557" spans="1:39" ht="18" x14ac:dyDescent="0.45">
      <c r="A557" s="143"/>
      <c r="B557" s="252"/>
      <c r="C557" s="119"/>
      <c r="F557" s="119"/>
      <c r="I557" s="119"/>
      <c r="L557" s="119"/>
      <c r="O557" s="119"/>
      <c r="R557" s="119"/>
      <c r="U557" s="119"/>
      <c r="X557" s="119"/>
      <c r="AA557" s="119"/>
      <c r="AD557" s="119"/>
      <c r="AM557"/>
    </row>
    <row r="558" spans="1:39" ht="18" x14ac:dyDescent="0.45">
      <c r="A558" s="143"/>
      <c r="B558" s="252"/>
      <c r="C558" s="119"/>
      <c r="F558" s="119"/>
      <c r="I558" s="119"/>
      <c r="L558" s="119"/>
      <c r="O558" s="119"/>
      <c r="R558" s="119"/>
      <c r="U558" s="119"/>
      <c r="X558" s="119"/>
      <c r="AA558" s="119"/>
      <c r="AD558" s="119"/>
      <c r="AM558"/>
    </row>
    <row r="559" spans="1:39" ht="18" x14ac:dyDescent="0.45">
      <c r="A559" s="143"/>
      <c r="B559" s="252"/>
      <c r="C559" s="119"/>
      <c r="F559" s="119"/>
      <c r="I559" s="119"/>
      <c r="L559" s="119"/>
      <c r="O559" s="119"/>
      <c r="R559" s="119"/>
      <c r="U559" s="119"/>
      <c r="X559" s="119"/>
      <c r="AA559" s="119"/>
      <c r="AD559" s="119"/>
      <c r="AM559"/>
    </row>
    <row r="560" spans="1:39" ht="18" x14ac:dyDescent="0.45">
      <c r="A560" s="143"/>
      <c r="B560" s="252"/>
      <c r="C560" s="119"/>
      <c r="F560" s="119"/>
      <c r="I560" s="119"/>
      <c r="L560" s="119"/>
      <c r="O560" s="119"/>
      <c r="R560" s="119"/>
      <c r="U560" s="119"/>
      <c r="X560" s="119"/>
      <c r="AA560" s="119"/>
      <c r="AD560" s="119"/>
      <c r="AM560"/>
    </row>
    <row r="561" spans="1:39" ht="18" x14ac:dyDescent="0.45">
      <c r="A561" s="143"/>
      <c r="B561" s="252"/>
      <c r="C561" s="119"/>
      <c r="F561" s="119"/>
      <c r="I561" s="119"/>
      <c r="L561" s="119"/>
      <c r="O561" s="119"/>
      <c r="R561" s="119"/>
      <c r="U561" s="119"/>
      <c r="X561" s="119"/>
      <c r="AA561" s="119"/>
      <c r="AD561" s="119"/>
      <c r="AM561"/>
    </row>
    <row r="562" spans="1:39" ht="18" x14ac:dyDescent="0.45">
      <c r="A562" s="143"/>
      <c r="B562" s="252"/>
      <c r="C562" s="119"/>
      <c r="F562" s="119"/>
      <c r="I562" s="119"/>
      <c r="L562" s="119"/>
      <c r="O562" s="119"/>
      <c r="R562" s="119"/>
      <c r="U562" s="119"/>
      <c r="X562" s="119"/>
      <c r="AA562" s="119"/>
      <c r="AD562" s="119"/>
      <c r="AM562"/>
    </row>
    <row r="563" spans="1:39" ht="18" x14ac:dyDescent="0.45">
      <c r="A563" s="143"/>
      <c r="B563" s="252"/>
      <c r="C563" s="119"/>
      <c r="F563" s="119"/>
      <c r="I563" s="119"/>
      <c r="L563" s="119"/>
      <c r="O563" s="119"/>
      <c r="R563" s="119"/>
      <c r="U563" s="119"/>
      <c r="X563" s="119"/>
      <c r="AA563" s="119"/>
      <c r="AD563" s="119"/>
      <c r="AM563"/>
    </row>
    <row r="564" spans="1:39" ht="18" x14ac:dyDescent="0.45">
      <c r="A564" s="143"/>
      <c r="B564" s="252"/>
      <c r="C564" s="119"/>
      <c r="F564" s="119"/>
      <c r="I564" s="119"/>
      <c r="L564" s="119"/>
      <c r="O564" s="119"/>
      <c r="R564" s="119"/>
      <c r="U564" s="119"/>
      <c r="X564" s="119"/>
      <c r="AA564" s="119"/>
      <c r="AD564" s="119"/>
      <c r="AM564"/>
    </row>
    <row r="565" spans="1:39" ht="18" x14ac:dyDescent="0.45">
      <c r="A565" s="143"/>
      <c r="B565" s="252"/>
      <c r="C565" s="119"/>
      <c r="F565" s="119"/>
      <c r="I565" s="119"/>
      <c r="L565" s="119"/>
      <c r="O565" s="119"/>
      <c r="R565" s="119"/>
      <c r="U565" s="119"/>
      <c r="X565" s="119"/>
      <c r="AA565" s="119"/>
      <c r="AD565" s="119"/>
      <c r="AM565"/>
    </row>
    <row r="566" spans="1:39" ht="18" x14ac:dyDescent="0.45">
      <c r="A566" s="143"/>
      <c r="B566" s="252"/>
      <c r="C566" s="119"/>
      <c r="F566" s="119"/>
      <c r="I566" s="119"/>
      <c r="L566" s="119"/>
      <c r="O566" s="119"/>
      <c r="R566" s="119"/>
      <c r="U566" s="119"/>
      <c r="X566" s="119"/>
      <c r="AA566" s="119"/>
      <c r="AD566" s="119"/>
      <c r="AM566"/>
    </row>
    <row r="567" spans="1:39" ht="18" x14ac:dyDescent="0.45">
      <c r="A567" s="143"/>
      <c r="B567" s="252"/>
      <c r="C567" s="119"/>
      <c r="F567" s="119"/>
      <c r="I567" s="119"/>
      <c r="L567" s="119"/>
      <c r="O567" s="119"/>
      <c r="R567" s="119"/>
      <c r="U567" s="119"/>
      <c r="X567" s="119"/>
      <c r="AA567" s="119"/>
      <c r="AD567" s="119"/>
      <c r="AM567"/>
    </row>
    <row r="568" spans="1:39" ht="18" x14ac:dyDescent="0.45">
      <c r="A568" s="143"/>
      <c r="B568" s="252"/>
      <c r="C568" s="119"/>
      <c r="F568" s="119"/>
      <c r="I568" s="119"/>
      <c r="L568" s="119"/>
      <c r="O568" s="119"/>
      <c r="R568" s="119"/>
      <c r="U568" s="119"/>
      <c r="X568" s="119"/>
      <c r="AA568" s="119"/>
      <c r="AD568" s="119"/>
      <c r="AM568"/>
    </row>
    <row r="569" spans="1:39" ht="18" x14ac:dyDescent="0.45">
      <c r="A569" s="143"/>
      <c r="B569" s="252"/>
      <c r="C569" s="119"/>
      <c r="F569" s="119"/>
      <c r="I569" s="119"/>
      <c r="L569" s="119"/>
      <c r="O569" s="119"/>
      <c r="R569" s="119"/>
      <c r="U569" s="119"/>
      <c r="X569" s="119"/>
      <c r="AA569" s="119"/>
      <c r="AD569" s="119"/>
      <c r="AM569"/>
    </row>
    <row r="570" spans="1:39" ht="18" x14ac:dyDescent="0.45">
      <c r="A570" s="143"/>
      <c r="B570" s="252"/>
      <c r="C570" s="119"/>
      <c r="F570" s="119"/>
      <c r="I570" s="119"/>
      <c r="L570" s="119"/>
      <c r="O570" s="119"/>
      <c r="R570" s="119"/>
      <c r="U570" s="119"/>
      <c r="X570" s="119"/>
      <c r="AA570" s="119"/>
      <c r="AD570" s="119"/>
      <c r="AM570"/>
    </row>
    <row r="571" spans="1:39" ht="18" x14ac:dyDescent="0.45">
      <c r="A571" s="143"/>
      <c r="B571" s="252"/>
      <c r="C571" s="119"/>
      <c r="F571" s="119"/>
      <c r="I571" s="119"/>
      <c r="L571" s="119"/>
      <c r="O571" s="119"/>
      <c r="R571" s="119"/>
      <c r="U571" s="119"/>
      <c r="X571" s="119"/>
      <c r="AA571" s="119"/>
      <c r="AD571" s="119"/>
      <c r="AM571"/>
    </row>
    <row r="572" spans="1:39" ht="18" x14ac:dyDescent="0.45">
      <c r="A572" s="143"/>
      <c r="B572" s="252"/>
      <c r="C572" s="119"/>
      <c r="F572" s="119"/>
      <c r="I572" s="119"/>
      <c r="L572" s="119"/>
      <c r="O572" s="119"/>
      <c r="R572" s="119"/>
      <c r="U572" s="119"/>
      <c r="X572" s="119"/>
      <c r="AA572" s="119"/>
      <c r="AD572" s="119"/>
      <c r="AM572"/>
    </row>
    <row r="573" spans="1:39" ht="18" x14ac:dyDescent="0.45">
      <c r="A573" s="143"/>
      <c r="B573" s="252"/>
      <c r="C573" s="119"/>
      <c r="F573" s="119"/>
      <c r="I573" s="119"/>
      <c r="L573" s="119"/>
      <c r="O573" s="119"/>
      <c r="R573" s="119"/>
      <c r="U573" s="119"/>
      <c r="X573" s="119"/>
      <c r="AA573" s="119"/>
      <c r="AD573" s="119"/>
      <c r="AM573"/>
    </row>
    <row r="574" spans="1:39" ht="18" x14ac:dyDescent="0.45">
      <c r="A574" s="143"/>
      <c r="B574" s="252"/>
      <c r="C574" s="119"/>
      <c r="F574" s="119"/>
      <c r="I574" s="119"/>
      <c r="L574" s="119"/>
      <c r="O574" s="119"/>
      <c r="R574" s="119"/>
      <c r="U574" s="119"/>
      <c r="X574" s="119"/>
      <c r="AA574" s="119"/>
      <c r="AD574" s="119"/>
      <c r="AM574"/>
    </row>
    <row r="575" spans="1:39" ht="18" x14ac:dyDescent="0.45">
      <c r="A575" s="143"/>
      <c r="B575" s="252"/>
      <c r="C575" s="119"/>
      <c r="F575" s="119"/>
      <c r="I575" s="119"/>
      <c r="L575" s="119"/>
      <c r="O575" s="119"/>
      <c r="R575" s="119"/>
      <c r="U575" s="119"/>
      <c r="X575" s="119"/>
      <c r="AA575" s="119"/>
      <c r="AD575" s="119"/>
      <c r="AM575"/>
    </row>
    <row r="576" spans="1:39" ht="18" x14ac:dyDescent="0.45">
      <c r="A576" s="143"/>
      <c r="B576" s="252"/>
      <c r="C576" s="119"/>
      <c r="F576" s="119"/>
      <c r="I576" s="119"/>
      <c r="L576" s="119"/>
      <c r="O576" s="119"/>
      <c r="R576" s="119"/>
      <c r="U576" s="119"/>
      <c r="X576" s="119"/>
      <c r="AA576" s="119"/>
      <c r="AD576" s="119"/>
      <c r="AM576"/>
    </row>
    <row r="577" spans="1:39" ht="18" x14ac:dyDescent="0.45">
      <c r="A577" s="143"/>
      <c r="B577" s="252"/>
      <c r="C577" s="119"/>
      <c r="F577" s="119"/>
      <c r="I577" s="119"/>
      <c r="L577" s="119"/>
      <c r="O577" s="119"/>
      <c r="R577" s="119"/>
      <c r="U577" s="119"/>
      <c r="X577" s="119"/>
      <c r="AA577" s="119"/>
      <c r="AD577" s="119"/>
      <c r="AM577"/>
    </row>
    <row r="578" spans="1:39" ht="18" x14ac:dyDescent="0.45">
      <c r="A578" s="143"/>
      <c r="B578" s="252"/>
      <c r="C578" s="119"/>
      <c r="F578" s="119"/>
      <c r="I578" s="119"/>
      <c r="L578" s="119"/>
      <c r="O578" s="119"/>
      <c r="R578" s="119"/>
      <c r="U578" s="119"/>
      <c r="X578" s="119"/>
      <c r="AA578" s="119"/>
      <c r="AD578" s="119"/>
      <c r="AM578"/>
    </row>
    <row r="579" spans="1:39" ht="18" x14ac:dyDescent="0.45">
      <c r="A579" s="143"/>
      <c r="B579" s="252"/>
      <c r="C579" s="119"/>
      <c r="F579" s="119"/>
      <c r="I579" s="119"/>
      <c r="L579" s="119"/>
      <c r="O579" s="119"/>
      <c r="R579" s="119"/>
      <c r="U579" s="119"/>
      <c r="X579" s="119"/>
      <c r="AA579" s="119"/>
      <c r="AD579" s="119"/>
      <c r="AM579"/>
    </row>
    <row r="580" spans="1:39" ht="18" x14ac:dyDescent="0.45">
      <c r="A580" s="143"/>
      <c r="B580" s="252"/>
      <c r="C580" s="119"/>
      <c r="F580" s="119"/>
      <c r="I580" s="119"/>
      <c r="L580" s="119"/>
      <c r="O580" s="119"/>
      <c r="R580" s="119"/>
      <c r="U580" s="119"/>
      <c r="X580" s="119"/>
      <c r="AA580" s="119"/>
      <c r="AD580" s="119"/>
      <c r="AM580"/>
    </row>
    <row r="581" spans="1:39" ht="18" x14ac:dyDescent="0.45">
      <c r="A581" s="143"/>
      <c r="B581" s="252"/>
      <c r="C581" s="119"/>
      <c r="F581" s="119"/>
      <c r="I581" s="119"/>
      <c r="L581" s="119"/>
      <c r="O581" s="119"/>
      <c r="R581" s="119"/>
      <c r="U581" s="119"/>
      <c r="X581" s="119"/>
      <c r="AA581" s="119"/>
      <c r="AD581" s="119"/>
      <c r="AM581"/>
    </row>
    <row r="582" spans="1:39" ht="18" x14ac:dyDescent="0.45">
      <c r="A582" s="143"/>
      <c r="B582" s="252"/>
      <c r="C582" s="119"/>
      <c r="F582" s="119"/>
      <c r="I582" s="119"/>
      <c r="L582" s="119"/>
      <c r="O582" s="119"/>
      <c r="R582" s="119"/>
      <c r="U582" s="119"/>
      <c r="X582" s="119"/>
      <c r="AA582" s="119"/>
      <c r="AD582" s="119"/>
      <c r="AM582"/>
    </row>
    <row r="583" spans="1:39" ht="18" x14ac:dyDescent="0.45">
      <c r="A583" s="143"/>
      <c r="B583" s="252"/>
      <c r="C583" s="119"/>
      <c r="F583" s="119"/>
      <c r="I583" s="119"/>
      <c r="L583" s="119"/>
      <c r="O583" s="119"/>
      <c r="R583" s="119"/>
      <c r="U583" s="119"/>
      <c r="X583" s="119"/>
      <c r="AA583" s="119"/>
      <c r="AD583" s="119"/>
      <c r="AM583"/>
    </row>
    <row r="584" spans="1:39" ht="18" x14ac:dyDescent="0.45">
      <c r="A584" s="143"/>
      <c r="B584" s="252"/>
      <c r="C584" s="119"/>
      <c r="F584" s="119"/>
      <c r="I584" s="119"/>
      <c r="L584" s="119"/>
      <c r="O584" s="119"/>
      <c r="R584" s="119"/>
      <c r="U584" s="119"/>
      <c r="X584" s="119"/>
      <c r="AA584" s="119"/>
      <c r="AD584" s="119"/>
      <c r="AM584"/>
    </row>
    <row r="585" spans="1:39" ht="18" x14ac:dyDescent="0.45">
      <c r="A585" s="143"/>
      <c r="B585" s="252"/>
      <c r="C585" s="119"/>
      <c r="F585" s="119"/>
      <c r="I585" s="119"/>
      <c r="L585" s="119"/>
      <c r="O585" s="119"/>
      <c r="R585" s="119"/>
      <c r="U585" s="119"/>
      <c r="X585" s="119"/>
      <c r="AA585" s="119"/>
      <c r="AD585" s="119"/>
      <c r="AM585"/>
    </row>
    <row r="586" spans="1:39" ht="18" x14ac:dyDescent="0.45">
      <c r="A586" s="143"/>
      <c r="B586" s="252"/>
      <c r="C586" s="119"/>
      <c r="F586" s="119"/>
      <c r="I586" s="119"/>
      <c r="L586" s="119"/>
      <c r="O586" s="119"/>
      <c r="R586" s="119"/>
      <c r="U586" s="119"/>
      <c r="X586" s="119"/>
      <c r="AA586" s="119"/>
      <c r="AD586" s="119"/>
      <c r="AM586"/>
    </row>
    <row r="587" spans="1:39" ht="18" x14ac:dyDescent="0.45">
      <c r="A587" s="143"/>
      <c r="B587" s="252"/>
      <c r="C587" s="119"/>
      <c r="F587" s="119"/>
      <c r="I587" s="119"/>
      <c r="L587" s="119"/>
      <c r="O587" s="119"/>
      <c r="R587" s="119"/>
      <c r="U587" s="119"/>
      <c r="X587" s="119"/>
      <c r="AA587" s="119"/>
      <c r="AD587" s="119"/>
      <c r="AM587"/>
    </row>
    <row r="588" spans="1:39" ht="18" x14ac:dyDescent="0.45">
      <c r="A588" s="143"/>
      <c r="B588" s="252"/>
      <c r="C588" s="119"/>
      <c r="F588" s="119"/>
      <c r="I588" s="119"/>
      <c r="L588" s="119"/>
      <c r="O588" s="119"/>
      <c r="R588" s="119"/>
      <c r="U588" s="119"/>
      <c r="X588" s="119"/>
      <c r="AA588" s="119"/>
      <c r="AD588" s="119"/>
      <c r="AM588"/>
    </row>
    <row r="589" spans="1:39" ht="18" x14ac:dyDescent="0.45">
      <c r="A589" s="143"/>
      <c r="B589" s="252"/>
      <c r="C589" s="119"/>
      <c r="F589" s="119"/>
      <c r="I589" s="119"/>
      <c r="L589" s="119"/>
      <c r="O589" s="119"/>
      <c r="R589" s="119"/>
      <c r="U589" s="119"/>
      <c r="X589" s="119"/>
      <c r="AA589" s="119"/>
      <c r="AD589" s="119"/>
      <c r="AM589"/>
    </row>
    <row r="590" spans="1:39" ht="18" x14ac:dyDescent="0.45">
      <c r="A590" s="143"/>
      <c r="B590" s="252"/>
      <c r="C590" s="119"/>
      <c r="F590" s="119"/>
      <c r="I590" s="119"/>
      <c r="L590" s="119"/>
      <c r="O590" s="119"/>
      <c r="R590" s="119"/>
      <c r="U590" s="119"/>
      <c r="X590" s="119"/>
      <c r="AA590" s="119"/>
      <c r="AD590" s="119"/>
      <c r="AM590"/>
    </row>
    <row r="591" spans="1:39" ht="18" x14ac:dyDescent="0.45">
      <c r="A591" s="143"/>
      <c r="B591" s="252"/>
      <c r="C591" s="119"/>
      <c r="F591" s="119"/>
      <c r="I591" s="119"/>
      <c r="L591" s="119"/>
      <c r="O591" s="119"/>
      <c r="R591" s="119"/>
      <c r="U591" s="119"/>
      <c r="X591" s="119"/>
      <c r="AA591" s="119"/>
      <c r="AD591" s="119"/>
      <c r="AM591"/>
    </row>
    <row r="592" spans="1:39" ht="18" x14ac:dyDescent="0.45">
      <c r="A592" s="143"/>
      <c r="B592" s="252"/>
      <c r="C592" s="119"/>
      <c r="F592" s="119"/>
      <c r="I592" s="119"/>
      <c r="L592" s="119"/>
      <c r="O592" s="119"/>
      <c r="R592" s="119"/>
      <c r="U592" s="119"/>
      <c r="X592" s="119"/>
      <c r="AA592" s="119"/>
      <c r="AD592" s="119"/>
      <c r="AM592"/>
    </row>
    <row r="593" spans="1:39" ht="18" x14ac:dyDescent="0.45">
      <c r="A593" s="143"/>
      <c r="B593" s="252"/>
      <c r="C593" s="119"/>
      <c r="F593" s="119"/>
      <c r="I593" s="119"/>
      <c r="L593" s="119"/>
      <c r="O593" s="119"/>
      <c r="R593" s="119"/>
      <c r="U593" s="119"/>
      <c r="X593" s="119"/>
      <c r="AA593" s="119"/>
      <c r="AD593" s="119"/>
      <c r="AM593"/>
    </row>
    <row r="594" spans="1:39" ht="18" x14ac:dyDescent="0.45">
      <c r="A594" s="143"/>
      <c r="B594" s="252"/>
      <c r="C594" s="119"/>
      <c r="F594" s="119"/>
      <c r="I594" s="119"/>
      <c r="L594" s="119"/>
      <c r="O594" s="119"/>
      <c r="R594" s="119"/>
      <c r="U594" s="119"/>
      <c r="X594" s="119"/>
      <c r="AA594" s="119"/>
      <c r="AD594" s="119"/>
      <c r="AM594"/>
    </row>
    <row r="595" spans="1:39" ht="18" x14ac:dyDescent="0.45">
      <c r="A595" s="143"/>
      <c r="B595" s="252"/>
      <c r="C595" s="119"/>
      <c r="F595" s="119"/>
      <c r="I595" s="119"/>
      <c r="L595" s="119"/>
      <c r="O595" s="119"/>
      <c r="R595" s="119"/>
      <c r="U595" s="119"/>
      <c r="X595" s="119"/>
      <c r="AA595" s="119"/>
      <c r="AD595" s="119"/>
      <c r="AM595"/>
    </row>
    <row r="596" spans="1:39" ht="18" x14ac:dyDescent="0.45">
      <c r="A596" s="143"/>
      <c r="B596" s="252"/>
      <c r="C596" s="119"/>
      <c r="F596" s="119"/>
      <c r="I596" s="119"/>
      <c r="L596" s="119"/>
      <c r="O596" s="119"/>
      <c r="R596" s="119"/>
      <c r="U596" s="119"/>
      <c r="X596" s="119"/>
      <c r="AA596" s="119"/>
      <c r="AD596" s="119"/>
      <c r="AM596"/>
    </row>
    <row r="597" spans="1:39" ht="18" x14ac:dyDescent="0.45">
      <c r="A597" s="143"/>
      <c r="B597" s="252"/>
      <c r="C597" s="119"/>
      <c r="F597" s="119"/>
      <c r="I597" s="119"/>
      <c r="L597" s="119"/>
      <c r="O597" s="119"/>
      <c r="R597" s="119"/>
      <c r="U597" s="119"/>
      <c r="X597" s="119"/>
      <c r="AA597" s="119"/>
      <c r="AD597" s="119"/>
      <c r="AM597"/>
    </row>
    <row r="598" spans="1:39" ht="18" x14ac:dyDescent="0.45">
      <c r="A598" s="143"/>
      <c r="B598" s="252"/>
      <c r="C598" s="119"/>
      <c r="F598" s="119"/>
      <c r="I598" s="119"/>
      <c r="L598" s="119"/>
      <c r="O598" s="119"/>
      <c r="R598" s="119"/>
      <c r="U598" s="119"/>
      <c r="X598" s="119"/>
      <c r="AA598" s="119"/>
      <c r="AD598" s="119"/>
      <c r="AM598"/>
    </row>
    <row r="599" spans="1:39" ht="18" x14ac:dyDescent="0.45">
      <c r="A599" s="143"/>
      <c r="B599" s="252"/>
      <c r="C599" s="119"/>
      <c r="F599" s="119"/>
      <c r="I599" s="119"/>
      <c r="L599" s="119"/>
      <c r="O599" s="119"/>
      <c r="R599" s="119"/>
      <c r="U599" s="119"/>
      <c r="X599" s="119"/>
      <c r="AA599" s="119"/>
      <c r="AD599" s="119"/>
      <c r="AM599"/>
    </row>
    <row r="600" spans="1:39" ht="18" x14ac:dyDescent="0.45">
      <c r="A600" s="143"/>
      <c r="B600" s="252"/>
      <c r="C600" s="119"/>
      <c r="F600" s="119"/>
      <c r="I600" s="119"/>
      <c r="L600" s="119"/>
      <c r="O600" s="119"/>
      <c r="R600" s="119"/>
      <c r="U600" s="119"/>
      <c r="X600" s="119"/>
      <c r="AA600" s="119"/>
      <c r="AD600" s="119"/>
      <c r="AM600"/>
    </row>
    <row r="601" spans="1:39" ht="18" x14ac:dyDescent="0.45">
      <c r="A601" s="143"/>
      <c r="B601" s="252"/>
      <c r="C601" s="119"/>
      <c r="F601" s="119"/>
      <c r="I601" s="119"/>
      <c r="L601" s="119"/>
      <c r="O601" s="119"/>
      <c r="R601" s="119"/>
      <c r="U601" s="119"/>
      <c r="X601" s="119"/>
      <c r="AA601" s="119"/>
      <c r="AD601" s="119"/>
      <c r="AM601"/>
    </row>
    <row r="602" spans="1:39" ht="18" x14ac:dyDescent="0.45">
      <c r="A602" s="143"/>
      <c r="B602" s="252"/>
      <c r="C602" s="119"/>
      <c r="F602" s="119"/>
      <c r="I602" s="119"/>
      <c r="L602" s="119"/>
      <c r="O602" s="119"/>
      <c r="R602" s="119"/>
      <c r="U602" s="119"/>
      <c r="X602" s="119"/>
      <c r="AA602" s="119"/>
      <c r="AD602" s="119"/>
      <c r="AM602"/>
    </row>
    <row r="603" spans="1:39" ht="18" x14ac:dyDescent="0.45">
      <c r="A603" s="143"/>
      <c r="B603" s="252"/>
      <c r="C603" s="119"/>
      <c r="F603" s="119"/>
      <c r="I603" s="119"/>
      <c r="L603" s="119"/>
      <c r="O603" s="119"/>
      <c r="R603" s="119"/>
      <c r="U603" s="119"/>
      <c r="X603" s="119"/>
      <c r="AA603" s="119"/>
      <c r="AD603" s="119"/>
      <c r="AM603"/>
    </row>
    <row r="604" spans="1:39" ht="18" x14ac:dyDescent="0.45">
      <c r="A604" s="143"/>
      <c r="B604" s="252"/>
      <c r="C604" s="119"/>
      <c r="F604" s="119"/>
      <c r="I604" s="119"/>
      <c r="L604" s="119"/>
      <c r="O604" s="119"/>
      <c r="R604" s="119"/>
      <c r="U604" s="119"/>
      <c r="X604" s="119"/>
      <c r="AA604" s="119"/>
      <c r="AD604" s="119"/>
      <c r="AM604"/>
    </row>
    <row r="605" spans="1:39" ht="18" x14ac:dyDescent="0.45">
      <c r="A605" s="143"/>
      <c r="B605" s="252"/>
      <c r="C605" s="119"/>
      <c r="F605" s="119"/>
      <c r="I605" s="119"/>
      <c r="L605" s="119"/>
      <c r="O605" s="119"/>
      <c r="R605" s="119"/>
      <c r="U605" s="119"/>
      <c r="X605" s="119"/>
      <c r="AA605" s="119"/>
      <c r="AD605" s="119"/>
      <c r="AM605"/>
    </row>
    <row r="606" spans="1:39" ht="18" x14ac:dyDescent="0.45">
      <c r="A606" s="143"/>
      <c r="B606" s="252"/>
      <c r="C606" s="119"/>
      <c r="F606" s="119"/>
      <c r="I606" s="119"/>
      <c r="L606" s="119"/>
      <c r="O606" s="119"/>
      <c r="R606" s="119"/>
      <c r="U606" s="119"/>
      <c r="X606" s="119"/>
      <c r="AA606" s="119"/>
      <c r="AD606" s="119"/>
      <c r="AM606"/>
    </row>
    <row r="607" spans="1:39" ht="18" x14ac:dyDescent="0.45">
      <c r="A607" s="143"/>
      <c r="B607" s="252"/>
      <c r="C607" s="119"/>
      <c r="F607" s="119"/>
      <c r="I607" s="119"/>
      <c r="L607" s="119"/>
      <c r="O607" s="119"/>
      <c r="R607" s="119"/>
      <c r="U607" s="119"/>
      <c r="X607" s="119"/>
      <c r="AA607" s="119"/>
      <c r="AD607" s="119"/>
      <c r="AM607"/>
    </row>
    <row r="608" spans="1:39" ht="18" x14ac:dyDescent="0.45">
      <c r="A608" s="143"/>
      <c r="B608" s="252"/>
      <c r="C608" s="119"/>
      <c r="F608" s="119"/>
      <c r="I608" s="119"/>
      <c r="L608" s="119"/>
      <c r="O608" s="119"/>
      <c r="R608" s="119"/>
      <c r="U608" s="119"/>
      <c r="X608" s="119"/>
      <c r="AA608" s="119"/>
      <c r="AD608" s="119"/>
      <c r="AM608"/>
    </row>
    <row r="609" spans="1:39" ht="18" x14ac:dyDescent="0.45">
      <c r="A609" s="143"/>
      <c r="B609" s="252"/>
      <c r="C609" s="119"/>
      <c r="F609" s="119"/>
      <c r="I609" s="119"/>
      <c r="L609" s="119"/>
      <c r="O609" s="119"/>
      <c r="R609" s="119"/>
      <c r="U609" s="119"/>
      <c r="X609" s="119"/>
      <c r="AA609" s="119"/>
      <c r="AD609" s="119"/>
      <c r="AM609"/>
    </row>
    <row r="610" spans="1:39" ht="18" x14ac:dyDescent="0.45">
      <c r="A610" s="143"/>
      <c r="B610" s="252"/>
      <c r="C610" s="119"/>
      <c r="F610" s="119"/>
      <c r="I610" s="119"/>
      <c r="L610" s="119"/>
      <c r="O610" s="119"/>
      <c r="R610" s="119"/>
      <c r="U610" s="119"/>
      <c r="X610" s="119"/>
      <c r="AA610" s="119"/>
      <c r="AD610" s="119"/>
      <c r="AM610"/>
    </row>
    <row r="611" spans="1:39" ht="18" x14ac:dyDescent="0.45">
      <c r="A611" s="143"/>
      <c r="B611" s="252"/>
      <c r="C611" s="119"/>
      <c r="F611" s="119"/>
      <c r="I611" s="119"/>
      <c r="L611" s="119"/>
      <c r="O611" s="119"/>
      <c r="R611" s="119"/>
      <c r="U611" s="119"/>
      <c r="X611" s="119"/>
      <c r="AA611" s="119"/>
      <c r="AD611" s="119"/>
      <c r="AM611"/>
    </row>
    <row r="612" spans="1:39" ht="18" x14ac:dyDescent="0.45">
      <c r="A612" s="143"/>
      <c r="B612" s="252"/>
      <c r="C612" s="119"/>
      <c r="F612" s="119"/>
      <c r="I612" s="119"/>
      <c r="L612" s="119"/>
      <c r="O612" s="119"/>
      <c r="R612" s="119"/>
      <c r="U612" s="119"/>
      <c r="X612" s="119"/>
      <c r="AA612" s="119"/>
      <c r="AD612" s="119"/>
      <c r="AM612"/>
    </row>
    <row r="613" spans="1:39" ht="18" x14ac:dyDescent="0.45">
      <c r="A613" s="143"/>
      <c r="B613" s="252"/>
      <c r="C613" s="119"/>
      <c r="F613" s="119"/>
      <c r="I613" s="119"/>
      <c r="L613" s="119"/>
      <c r="O613" s="119"/>
      <c r="R613" s="119"/>
      <c r="U613" s="119"/>
      <c r="X613" s="119"/>
      <c r="AA613" s="119"/>
      <c r="AD613" s="119"/>
      <c r="AM613"/>
    </row>
    <row r="614" spans="1:39" ht="18" x14ac:dyDescent="0.45">
      <c r="A614" s="143"/>
      <c r="B614" s="252"/>
      <c r="C614" s="119"/>
      <c r="F614" s="119"/>
      <c r="I614" s="119"/>
      <c r="L614" s="119"/>
      <c r="O614" s="119"/>
      <c r="R614" s="119"/>
      <c r="U614" s="119"/>
      <c r="X614" s="119"/>
      <c r="AA614" s="119"/>
      <c r="AD614" s="119"/>
      <c r="AM614"/>
    </row>
    <row r="615" spans="1:39" ht="18" x14ac:dyDescent="0.45">
      <c r="A615" s="143"/>
      <c r="B615" s="252"/>
      <c r="C615" s="119"/>
      <c r="F615" s="119"/>
      <c r="I615" s="119"/>
      <c r="L615" s="119"/>
      <c r="O615" s="119"/>
      <c r="R615" s="119"/>
      <c r="U615" s="119"/>
      <c r="X615" s="119"/>
      <c r="AA615" s="119"/>
      <c r="AD615" s="119"/>
      <c r="AM615"/>
    </row>
    <row r="616" spans="1:39" ht="18" x14ac:dyDescent="0.45">
      <c r="A616" s="143"/>
      <c r="B616" s="252"/>
      <c r="C616" s="119"/>
      <c r="F616" s="119"/>
      <c r="I616" s="119"/>
      <c r="L616" s="119"/>
      <c r="O616" s="119"/>
      <c r="R616" s="119"/>
      <c r="U616" s="119"/>
      <c r="X616" s="119"/>
      <c r="AA616" s="119"/>
      <c r="AD616" s="119"/>
      <c r="AM616"/>
    </row>
    <row r="617" spans="1:39" ht="18" x14ac:dyDescent="0.45">
      <c r="A617" s="143"/>
      <c r="B617" s="252"/>
      <c r="C617" s="119"/>
      <c r="F617" s="119"/>
      <c r="I617" s="119"/>
      <c r="L617" s="119"/>
      <c r="O617" s="119"/>
      <c r="R617" s="119"/>
      <c r="U617" s="119"/>
      <c r="X617" s="119"/>
      <c r="AA617" s="119"/>
      <c r="AD617" s="119"/>
      <c r="AM617"/>
    </row>
    <row r="618" spans="1:39" ht="18" x14ac:dyDescent="0.45">
      <c r="A618" s="143"/>
      <c r="B618" s="252"/>
      <c r="C618" s="119"/>
      <c r="F618" s="119"/>
      <c r="I618" s="119"/>
      <c r="L618" s="119"/>
      <c r="O618" s="119"/>
      <c r="R618" s="119"/>
      <c r="U618" s="119"/>
      <c r="X618" s="119"/>
      <c r="AA618" s="119"/>
      <c r="AD618" s="119"/>
      <c r="AM618"/>
    </row>
    <row r="619" spans="1:39" ht="18" x14ac:dyDescent="0.45">
      <c r="A619" s="143"/>
      <c r="B619" s="252"/>
      <c r="C619" s="119"/>
      <c r="F619" s="119"/>
      <c r="I619" s="119"/>
      <c r="L619" s="119"/>
      <c r="O619" s="119"/>
      <c r="R619" s="119"/>
      <c r="U619" s="119"/>
      <c r="X619" s="119"/>
      <c r="AA619" s="119"/>
      <c r="AD619" s="119"/>
      <c r="AM619"/>
    </row>
    <row r="620" spans="1:39" ht="18" x14ac:dyDescent="0.45">
      <c r="A620" s="143"/>
      <c r="B620" s="252"/>
      <c r="C620" s="119"/>
      <c r="F620" s="119"/>
      <c r="I620" s="119"/>
      <c r="L620" s="119"/>
      <c r="O620" s="119"/>
      <c r="R620" s="119"/>
      <c r="U620" s="119"/>
      <c r="X620" s="119"/>
      <c r="AA620" s="119"/>
      <c r="AD620" s="119"/>
      <c r="AM620"/>
    </row>
    <row r="621" spans="1:39" ht="18" x14ac:dyDescent="0.45">
      <c r="A621" s="143"/>
      <c r="B621" s="252"/>
      <c r="C621" s="119"/>
      <c r="F621" s="119"/>
      <c r="I621" s="119"/>
      <c r="L621" s="119"/>
      <c r="O621" s="119"/>
      <c r="R621" s="119"/>
      <c r="U621" s="119"/>
      <c r="X621" s="119"/>
      <c r="AA621" s="119"/>
      <c r="AD621" s="119"/>
      <c r="AM621"/>
    </row>
    <row r="622" spans="1:39" ht="18" x14ac:dyDescent="0.45">
      <c r="A622" s="143"/>
      <c r="B622" s="252"/>
      <c r="C622" s="119"/>
      <c r="F622" s="119"/>
      <c r="I622" s="119"/>
      <c r="L622" s="119"/>
      <c r="O622" s="119"/>
      <c r="R622" s="119"/>
      <c r="U622" s="119"/>
      <c r="X622" s="119"/>
      <c r="AA622" s="119"/>
      <c r="AD622" s="119"/>
      <c r="AM622"/>
    </row>
    <row r="623" spans="1:39" ht="18" x14ac:dyDescent="0.45">
      <c r="A623" s="143"/>
      <c r="B623" s="252"/>
      <c r="C623" s="119"/>
      <c r="F623" s="119"/>
      <c r="I623" s="119"/>
      <c r="L623" s="119"/>
      <c r="O623" s="119"/>
      <c r="R623" s="119"/>
      <c r="U623" s="119"/>
      <c r="X623" s="119"/>
      <c r="AA623" s="119"/>
      <c r="AD623" s="119"/>
      <c r="AM623"/>
    </row>
    <row r="624" spans="1:39" ht="18" x14ac:dyDescent="0.45">
      <c r="A624" s="143"/>
      <c r="B624" s="252"/>
      <c r="C624" s="119"/>
      <c r="F624" s="119"/>
      <c r="I624" s="119"/>
      <c r="L624" s="119"/>
      <c r="O624" s="119"/>
      <c r="R624" s="119"/>
      <c r="U624" s="119"/>
      <c r="X624" s="119"/>
      <c r="AA624" s="119"/>
      <c r="AD624" s="119"/>
      <c r="AM624"/>
    </row>
    <row r="625" spans="1:39" ht="18" x14ac:dyDescent="0.45">
      <c r="A625" s="143"/>
      <c r="B625" s="252"/>
      <c r="C625" s="119"/>
      <c r="F625" s="119"/>
      <c r="I625" s="119"/>
      <c r="L625" s="119"/>
      <c r="O625" s="119"/>
      <c r="R625" s="119"/>
      <c r="U625" s="119"/>
      <c r="X625" s="119"/>
      <c r="AA625" s="119"/>
      <c r="AD625" s="119"/>
      <c r="AM625"/>
    </row>
    <row r="626" spans="1:39" ht="18" x14ac:dyDescent="0.45">
      <c r="A626" s="143"/>
      <c r="B626" s="252"/>
      <c r="C626" s="119"/>
      <c r="F626" s="119"/>
      <c r="I626" s="119"/>
      <c r="L626" s="119"/>
      <c r="O626" s="119"/>
      <c r="R626" s="119"/>
      <c r="U626" s="119"/>
      <c r="X626" s="119"/>
      <c r="AA626" s="119"/>
      <c r="AD626" s="119"/>
      <c r="AM626"/>
    </row>
    <row r="627" spans="1:39" ht="18" x14ac:dyDescent="0.45">
      <c r="A627" s="143"/>
      <c r="B627" s="252"/>
      <c r="C627" s="119"/>
      <c r="F627" s="119"/>
      <c r="I627" s="119"/>
      <c r="L627" s="119"/>
      <c r="O627" s="119"/>
      <c r="R627" s="119"/>
      <c r="U627" s="119"/>
      <c r="X627" s="119"/>
      <c r="AA627" s="119"/>
      <c r="AD627" s="119"/>
      <c r="AM627"/>
    </row>
    <row r="628" spans="1:39" ht="18" x14ac:dyDescent="0.45">
      <c r="A628" s="143"/>
      <c r="B628" s="252"/>
      <c r="C628" s="119"/>
      <c r="F628" s="119"/>
      <c r="I628" s="119"/>
      <c r="L628" s="119"/>
      <c r="O628" s="119"/>
      <c r="R628" s="119"/>
      <c r="U628" s="119"/>
      <c r="X628" s="119"/>
      <c r="AA628" s="119"/>
      <c r="AD628" s="119"/>
      <c r="AM628"/>
    </row>
    <row r="629" spans="1:39" ht="18" x14ac:dyDescent="0.45">
      <c r="A629" s="143"/>
      <c r="B629" s="252"/>
      <c r="C629" s="119"/>
      <c r="F629" s="119"/>
      <c r="I629" s="119"/>
      <c r="L629" s="119"/>
      <c r="O629" s="119"/>
      <c r="R629" s="119"/>
      <c r="U629" s="119"/>
      <c r="X629" s="119"/>
      <c r="AA629" s="119"/>
      <c r="AD629" s="119"/>
      <c r="AM629"/>
    </row>
    <row r="630" spans="1:39" ht="18" x14ac:dyDescent="0.45">
      <c r="A630" s="143"/>
      <c r="B630" s="252"/>
      <c r="C630" s="119"/>
      <c r="F630" s="119"/>
      <c r="I630" s="119"/>
      <c r="L630" s="119"/>
      <c r="O630" s="119"/>
      <c r="R630" s="119"/>
      <c r="U630" s="119"/>
      <c r="X630" s="119"/>
      <c r="AA630" s="119"/>
      <c r="AD630" s="119"/>
      <c r="AM630"/>
    </row>
    <row r="631" spans="1:39" ht="18" x14ac:dyDescent="0.45">
      <c r="A631" s="143"/>
      <c r="B631" s="252"/>
      <c r="C631" s="119"/>
      <c r="F631" s="119"/>
      <c r="I631" s="119"/>
      <c r="L631" s="119"/>
      <c r="O631" s="119"/>
      <c r="R631" s="119"/>
      <c r="U631" s="119"/>
      <c r="X631" s="119"/>
      <c r="AA631" s="119"/>
      <c r="AD631" s="119"/>
      <c r="AM631"/>
    </row>
    <row r="632" spans="1:39" ht="18" x14ac:dyDescent="0.45">
      <c r="A632" s="143"/>
      <c r="B632" s="252"/>
      <c r="C632" s="119"/>
      <c r="F632" s="119"/>
      <c r="I632" s="119"/>
      <c r="L632" s="119"/>
      <c r="O632" s="119"/>
      <c r="R632" s="119"/>
      <c r="U632" s="119"/>
      <c r="X632" s="119"/>
      <c r="AA632" s="119"/>
      <c r="AD632" s="119"/>
      <c r="AM632"/>
    </row>
    <row r="633" spans="1:39" ht="18" x14ac:dyDescent="0.45">
      <c r="A633" s="143"/>
      <c r="B633" s="252"/>
      <c r="C633" s="119"/>
      <c r="F633" s="119"/>
      <c r="I633" s="119"/>
      <c r="L633" s="119"/>
      <c r="O633" s="119"/>
      <c r="R633" s="119"/>
      <c r="U633" s="119"/>
      <c r="X633" s="119"/>
      <c r="AA633" s="119"/>
      <c r="AD633" s="119"/>
      <c r="AM633"/>
    </row>
    <row r="634" spans="1:39" ht="18" x14ac:dyDescent="0.45">
      <c r="A634" s="143"/>
      <c r="B634" s="252"/>
      <c r="C634" s="119"/>
      <c r="F634" s="119"/>
      <c r="I634" s="119"/>
      <c r="L634" s="119"/>
      <c r="O634" s="119"/>
      <c r="R634" s="119"/>
      <c r="U634" s="119"/>
      <c r="X634" s="119"/>
      <c r="AA634" s="119"/>
      <c r="AD634" s="119"/>
      <c r="AM634"/>
    </row>
    <row r="635" spans="1:39" ht="18" x14ac:dyDescent="0.45">
      <c r="A635" s="143"/>
      <c r="B635" s="252"/>
      <c r="C635" s="119"/>
      <c r="F635" s="119"/>
      <c r="I635" s="119"/>
      <c r="L635" s="119"/>
      <c r="O635" s="119"/>
      <c r="R635" s="119"/>
      <c r="U635" s="119"/>
      <c r="X635" s="119"/>
      <c r="AA635" s="119"/>
      <c r="AD635" s="119"/>
      <c r="AM635"/>
    </row>
    <row r="636" spans="1:39" ht="18" x14ac:dyDescent="0.45">
      <c r="A636" s="143"/>
      <c r="B636" s="252"/>
      <c r="C636" s="119"/>
      <c r="F636" s="119"/>
      <c r="I636" s="119"/>
      <c r="L636" s="119"/>
      <c r="O636" s="119"/>
      <c r="R636" s="119"/>
      <c r="U636" s="119"/>
      <c r="X636" s="119"/>
      <c r="AA636" s="119"/>
      <c r="AD636" s="119"/>
      <c r="AM636"/>
    </row>
    <row r="637" spans="1:39" ht="18" x14ac:dyDescent="0.45">
      <c r="A637" s="143"/>
      <c r="B637" s="252"/>
      <c r="C637" s="119"/>
      <c r="F637" s="119"/>
      <c r="I637" s="119"/>
      <c r="L637" s="119"/>
      <c r="O637" s="119"/>
      <c r="R637" s="119"/>
      <c r="U637" s="119"/>
      <c r="X637" s="119"/>
      <c r="AA637" s="119"/>
      <c r="AD637" s="119"/>
      <c r="AM637"/>
    </row>
    <row r="638" spans="1:39" ht="18" x14ac:dyDescent="0.45">
      <c r="A638" s="143"/>
      <c r="B638" s="252"/>
      <c r="C638" s="119"/>
      <c r="F638" s="119"/>
      <c r="I638" s="119"/>
      <c r="L638" s="119"/>
      <c r="O638" s="119"/>
      <c r="R638" s="119"/>
      <c r="U638" s="119"/>
      <c r="X638" s="119"/>
      <c r="AA638" s="119"/>
      <c r="AD638" s="119"/>
      <c r="AM638"/>
    </row>
    <row r="639" spans="1:39" ht="18" x14ac:dyDescent="0.45">
      <c r="A639" s="143"/>
      <c r="B639" s="252"/>
      <c r="C639" s="119"/>
      <c r="F639" s="119"/>
      <c r="I639" s="119"/>
      <c r="L639" s="119"/>
      <c r="O639" s="119"/>
      <c r="R639" s="119"/>
      <c r="U639" s="119"/>
      <c r="X639" s="119"/>
      <c r="AA639" s="119"/>
      <c r="AD639" s="119"/>
      <c r="AM639"/>
    </row>
    <row r="640" spans="1:39" ht="18" x14ac:dyDescent="0.45">
      <c r="A640" s="143"/>
      <c r="B640" s="252"/>
      <c r="C640" s="119"/>
      <c r="F640" s="119"/>
      <c r="I640" s="119"/>
      <c r="L640" s="119"/>
      <c r="O640" s="119"/>
      <c r="R640" s="119"/>
      <c r="U640" s="119"/>
      <c r="X640" s="119"/>
      <c r="AA640" s="119"/>
      <c r="AD640" s="119"/>
      <c r="AM640"/>
    </row>
    <row r="641" spans="1:39" ht="18" x14ac:dyDescent="0.45">
      <c r="A641" s="143"/>
      <c r="B641" s="252"/>
      <c r="C641" s="119"/>
      <c r="F641" s="119"/>
      <c r="I641" s="119"/>
      <c r="L641" s="119"/>
      <c r="O641" s="119"/>
      <c r="R641" s="119"/>
      <c r="U641" s="119"/>
      <c r="X641" s="119"/>
      <c r="AA641" s="119"/>
      <c r="AD641" s="119"/>
      <c r="AM641"/>
    </row>
    <row r="642" spans="1:39" ht="18" x14ac:dyDescent="0.45">
      <c r="A642" s="143"/>
      <c r="B642" s="252"/>
      <c r="C642" s="119"/>
      <c r="F642" s="119"/>
      <c r="I642" s="119"/>
      <c r="L642" s="119"/>
      <c r="O642" s="119"/>
      <c r="R642" s="119"/>
      <c r="U642" s="119"/>
      <c r="X642" s="119"/>
      <c r="AA642" s="119"/>
      <c r="AD642" s="119"/>
      <c r="AM642"/>
    </row>
    <row r="643" spans="1:39" ht="18" x14ac:dyDescent="0.45">
      <c r="A643" s="143"/>
      <c r="B643" s="252"/>
      <c r="C643" s="119"/>
      <c r="F643" s="119"/>
      <c r="I643" s="119"/>
      <c r="L643" s="119"/>
      <c r="O643" s="119"/>
      <c r="R643" s="119"/>
      <c r="U643" s="119"/>
      <c r="X643" s="119"/>
      <c r="AA643" s="119"/>
      <c r="AD643" s="119"/>
      <c r="AM643"/>
    </row>
    <row r="644" spans="1:39" ht="18" x14ac:dyDescent="0.45">
      <c r="A644" s="143"/>
      <c r="B644" s="252"/>
      <c r="C644" s="119"/>
      <c r="F644" s="119"/>
      <c r="I644" s="119"/>
      <c r="L644" s="119"/>
      <c r="O644" s="119"/>
      <c r="R644" s="119"/>
      <c r="U644" s="119"/>
      <c r="X644" s="119"/>
      <c r="AA644" s="119"/>
      <c r="AD644" s="119"/>
      <c r="AM644"/>
    </row>
    <row r="645" spans="1:39" ht="18" x14ac:dyDescent="0.45">
      <c r="A645" s="143"/>
      <c r="B645" s="252"/>
      <c r="C645" s="119"/>
      <c r="F645" s="119"/>
      <c r="I645" s="119"/>
      <c r="L645" s="119"/>
      <c r="O645" s="119"/>
      <c r="R645" s="119"/>
      <c r="U645" s="119"/>
      <c r="X645" s="119"/>
      <c r="AA645" s="119"/>
      <c r="AD645" s="119"/>
      <c r="AM645"/>
    </row>
    <row r="646" spans="1:39" ht="18" x14ac:dyDescent="0.45">
      <c r="A646" s="143"/>
      <c r="B646" s="252"/>
      <c r="C646" s="119"/>
      <c r="F646" s="119"/>
      <c r="I646" s="119"/>
      <c r="L646" s="119"/>
      <c r="O646" s="119"/>
      <c r="R646" s="119"/>
      <c r="U646" s="119"/>
      <c r="X646" s="119"/>
      <c r="AA646" s="119"/>
      <c r="AD646" s="119"/>
      <c r="AM646"/>
    </row>
    <row r="647" spans="1:39" ht="18" x14ac:dyDescent="0.45">
      <c r="A647" s="143"/>
      <c r="B647" s="252"/>
      <c r="C647" s="119"/>
      <c r="F647" s="119"/>
      <c r="I647" s="119"/>
      <c r="L647" s="119"/>
      <c r="O647" s="119"/>
      <c r="R647" s="119"/>
      <c r="U647" s="119"/>
      <c r="X647" s="119"/>
      <c r="AA647" s="119"/>
      <c r="AD647" s="119"/>
      <c r="AM647"/>
    </row>
    <row r="648" spans="1:39" ht="18" x14ac:dyDescent="0.45">
      <c r="A648" s="143"/>
      <c r="B648" s="252"/>
      <c r="C648" s="119"/>
      <c r="F648" s="119"/>
      <c r="I648" s="119"/>
      <c r="L648" s="119"/>
      <c r="O648" s="119"/>
      <c r="R648" s="119"/>
      <c r="U648" s="119"/>
      <c r="X648" s="119"/>
      <c r="AA648" s="119"/>
      <c r="AD648" s="119"/>
      <c r="AM648"/>
    </row>
    <row r="649" spans="1:39" ht="18" x14ac:dyDescent="0.45">
      <c r="A649" s="143"/>
      <c r="B649" s="252"/>
      <c r="C649" s="119"/>
      <c r="F649" s="119"/>
      <c r="I649" s="119"/>
      <c r="L649" s="119"/>
      <c r="O649" s="119"/>
      <c r="R649" s="119"/>
      <c r="U649" s="119"/>
      <c r="X649" s="119"/>
      <c r="AA649" s="119"/>
      <c r="AD649" s="119"/>
      <c r="AM649"/>
    </row>
    <row r="650" spans="1:39" ht="18" x14ac:dyDescent="0.45">
      <c r="A650" s="143"/>
      <c r="B650" s="252"/>
      <c r="C650" s="119"/>
      <c r="F650" s="119"/>
      <c r="I650" s="119"/>
      <c r="L650" s="119"/>
      <c r="O650" s="119"/>
      <c r="R650" s="119"/>
      <c r="U650" s="119"/>
      <c r="X650" s="119"/>
      <c r="AA650" s="119"/>
      <c r="AD650" s="119"/>
      <c r="AM650"/>
    </row>
    <row r="651" spans="1:39" ht="18" x14ac:dyDescent="0.45">
      <c r="A651" s="143"/>
      <c r="B651" s="252"/>
      <c r="C651" s="119"/>
      <c r="F651" s="119"/>
      <c r="I651" s="119"/>
      <c r="L651" s="119"/>
      <c r="O651" s="119"/>
      <c r="R651" s="119"/>
      <c r="U651" s="119"/>
      <c r="X651" s="119"/>
      <c r="AA651" s="119"/>
      <c r="AD651" s="119"/>
      <c r="AM651"/>
    </row>
    <row r="652" spans="1:39" ht="18" x14ac:dyDescent="0.45">
      <c r="A652" s="143"/>
      <c r="B652" s="252"/>
      <c r="C652" s="119"/>
      <c r="F652" s="119"/>
      <c r="I652" s="119"/>
      <c r="L652" s="119"/>
      <c r="O652" s="119"/>
      <c r="R652" s="119"/>
      <c r="U652" s="119"/>
      <c r="X652" s="119"/>
      <c r="AA652" s="119"/>
      <c r="AD652" s="119"/>
      <c r="AM652"/>
    </row>
    <row r="653" spans="1:39" ht="18" x14ac:dyDescent="0.45">
      <c r="A653" s="143"/>
      <c r="B653" s="252"/>
      <c r="C653" s="119"/>
      <c r="F653" s="119"/>
      <c r="I653" s="119"/>
      <c r="L653" s="119"/>
      <c r="O653" s="119"/>
      <c r="R653" s="119"/>
      <c r="U653" s="119"/>
      <c r="X653" s="119"/>
      <c r="AA653" s="119"/>
      <c r="AD653" s="119"/>
      <c r="AM653"/>
    </row>
    <row r="654" spans="1:39" ht="18" x14ac:dyDescent="0.45">
      <c r="A654" s="143"/>
      <c r="B654" s="252"/>
      <c r="C654" s="119"/>
      <c r="F654" s="119"/>
      <c r="I654" s="119"/>
      <c r="L654" s="119"/>
      <c r="O654" s="119"/>
      <c r="R654" s="119"/>
      <c r="U654" s="119"/>
      <c r="X654" s="119"/>
      <c r="AA654" s="119"/>
      <c r="AD654" s="119"/>
      <c r="AM654"/>
    </row>
    <row r="655" spans="1:39" ht="18" x14ac:dyDescent="0.45">
      <c r="A655" s="143"/>
      <c r="B655" s="252"/>
      <c r="C655" s="119"/>
      <c r="F655" s="119"/>
      <c r="I655" s="119"/>
      <c r="L655" s="119"/>
      <c r="O655" s="119"/>
      <c r="R655" s="119"/>
      <c r="U655" s="119"/>
      <c r="X655" s="119"/>
      <c r="AA655" s="119"/>
      <c r="AD655" s="119"/>
      <c r="AM655"/>
    </row>
    <row r="656" spans="1:39" ht="18" x14ac:dyDescent="0.45">
      <c r="A656" s="143"/>
      <c r="B656" s="252"/>
      <c r="C656" s="119"/>
      <c r="F656" s="119"/>
      <c r="I656" s="119"/>
      <c r="L656" s="119"/>
      <c r="O656" s="119"/>
      <c r="R656" s="119"/>
      <c r="U656" s="119"/>
      <c r="X656" s="119"/>
      <c r="AA656" s="119"/>
      <c r="AD656" s="119"/>
      <c r="AM656"/>
    </row>
    <row r="657" spans="1:39" ht="18" x14ac:dyDescent="0.45">
      <c r="A657" s="143"/>
      <c r="B657" s="252"/>
      <c r="C657" s="119"/>
      <c r="F657" s="119"/>
      <c r="I657" s="119"/>
      <c r="L657" s="119"/>
      <c r="O657" s="119"/>
      <c r="R657" s="119"/>
      <c r="U657" s="119"/>
      <c r="X657" s="119"/>
      <c r="AA657" s="119"/>
      <c r="AD657" s="119"/>
      <c r="AM657"/>
    </row>
    <row r="658" spans="1:39" ht="18" x14ac:dyDescent="0.45">
      <c r="A658" s="143"/>
      <c r="B658" s="252"/>
      <c r="C658" s="119"/>
      <c r="F658" s="119"/>
      <c r="I658" s="119"/>
      <c r="L658" s="119"/>
      <c r="O658" s="119"/>
      <c r="R658" s="119"/>
      <c r="U658" s="119"/>
      <c r="X658" s="119"/>
      <c r="AA658" s="119"/>
      <c r="AD658" s="119"/>
      <c r="AM658"/>
    </row>
    <row r="659" spans="1:39" ht="18" x14ac:dyDescent="0.45">
      <c r="A659" s="143"/>
      <c r="B659" s="252"/>
      <c r="C659" s="119"/>
      <c r="F659" s="119"/>
      <c r="I659" s="119"/>
      <c r="L659" s="119"/>
      <c r="O659" s="119"/>
      <c r="R659" s="119"/>
      <c r="U659" s="119"/>
      <c r="X659" s="119"/>
      <c r="AA659" s="119"/>
      <c r="AD659" s="119"/>
      <c r="AM659"/>
    </row>
    <row r="660" spans="1:39" ht="18" x14ac:dyDescent="0.45">
      <c r="A660" s="143"/>
      <c r="B660" s="252"/>
      <c r="C660" s="119"/>
      <c r="F660" s="119"/>
      <c r="I660" s="119"/>
      <c r="L660" s="119"/>
      <c r="O660" s="119"/>
      <c r="R660" s="119"/>
      <c r="U660" s="119"/>
      <c r="X660" s="119"/>
      <c r="AA660" s="119"/>
      <c r="AD660" s="119"/>
      <c r="AM660"/>
    </row>
    <row r="661" spans="1:39" ht="18" x14ac:dyDescent="0.45">
      <c r="A661" s="143"/>
      <c r="B661" s="252"/>
      <c r="C661" s="119"/>
      <c r="F661" s="119"/>
      <c r="I661" s="119"/>
      <c r="L661" s="119"/>
      <c r="O661" s="119"/>
      <c r="R661" s="119"/>
      <c r="U661" s="119"/>
      <c r="X661" s="119"/>
      <c r="AA661" s="119"/>
      <c r="AD661" s="119"/>
      <c r="AM661"/>
    </row>
    <row r="662" spans="1:39" ht="18" x14ac:dyDescent="0.45">
      <c r="A662" s="143"/>
      <c r="B662" s="252"/>
      <c r="C662" s="119"/>
      <c r="F662" s="119"/>
      <c r="I662" s="119"/>
      <c r="L662" s="119"/>
      <c r="O662" s="119"/>
      <c r="R662" s="119"/>
      <c r="U662" s="119"/>
      <c r="X662" s="119"/>
      <c r="AA662" s="119"/>
      <c r="AD662" s="119"/>
      <c r="AM662"/>
    </row>
    <row r="663" spans="1:39" ht="18" x14ac:dyDescent="0.45">
      <c r="A663" s="143"/>
      <c r="B663" s="252"/>
      <c r="C663" s="119"/>
      <c r="F663" s="119"/>
      <c r="I663" s="119"/>
      <c r="L663" s="119"/>
      <c r="O663" s="119"/>
      <c r="R663" s="119"/>
      <c r="U663" s="119"/>
      <c r="X663" s="119"/>
      <c r="AA663" s="119"/>
      <c r="AD663" s="119"/>
      <c r="AM663"/>
    </row>
    <row r="664" spans="1:39" ht="18" x14ac:dyDescent="0.45">
      <c r="A664" s="143"/>
      <c r="B664" s="252"/>
      <c r="C664" s="119"/>
      <c r="F664" s="119"/>
      <c r="I664" s="119"/>
      <c r="L664" s="119"/>
      <c r="O664" s="119"/>
      <c r="R664" s="119"/>
      <c r="U664" s="119"/>
      <c r="X664" s="119"/>
      <c r="AA664" s="119"/>
      <c r="AD664" s="119"/>
      <c r="AM664"/>
    </row>
    <row r="665" spans="1:39" ht="18" x14ac:dyDescent="0.45">
      <c r="A665" s="143"/>
      <c r="B665" s="252"/>
      <c r="C665" s="119"/>
      <c r="F665" s="119"/>
      <c r="I665" s="119"/>
      <c r="L665" s="119"/>
      <c r="O665" s="119"/>
      <c r="R665" s="119"/>
      <c r="U665" s="119"/>
      <c r="X665" s="119"/>
      <c r="AA665" s="119"/>
      <c r="AD665" s="119"/>
      <c r="AM665"/>
    </row>
    <row r="666" spans="1:39" ht="18" x14ac:dyDescent="0.45">
      <c r="A666" s="143"/>
      <c r="B666" s="252"/>
      <c r="C666" s="119"/>
      <c r="F666" s="119"/>
      <c r="I666" s="119"/>
      <c r="L666" s="119"/>
      <c r="O666" s="119"/>
      <c r="R666" s="119"/>
      <c r="U666" s="119"/>
      <c r="X666" s="119"/>
      <c r="AA666" s="119"/>
      <c r="AD666" s="119"/>
      <c r="AM666"/>
    </row>
    <row r="667" spans="1:39" ht="18" x14ac:dyDescent="0.45">
      <c r="A667" s="143"/>
      <c r="B667" s="252"/>
      <c r="C667" s="119"/>
      <c r="F667" s="119"/>
      <c r="I667" s="119"/>
      <c r="L667" s="119"/>
      <c r="O667" s="119"/>
      <c r="R667" s="119"/>
      <c r="U667" s="119"/>
      <c r="X667" s="119"/>
      <c r="AA667" s="119"/>
      <c r="AD667" s="119"/>
      <c r="AM667"/>
    </row>
    <row r="668" spans="1:39" ht="18" x14ac:dyDescent="0.45">
      <c r="A668" s="143"/>
      <c r="B668" s="252"/>
      <c r="C668" s="119"/>
      <c r="F668" s="119"/>
      <c r="I668" s="119"/>
      <c r="L668" s="119"/>
      <c r="O668" s="119"/>
      <c r="R668" s="119"/>
      <c r="U668" s="119"/>
      <c r="X668" s="119"/>
      <c r="AA668" s="119"/>
      <c r="AD668" s="119"/>
      <c r="AM668"/>
    </row>
    <row r="669" spans="1:39" ht="18" x14ac:dyDescent="0.45">
      <c r="A669" s="143"/>
      <c r="B669" s="252"/>
      <c r="C669" s="119"/>
      <c r="F669" s="119"/>
      <c r="I669" s="119"/>
      <c r="L669" s="119"/>
      <c r="O669" s="119"/>
      <c r="R669" s="119"/>
      <c r="U669" s="119"/>
      <c r="X669" s="119"/>
      <c r="AA669" s="119"/>
      <c r="AD669" s="119"/>
      <c r="AM669"/>
    </row>
    <row r="670" spans="1:39" ht="18" x14ac:dyDescent="0.45">
      <c r="A670" s="143"/>
      <c r="B670" s="252"/>
      <c r="C670" s="119"/>
      <c r="F670" s="119"/>
      <c r="I670" s="119"/>
      <c r="L670" s="119"/>
      <c r="O670" s="119"/>
      <c r="R670" s="119"/>
      <c r="U670" s="119"/>
      <c r="X670" s="119"/>
      <c r="AA670" s="119"/>
      <c r="AD670" s="119"/>
      <c r="AM670"/>
    </row>
    <row r="671" spans="1:39" ht="18" x14ac:dyDescent="0.45">
      <c r="A671" s="143"/>
      <c r="B671" s="252"/>
      <c r="C671" s="119"/>
      <c r="F671" s="119"/>
      <c r="I671" s="119"/>
      <c r="L671" s="119"/>
      <c r="O671" s="119"/>
      <c r="R671" s="119"/>
      <c r="U671" s="119"/>
      <c r="X671" s="119"/>
      <c r="AA671" s="119"/>
      <c r="AD671" s="119"/>
      <c r="AM671"/>
    </row>
    <row r="672" spans="1:39" ht="18" x14ac:dyDescent="0.45">
      <c r="A672" s="143"/>
      <c r="B672" s="252"/>
      <c r="C672" s="119"/>
      <c r="F672" s="119"/>
      <c r="I672" s="119"/>
      <c r="L672" s="119"/>
      <c r="O672" s="119"/>
      <c r="R672" s="119"/>
      <c r="U672" s="119"/>
      <c r="X672" s="119"/>
      <c r="AA672" s="119"/>
      <c r="AD672" s="119"/>
      <c r="AM672"/>
    </row>
    <row r="673" spans="1:39" ht="18" x14ac:dyDescent="0.45">
      <c r="A673" s="143"/>
      <c r="B673" s="252"/>
      <c r="C673" s="119"/>
      <c r="F673" s="119"/>
      <c r="I673" s="119"/>
      <c r="L673" s="119"/>
      <c r="O673" s="119"/>
      <c r="R673" s="119"/>
      <c r="U673" s="119"/>
      <c r="X673" s="119"/>
      <c r="AA673" s="119"/>
      <c r="AD673" s="119"/>
      <c r="AM673"/>
    </row>
    <row r="674" spans="1:39" ht="18" x14ac:dyDescent="0.45">
      <c r="A674" s="143"/>
      <c r="B674" s="252"/>
      <c r="C674" s="119"/>
      <c r="F674" s="119"/>
      <c r="I674" s="119"/>
      <c r="L674" s="119"/>
      <c r="O674" s="119"/>
      <c r="R674" s="119"/>
      <c r="U674" s="119"/>
      <c r="X674" s="119"/>
      <c r="AA674" s="119"/>
      <c r="AD674" s="119"/>
      <c r="AM674"/>
    </row>
    <row r="675" spans="1:39" ht="18" x14ac:dyDescent="0.45">
      <c r="A675" s="143"/>
      <c r="B675" s="252"/>
      <c r="C675" s="119"/>
      <c r="F675" s="119"/>
      <c r="I675" s="119"/>
      <c r="L675" s="119"/>
      <c r="O675" s="119"/>
      <c r="R675" s="119"/>
      <c r="U675" s="119"/>
      <c r="X675" s="119"/>
      <c r="AA675" s="119"/>
      <c r="AD675" s="119"/>
      <c r="AM675"/>
    </row>
    <row r="676" spans="1:39" ht="18" x14ac:dyDescent="0.45">
      <c r="A676" s="143"/>
      <c r="B676" s="252"/>
      <c r="C676" s="119"/>
      <c r="F676" s="119"/>
      <c r="I676" s="119"/>
      <c r="L676" s="119"/>
      <c r="O676" s="119"/>
      <c r="R676" s="119"/>
      <c r="U676" s="119"/>
      <c r="X676" s="119"/>
      <c r="AA676" s="119"/>
      <c r="AD676" s="119"/>
      <c r="AM676"/>
    </row>
    <row r="677" spans="1:39" ht="18" x14ac:dyDescent="0.45">
      <c r="A677" s="143"/>
      <c r="B677" s="252"/>
      <c r="C677" s="119"/>
      <c r="F677" s="119"/>
      <c r="I677" s="119"/>
      <c r="L677" s="119"/>
      <c r="O677" s="119"/>
      <c r="R677" s="119"/>
      <c r="U677" s="119"/>
      <c r="X677" s="119"/>
      <c r="AA677" s="119"/>
      <c r="AD677" s="119"/>
      <c r="AM677"/>
    </row>
    <row r="678" spans="1:39" ht="18" x14ac:dyDescent="0.45">
      <c r="A678" s="143"/>
      <c r="B678" s="252"/>
      <c r="C678" s="119"/>
      <c r="F678" s="119"/>
      <c r="I678" s="119"/>
      <c r="L678" s="119"/>
      <c r="O678" s="119"/>
      <c r="R678" s="119"/>
      <c r="U678" s="119"/>
      <c r="X678" s="119"/>
      <c r="AA678" s="119"/>
      <c r="AD678" s="119"/>
      <c r="AM678"/>
    </row>
    <row r="679" spans="1:39" ht="18" x14ac:dyDescent="0.45">
      <c r="A679" s="143"/>
      <c r="B679" s="252"/>
      <c r="C679" s="119"/>
      <c r="F679" s="119"/>
      <c r="I679" s="119"/>
      <c r="L679" s="119"/>
      <c r="O679" s="119"/>
      <c r="R679" s="119"/>
      <c r="U679" s="119"/>
      <c r="X679" s="119"/>
      <c r="AA679" s="119"/>
      <c r="AD679" s="119"/>
      <c r="AM679"/>
    </row>
    <row r="680" spans="1:39" ht="18" x14ac:dyDescent="0.45">
      <c r="A680" s="143"/>
      <c r="B680" s="252"/>
      <c r="C680" s="119"/>
      <c r="F680" s="119"/>
      <c r="I680" s="119"/>
      <c r="L680" s="119"/>
      <c r="O680" s="119"/>
      <c r="R680" s="119"/>
      <c r="U680" s="119"/>
      <c r="X680" s="119"/>
      <c r="AA680" s="119"/>
      <c r="AD680" s="119"/>
      <c r="AM680"/>
    </row>
    <row r="681" spans="1:39" ht="18" x14ac:dyDescent="0.45">
      <c r="A681" s="143"/>
      <c r="B681" s="252"/>
      <c r="C681" s="119"/>
      <c r="F681" s="119"/>
      <c r="I681" s="119"/>
      <c r="L681" s="119"/>
      <c r="O681" s="119"/>
      <c r="R681" s="119"/>
      <c r="U681" s="119"/>
      <c r="X681" s="119"/>
      <c r="AA681" s="119"/>
      <c r="AD681" s="119"/>
      <c r="AM681"/>
    </row>
    <row r="682" spans="1:39" ht="18" x14ac:dyDescent="0.45">
      <c r="A682" s="143"/>
      <c r="B682" s="252"/>
      <c r="C682" s="119"/>
      <c r="F682" s="119"/>
      <c r="I682" s="119"/>
      <c r="L682" s="119"/>
      <c r="O682" s="119"/>
      <c r="R682" s="119"/>
      <c r="U682" s="119"/>
      <c r="X682" s="119"/>
      <c r="AA682" s="119"/>
      <c r="AD682" s="119"/>
      <c r="AM682"/>
    </row>
    <row r="683" spans="1:39" ht="18" x14ac:dyDescent="0.45">
      <c r="A683" s="143"/>
      <c r="B683" s="252"/>
      <c r="C683" s="119"/>
      <c r="F683" s="119"/>
      <c r="I683" s="119"/>
      <c r="L683" s="119"/>
      <c r="O683" s="119"/>
      <c r="R683" s="119"/>
      <c r="U683" s="119"/>
      <c r="X683" s="119"/>
      <c r="AA683" s="119"/>
      <c r="AD683" s="119"/>
      <c r="AM683"/>
    </row>
    <row r="684" spans="1:39" ht="18" x14ac:dyDescent="0.45">
      <c r="A684" s="143"/>
      <c r="B684" s="252"/>
      <c r="C684" s="119"/>
      <c r="F684" s="119"/>
      <c r="I684" s="119"/>
      <c r="L684" s="119"/>
      <c r="O684" s="119"/>
      <c r="R684" s="119"/>
      <c r="U684" s="119"/>
      <c r="X684" s="119"/>
      <c r="AA684" s="119"/>
      <c r="AD684" s="119"/>
      <c r="AM684"/>
    </row>
    <row r="685" spans="1:39" ht="18" x14ac:dyDescent="0.45">
      <c r="A685" s="143"/>
      <c r="B685" s="252"/>
      <c r="C685" s="119"/>
      <c r="F685" s="119"/>
      <c r="I685" s="119"/>
      <c r="L685" s="119"/>
      <c r="O685" s="119"/>
      <c r="R685" s="119"/>
      <c r="U685" s="119"/>
      <c r="X685" s="119"/>
      <c r="AA685" s="119"/>
      <c r="AD685" s="119"/>
      <c r="AM685"/>
    </row>
    <row r="686" spans="1:39" ht="18" x14ac:dyDescent="0.45">
      <c r="A686" s="143"/>
      <c r="B686" s="252"/>
      <c r="C686" s="119"/>
      <c r="F686" s="119"/>
      <c r="I686" s="119"/>
      <c r="L686" s="119"/>
      <c r="O686" s="119"/>
      <c r="R686" s="119"/>
      <c r="U686" s="119"/>
      <c r="X686" s="119"/>
      <c r="AA686" s="119"/>
      <c r="AD686" s="119"/>
      <c r="AM686"/>
    </row>
    <row r="687" spans="1:39" ht="18" x14ac:dyDescent="0.45">
      <c r="A687" s="143"/>
      <c r="B687" s="252"/>
      <c r="C687" s="119"/>
      <c r="F687" s="119"/>
      <c r="I687" s="119"/>
      <c r="L687" s="119"/>
      <c r="O687" s="119"/>
      <c r="R687" s="119"/>
      <c r="U687" s="119"/>
      <c r="X687" s="119"/>
      <c r="AA687" s="119"/>
      <c r="AD687" s="119"/>
      <c r="AM687"/>
    </row>
    <row r="688" spans="1:39" ht="18" x14ac:dyDescent="0.45">
      <c r="A688" s="143"/>
      <c r="B688" s="252"/>
      <c r="C688" s="119"/>
      <c r="F688" s="119"/>
      <c r="I688" s="119"/>
      <c r="L688" s="119"/>
      <c r="O688" s="119"/>
      <c r="R688" s="119"/>
      <c r="U688" s="119"/>
      <c r="X688" s="119"/>
      <c r="AA688" s="119"/>
      <c r="AD688" s="119"/>
      <c r="AM688"/>
    </row>
    <row r="689" spans="1:39" ht="18" x14ac:dyDescent="0.45">
      <c r="A689" s="143"/>
      <c r="B689" s="252"/>
      <c r="C689" s="119"/>
      <c r="F689" s="119"/>
      <c r="I689" s="119"/>
      <c r="L689" s="119"/>
      <c r="O689" s="119"/>
      <c r="R689" s="119"/>
      <c r="U689" s="119"/>
      <c r="X689" s="119"/>
      <c r="AA689" s="119"/>
      <c r="AD689" s="119"/>
      <c r="AM689"/>
    </row>
    <row r="690" spans="1:39" ht="18" x14ac:dyDescent="0.45">
      <c r="A690" s="143"/>
      <c r="B690" s="252"/>
      <c r="C690" s="119"/>
      <c r="F690" s="119"/>
      <c r="I690" s="119"/>
      <c r="L690" s="119"/>
      <c r="O690" s="119"/>
      <c r="R690" s="119"/>
      <c r="U690" s="119"/>
      <c r="X690" s="119"/>
      <c r="AA690" s="119"/>
      <c r="AD690" s="119"/>
      <c r="AM690"/>
    </row>
    <row r="691" spans="1:39" ht="18" x14ac:dyDescent="0.45">
      <c r="A691" s="143"/>
      <c r="B691" s="252"/>
      <c r="C691" s="119"/>
      <c r="F691" s="119"/>
      <c r="I691" s="119"/>
      <c r="L691" s="119"/>
      <c r="O691" s="119"/>
      <c r="R691" s="119"/>
      <c r="U691" s="119"/>
      <c r="X691" s="119"/>
      <c r="AA691" s="119"/>
      <c r="AD691" s="119"/>
      <c r="AM691"/>
    </row>
    <row r="692" spans="1:39" ht="18" x14ac:dyDescent="0.45">
      <c r="A692" s="143"/>
      <c r="B692" s="252"/>
      <c r="C692" s="119"/>
      <c r="F692" s="119"/>
      <c r="I692" s="119"/>
      <c r="L692" s="119"/>
      <c r="O692" s="119"/>
      <c r="R692" s="119"/>
      <c r="U692" s="119"/>
      <c r="X692" s="119"/>
      <c r="AA692" s="119"/>
      <c r="AD692" s="119"/>
      <c r="AM692"/>
    </row>
    <row r="693" spans="1:39" ht="18" x14ac:dyDescent="0.45">
      <c r="A693" s="143"/>
      <c r="B693" s="252"/>
      <c r="C693" s="119"/>
      <c r="F693" s="119"/>
      <c r="I693" s="119"/>
      <c r="L693" s="119"/>
      <c r="O693" s="119"/>
      <c r="R693" s="119"/>
      <c r="U693" s="119"/>
      <c r="X693" s="119"/>
      <c r="AA693" s="119"/>
      <c r="AD693" s="119"/>
      <c r="AM693"/>
    </row>
    <row r="694" spans="1:39" ht="18" x14ac:dyDescent="0.45">
      <c r="A694" s="143"/>
      <c r="B694" s="252"/>
      <c r="C694" s="119"/>
      <c r="F694" s="119"/>
      <c r="I694" s="119"/>
      <c r="L694" s="119"/>
      <c r="O694" s="119"/>
      <c r="R694" s="119"/>
      <c r="U694" s="119"/>
      <c r="X694" s="119"/>
      <c r="AA694" s="119"/>
      <c r="AD694" s="119"/>
      <c r="AM694"/>
    </row>
    <row r="695" spans="1:39" ht="18" x14ac:dyDescent="0.45">
      <c r="A695" s="143"/>
      <c r="B695" s="252"/>
      <c r="C695" s="119"/>
      <c r="F695" s="119"/>
      <c r="I695" s="119"/>
      <c r="L695" s="119"/>
      <c r="O695" s="119"/>
      <c r="R695" s="119"/>
      <c r="U695" s="119"/>
      <c r="X695" s="119"/>
      <c r="AA695" s="119"/>
      <c r="AD695" s="119"/>
      <c r="AM695"/>
    </row>
    <row r="696" spans="1:39" ht="18" x14ac:dyDescent="0.45">
      <c r="A696" s="143"/>
      <c r="B696" s="252"/>
      <c r="C696" s="119"/>
      <c r="F696" s="119"/>
      <c r="I696" s="119"/>
      <c r="L696" s="119"/>
      <c r="O696" s="119"/>
      <c r="R696" s="119"/>
      <c r="U696" s="119"/>
      <c r="X696" s="119"/>
      <c r="AA696" s="119"/>
      <c r="AD696" s="119"/>
      <c r="AM696"/>
    </row>
    <row r="697" spans="1:39" ht="18" x14ac:dyDescent="0.45">
      <c r="A697" s="143"/>
      <c r="B697" s="252"/>
      <c r="C697" s="119"/>
      <c r="F697" s="119"/>
      <c r="I697" s="119"/>
      <c r="L697" s="119"/>
      <c r="O697" s="119"/>
      <c r="R697" s="119"/>
      <c r="U697" s="119"/>
      <c r="X697" s="119"/>
      <c r="AA697" s="119"/>
      <c r="AD697" s="119"/>
      <c r="AM697"/>
    </row>
    <row r="698" spans="1:39" ht="18" x14ac:dyDescent="0.45">
      <c r="A698" s="143"/>
      <c r="B698" s="252"/>
      <c r="C698" s="119"/>
      <c r="F698" s="119"/>
      <c r="I698" s="119"/>
      <c r="L698" s="119"/>
      <c r="O698" s="119"/>
      <c r="R698" s="119"/>
      <c r="U698" s="119"/>
      <c r="X698" s="119"/>
      <c r="AA698" s="119"/>
      <c r="AD698" s="119"/>
      <c r="AM698"/>
    </row>
    <row r="699" spans="1:39" ht="18" x14ac:dyDescent="0.45">
      <c r="A699" s="143"/>
      <c r="B699" s="252"/>
      <c r="C699" s="119"/>
      <c r="F699" s="119"/>
      <c r="I699" s="119"/>
      <c r="L699" s="119"/>
      <c r="O699" s="119"/>
      <c r="R699" s="119"/>
      <c r="U699" s="119"/>
      <c r="X699" s="119"/>
      <c r="AA699" s="119"/>
      <c r="AD699" s="119"/>
      <c r="AM699"/>
    </row>
    <row r="700" spans="1:39" ht="18" x14ac:dyDescent="0.45">
      <c r="A700" s="143"/>
      <c r="B700" s="252"/>
      <c r="C700" s="119"/>
      <c r="F700" s="119"/>
      <c r="I700" s="119"/>
      <c r="L700" s="119"/>
      <c r="O700" s="119"/>
      <c r="R700" s="119"/>
      <c r="U700" s="119"/>
      <c r="X700" s="119"/>
      <c r="AA700" s="119"/>
      <c r="AD700" s="119"/>
      <c r="AM700"/>
    </row>
    <row r="701" spans="1:39" ht="18" x14ac:dyDescent="0.45">
      <c r="A701" s="143"/>
      <c r="B701" s="252"/>
      <c r="C701" s="119"/>
      <c r="F701" s="119"/>
      <c r="I701" s="119"/>
      <c r="L701" s="119"/>
      <c r="O701" s="119"/>
      <c r="R701" s="119"/>
      <c r="U701" s="119"/>
      <c r="X701" s="119"/>
      <c r="AA701" s="119"/>
      <c r="AD701" s="119"/>
      <c r="AM701"/>
    </row>
    <row r="702" spans="1:39" ht="18" x14ac:dyDescent="0.45">
      <c r="A702" s="143"/>
      <c r="B702" s="252"/>
      <c r="C702" s="119"/>
      <c r="F702" s="119"/>
      <c r="I702" s="119"/>
      <c r="L702" s="119"/>
      <c r="O702" s="119"/>
      <c r="R702" s="119"/>
      <c r="U702" s="119"/>
      <c r="X702" s="119"/>
      <c r="AA702" s="119"/>
      <c r="AD702" s="119"/>
      <c r="AM702"/>
    </row>
    <row r="703" spans="1:39" ht="18" x14ac:dyDescent="0.45">
      <c r="A703" s="143"/>
      <c r="B703" s="252"/>
      <c r="C703" s="119"/>
      <c r="F703" s="119"/>
      <c r="I703" s="119"/>
      <c r="L703" s="119"/>
      <c r="O703" s="119"/>
      <c r="R703" s="119"/>
      <c r="U703" s="119"/>
      <c r="X703" s="119"/>
      <c r="AA703" s="119"/>
      <c r="AD703" s="119"/>
      <c r="AM703"/>
    </row>
    <row r="704" spans="1:39" ht="18" x14ac:dyDescent="0.45">
      <c r="A704" s="143"/>
      <c r="B704" s="252"/>
      <c r="C704" s="119"/>
      <c r="F704" s="119"/>
      <c r="I704" s="119"/>
      <c r="L704" s="119"/>
      <c r="O704" s="119"/>
      <c r="R704" s="119"/>
      <c r="U704" s="119"/>
      <c r="X704" s="119"/>
      <c r="AA704" s="119"/>
      <c r="AD704" s="119"/>
      <c r="AM704"/>
    </row>
    <row r="705" spans="1:39" ht="18" x14ac:dyDescent="0.45">
      <c r="A705" s="143"/>
      <c r="B705" s="252"/>
      <c r="C705" s="119"/>
      <c r="F705" s="119"/>
      <c r="I705" s="119"/>
      <c r="L705" s="119"/>
      <c r="O705" s="119"/>
      <c r="R705" s="119"/>
      <c r="U705" s="119"/>
      <c r="X705" s="119"/>
      <c r="AA705" s="119"/>
      <c r="AD705" s="119"/>
      <c r="AM705"/>
    </row>
    <row r="706" spans="1:39" ht="18" x14ac:dyDescent="0.45">
      <c r="A706" s="143"/>
      <c r="B706" s="252"/>
      <c r="C706" s="119"/>
      <c r="F706" s="119"/>
      <c r="I706" s="119"/>
      <c r="L706" s="119"/>
      <c r="O706" s="119"/>
      <c r="R706" s="119"/>
      <c r="U706" s="119"/>
      <c r="X706" s="119"/>
      <c r="AA706" s="119"/>
      <c r="AD706" s="119"/>
      <c r="AM706"/>
    </row>
    <row r="707" spans="1:39" ht="18" x14ac:dyDescent="0.45">
      <c r="A707" s="143"/>
      <c r="B707" s="252"/>
      <c r="C707" s="119"/>
      <c r="F707" s="119"/>
      <c r="I707" s="119"/>
      <c r="L707" s="119"/>
      <c r="O707" s="119"/>
      <c r="R707" s="119"/>
      <c r="U707" s="119"/>
      <c r="X707" s="119"/>
      <c r="AA707" s="119"/>
      <c r="AD707" s="119"/>
      <c r="AM707"/>
    </row>
    <row r="708" spans="1:39" ht="18" x14ac:dyDescent="0.45">
      <c r="A708" s="143"/>
      <c r="B708" s="252"/>
      <c r="C708" s="119"/>
      <c r="F708" s="119"/>
      <c r="I708" s="119"/>
      <c r="L708" s="119"/>
      <c r="O708" s="119"/>
      <c r="R708" s="119"/>
      <c r="U708" s="119"/>
      <c r="X708" s="119"/>
      <c r="AA708" s="119"/>
      <c r="AD708" s="119"/>
      <c r="AM708"/>
    </row>
    <row r="709" spans="1:39" ht="18" x14ac:dyDescent="0.45">
      <c r="A709" s="143"/>
      <c r="B709" s="252"/>
      <c r="C709" s="119"/>
      <c r="F709" s="119"/>
      <c r="I709" s="119"/>
      <c r="L709" s="119"/>
      <c r="O709" s="119"/>
      <c r="R709" s="119"/>
      <c r="U709" s="119"/>
      <c r="X709" s="119"/>
      <c r="AA709" s="119"/>
      <c r="AD709" s="119"/>
      <c r="AM709"/>
    </row>
    <row r="710" spans="1:39" ht="18" x14ac:dyDescent="0.45">
      <c r="A710" s="143"/>
      <c r="B710" s="252"/>
      <c r="C710" s="119"/>
      <c r="F710" s="119"/>
      <c r="I710" s="119"/>
      <c r="L710" s="119"/>
      <c r="O710" s="119"/>
      <c r="R710" s="119"/>
      <c r="U710" s="119"/>
      <c r="X710" s="119"/>
      <c r="AA710" s="119"/>
      <c r="AD710" s="119"/>
      <c r="AM710"/>
    </row>
    <row r="711" spans="1:39" ht="18" x14ac:dyDescent="0.45">
      <c r="A711" s="143"/>
      <c r="B711" s="252"/>
      <c r="C711" s="119"/>
      <c r="F711" s="119"/>
      <c r="I711" s="119"/>
      <c r="L711" s="119"/>
      <c r="O711" s="119"/>
      <c r="R711" s="119"/>
      <c r="U711" s="119"/>
      <c r="X711" s="119"/>
      <c r="AA711" s="119"/>
      <c r="AD711" s="119"/>
      <c r="AM711"/>
    </row>
    <row r="712" spans="1:39" ht="18" x14ac:dyDescent="0.45">
      <c r="A712" s="143"/>
      <c r="B712" s="252"/>
      <c r="C712" s="119"/>
      <c r="F712" s="119"/>
      <c r="I712" s="119"/>
      <c r="L712" s="119"/>
      <c r="O712" s="119"/>
      <c r="R712" s="119"/>
      <c r="U712" s="119"/>
      <c r="X712" s="119"/>
      <c r="AA712" s="119"/>
      <c r="AD712" s="119"/>
      <c r="AM712"/>
    </row>
    <row r="713" spans="1:39" ht="18" x14ac:dyDescent="0.45">
      <c r="A713" s="143"/>
      <c r="B713" s="252"/>
      <c r="C713" s="119"/>
      <c r="F713" s="119"/>
      <c r="I713" s="119"/>
      <c r="L713" s="119"/>
      <c r="O713" s="119"/>
      <c r="R713" s="119"/>
      <c r="U713" s="119"/>
      <c r="X713" s="119"/>
      <c r="AA713" s="119"/>
      <c r="AD713" s="119"/>
      <c r="AM713"/>
    </row>
    <row r="714" spans="1:39" ht="18" x14ac:dyDescent="0.45">
      <c r="A714" s="143"/>
      <c r="B714" s="252"/>
      <c r="C714" s="119"/>
      <c r="F714" s="119"/>
      <c r="I714" s="119"/>
      <c r="L714" s="119"/>
      <c r="O714" s="119"/>
      <c r="R714" s="119"/>
      <c r="U714" s="119"/>
      <c r="X714" s="119"/>
      <c r="AA714" s="119"/>
      <c r="AD714" s="119"/>
      <c r="AM714"/>
    </row>
    <row r="715" spans="1:39" ht="18" x14ac:dyDescent="0.45">
      <c r="A715" s="143"/>
      <c r="B715" s="252"/>
      <c r="C715" s="119"/>
      <c r="F715" s="119"/>
      <c r="I715" s="119"/>
      <c r="L715" s="119"/>
      <c r="O715" s="119"/>
      <c r="R715" s="119"/>
      <c r="U715" s="119"/>
      <c r="X715" s="119"/>
      <c r="AA715" s="119"/>
      <c r="AD715" s="119"/>
      <c r="AM715"/>
    </row>
    <row r="716" spans="1:39" ht="18" x14ac:dyDescent="0.45">
      <c r="A716" s="143"/>
      <c r="B716" s="252"/>
      <c r="C716" s="119"/>
      <c r="F716" s="119"/>
      <c r="I716" s="119"/>
      <c r="L716" s="119"/>
      <c r="O716" s="119"/>
      <c r="R716" s="119"/>
      <c r="U716" s="119"/>
      <c r="X716" s="119"/>
      <c r="AA716" s="119"/>
      <c r="AD716" s="119"/>
      <c r="AM716"/>
    </row>
    <row r="717" spans="1:39" ht="18" x14ac:dyDescent="0.45">
      <c r="A717" s="143"/>
      <c r="B717" s="252"/>
      <c r="C717" s="119"/>
      <c r="F717" s="119"/>
      <c r="I717" s="119"/>
      <c r="L717" s="119"/>
      <c r="O717" s="119"/>
      <c r="R717" s="119"/>
      <c r="U717" s="119"/>
      <c r="X717" s="119"/>
      <c r="AA717" s="119"/>
      <c r="AD717" s="119"/>
      <c r="AM717"/>
    </row>
    <row r="718" spans="1:39" ht="18" x14ac:dyDescent="0.45">
      <c r="A718" s="143"/>
      <c r="B718" s="252"/>
      <c r="C718" s="119"/>
      <c r="F718" s="119"/>
      <c r="I718" s="119"/>
      <c r="L718" s="119"/>
      <c r="O718" s="119"/>
      <c r="R718" s="119"/>
      <c r="U718" s="119"/>
      <c r="X718" s="119"/>
      <c r="AA718" s="119"/>
      <c r="AD718" s="119"/>
      <c r="AM718"/>
    </row>
    <row r="719" spans="1:39" ht="18" x14ac:dyDescent="0.45">
      <c r="A719" s="143"/>
      <c r="B719" s="252"/>
      <c r="C719" s="119"/>
      <c r="F719" s="119"/>
      <c r="I719" s="119"/>
      <c r="L719" s="119"/>
      <c r="O719" s="119"/>
      <c r="R719" s="119"/>
      <c r="U719" s="119"/>
      <c r="X719" s="119"/>
      <c r="AA719" s="119"/>
      <c r="AD719" s="119"/>
      <c r="AM719"/>
    </row>
    <row r="720" spans="1:39" ht="18" x14ac:dyDescent="0.45">
      <c r="A720" s="143"/>
      <c r="B720" s="252"/>
      <c r="C720" s="119"/>
      <c r="F720" s="119"/>
      <c r="I720" s="119"/>
      <c r="L720" s="119"/>
      <c r="O720" s="119"/>
      <c r="R720" s="119"/>
      <c r="U720" s="119"/>
      <c r="X720" s="119"/>
      <c r="AA720" s="119"/>
      <c r="AD720" s="119"/>
      <c r="AM720"/>
    </row>
    <row r="721" spans="1:39" ht="18" x14ac:dyDescent="0.45">
      <c r="A721" s="143"/>
      <c r="B721" s="252"/>
      <c r="C721" s="119"/>
      <c r="F721" s="119"/>
      <c r="I721" s="119"/>
      <c r="L721" s="119"/>
      <c r="O721" s="119"/>
      <c r="R721" s="119"/>
      <c r="U721" s="119"/>
      <c r="X721" s="119"/>
      <c r="AA721" s="119"/>
      <c r="AD721" s="119"/>
      <c r="AM721"/>
    </row>
    <row r="722" spans="1:39" ht="18" x14ac:dyDescent="0.45">
      <c r="A722" s="143"/>
      <c r="B722" s="252"/>
      <c r="C722" s="119"/>
      <c r="F722" s="119"/>
      <c r="I722" s="119"/>
      <c r="L722" s="119"/>
      <c r="O722" s="119"/>
      <c r="R722" s="119"/>
      <c r="U722" s="119"/>
      <c r="X722" s="119"/>
      <c r="AA722" s="119"/>
      <c r="AD722" s="119"/>
      <c r="AM722"/>
    </row>
    <row r="723" spans="1:39" ht="18" x14ac:dyDescent="0.45">
      <c r="A723" s="143"/>
      <c r="B723" s="252"/>
      <c r="C723" s="119"/>
      <c r="F723" s="119"/>
      <c r="I723" s="119"/>
      <c r="L723" s="119"/>
      <c r="O723" s="119"/>
      <c r="R723" s="119"/>
      <c r="U723" s="119"/>
      <c r="X723" s="119"/>
      <c r="AA723" s="119"/>
      <c r="AD723" s="119"/>
      <c r="AM723"/>
    </row>
    <row r="724" spans="1:39" ht="18" x14ac:dyDescent="0.45">
      <c r="A724" s="143"/>
      <c r="B724" s="252"/>
      <c r="C724" s="119"/>
      <c r="F724" s="119"/>
      <c r="I724" s="119"/>
      <c r="L724" s="119"/>
      <c r="O724" s="119"/>
      <c r="R724" s="119"/>
      <c r="U724" s="119"/>
      <c r="X724" s="119"/>
      <c r="AA724" s="119"/>
      <c r="AD724" s="119"/>
      <c r="AM724"/>
    </row>
    <row r="725" spans="1:39" ht="18" x14ac:dyDescent="0.45">
      <c r="A725" s="143"/>
      <c r="B725" s="252"/>
      <c r="C725" s="119"/>
      <c r="F725" s="119"/>
      <c r="I725" s="119"/>
      <c r="L725" s="119"/>
      <c r="O725" s="119"/>
      <c r="R725" s="119"/>
      <c r="U725" s="119"/>
      <c r="X725" s="119"/>
      <c r="AA725" s="119"/>
      <c r="AD725" s="119"/>
      <c r="AM725"/>
    </row>
    <row r="726" spans="1:39" ht="18" x14ac:dyDescent="0.45">
      <c r="A726" s="143"/>
      <c r="B726" s="252"/>
      <c r="C726" s="119"/>
      <c r="F726" s="119"/>
      <c r="I726" s="119"/>
      <c r="L726" s="119"/>
      <c r="O726" s="119"/>
      <c r="R726" s="119"/>
      <c r="U726" s="119"/>
      <c r="X726" s="119"/>
      <c r="AA726" s="119"/>
      <c r="AD726" s="119"/>
      <c r="AM726"/>
    </row>
    <row r="727" spans="1:39" ht="18" x14ac:dyDescent="0.45">
      <c r="A727" s="143"/>
      <c r="B727" s="252"/>
      <c r="C727" s="119"/>
      <c r="F727" s="119"/>
      <c r="I727" s="119"/>
      <c r="L727" s="119"/>
      <c r="O727" s="119"/>
      <c r="R727" s="119"/>
      <c r="U727" s="119"/>
      <c r="X727" s="119"/>
      <c r="AA727" s="119"/>
      <c r="AD727" s="119"/>
      <c r="AM727"/>
    </row>
    <row r="728" spans="1:39" ht="18" x14ac:dyDescent="0.45">
      <c r="A728" s="143"/>
      <c r="B728" s="252"/>
      <c r="C728" s="119"/>
      <c r="F728" s="119"/>
      <c r="I728" s="119"/>
      <c r="L728" s="119"/>
      <c r="O728" s="119"/>
      <c r="R728" s="119"/>
      <c r="U728" s="119"/>
      <c r="X728" s="119"/>
      <c r="AA728" s="119"/>
      <c r="AD728" s="119"/>
      <c r="AM728"/>
    </row>
    <row r="729" spans="1:39" ht="18" x14ac:dyDescent="0.45">
      <c r="A729" s="143"/>
      <c r="B729" s="252"/>
      <c r="C729" s="119"/>
      <c r="F729" s="119"/>
      <c r="I729" s="119"/>
      <c r="L729" s="119"/>
      <c r="O729" s="119"/>
      <c r="R729" s="119"/>
      <c r="U729" s="119"/>
      <c r="X729" s="119"/>
      <c r="AA729" s="119"/>
      <c r="AD729" s="119"/>
      <c r="AM729"/>
    </row>
    <row r="730" spans="1:39" ht="18" x14ac:dyDescent="0.45">
      <c r="A730" s="143"/>
      <c r="B730" s="252"/>
      <c r="C730" s="119"/>
      <c r="F730" s="119"/>
      <c r="I730" s="119"/>
      <c r="L730" s="119"/>
      <c r="O730" s="119"/>
      <c r="R730" s="119"/>
      <c r="U730" s="119"/>
      <c r="X730" s="119"/>
      <c r="AA730" s="119"/>
      <c r="AD730" s="119"/>
      <c r="AM730"/>
    </row>
    <row r="731" spans="1:39" ht="18" x14ac:dyDescent="0.45">
      <c r="A731" s="143"/>
      <c r="B731" s="252"/>
      <c r="C731" s="119"/>
      <c r="F731" s="119"/>
      <c r="I731" s="119"/>
      <c r="L731" s="119"/>
      <c r="O731" s="119"/>
      <c r="R731" s="119"/>
      <c r="U731" s="119"/>
      <c r="X731" s="119"/>
      <c r="AA731" s="119"/>
      <c r="AD731" s="119"/>
      <c r="AM731"/>
    </row>
    <row r="732" spans="1:39" ht="18" x14ac:dyDescent="0.45">
      <c r="A732" s="143"/>
      <c r="B732" s="252"/>
      <c r="C732" s="119"/>
      <c r="F732" s="119"/>
      <c r="I732" s="119"/>
      <c r="L732" s="119"/>
      <c r="O732" s="119"/>
      <c r="R732" s="119"/>
      <c r="U732" s="119"/>
      <c r="X732" s="119"/>
      <c r="AA732" s="119"/>
      <c r="AD732" s="119"/>
      <c r="AM732"/>
    </row>
    <row r="733" spans="1:39" ht="18" x14ac:dyDescent="0.45">
      <c r="A733" s="143"/>
      <c r="B733" s="252"/>
      <c r="C733" s="119"/>
      <c r="F733" s="119"/>
      <c r="I733" s="119"/>
      <c r="L733" s="119"/>
      <c r="O733" s="119"/>
      <c r="R733" s="119"/>
      <c r="U733" s="119"/>
      <c r="X733" s="119"/>
      <c r="AA733" s="119"/>
      <c r="AD733" s="119"/>
      <c r="AM733"/>
    </row>
    <row r="734" spans="1:39" ht="18" x14ac:dyDescent="0.45">
      <c r="A734" s="143"/>
      <c r="B734" s="252"/>
      <c r="C734" s="119"/>
      <c r="F734" s="119"/>
      <c r="I734" s="119"/>
      <c r="L734" s="119"/>
      <c r="O734" s="119"/>
      <c r="R734" s="119"/>
      <c r="U734" s="119"/>
      <c r="X734" s="119"/>
      <c r="AA734" s="119"/>
      <c r="AD734" s="119"/>
      <c r="AM734"/>
    </row>
    <row r="735" spans="1:39" ht="18" x14ac:dyDescent="0.45">
      <c r="A735" s="143"/>
      <c r="B735" s="252"/>
      <c r="C735" s="119"/>
      <c r="F735" s="119"/>
      <c r="I735" s="119"/>
      <c r="L735" s="119"/>
      <c r="O735" s="119"/>
      <c r="R735" s="119"/>
      <c r="U735" s="119"/>
      <c r="X735" s="119"/>
      <c r="AA735" s="119"/>
      <c r="AD735" s="119"/>
      <c r="AM735"/>
    </row>
    <row r="736" spans="1:39" ht="18" x14ac:dyDescent="0.45">
      <c r="A736" s="143"/>
      <c r="B736" s="252"/>
      <c r="C736" s="119"/>
      <c r="F736" s="119"/>
      <c r="I736" s="119"/>
      <c r="L736" s="119"/>
      <c r="O736" s="119"/>
      <c r="R736" s="119"/>
      <c r="U736" s="119"/>
      <c r="X736" s="119"/>
      <c r="AA736" s="119"/>
      <c r="AD736" s="119"/>
      <c r="AM736"/>
    </row>
    <row r="737" spans="1:39" ht="18" x14ac:dyDescent="0.45">
      <c r="A737" s="143"/>
      <c r="B737" s="252"/>
      <c r="C737" s="119"/>
      <c r="F737" s="119"/>
      <c r="I737" s="119"/>
      <c r="L737" s="119"/>
      <c r="O737" s="119"/>
      <c r="R737" s="119"/>
      <c r="U737" s="119"/>
      <c r="X737" s="119"/>
      <c r="AA737" s="119"/>
      <c r="AD737" s="119"/>
      <c r="AM737"/>
    </row>
    <row r="738" spans="1:39" ht="18" x14ac:dyDescent="0.45">
      <c r="A738" s="143"/>
      <c r="B738" s="252"/>
      <c r="C738" s="119"/>
      <c r="F738" s="119"/>
      <c r="I738" s="119"/>
      <c r="L738" s="119"/>
      <c r="O738" s="119"/>
      <c r="R738" s="119"/>
      <c r="U738" s="119"/>
      <c r="X738" s="119"/>
      <c r="AA738" s="119"/>
      <c r="AD738" s="119"/>
      <c r="AM738"/>
    </row>
    <row r="739" spans="1:39" ht="18" x14ac:dyDescent="0.45">
      <c r="A739" s="143"/>
      <c r="B739" s="252"/>
      <c r="C739" s="119"/>
      <c r="F739" s="119"/>
      <c r="I739" s="119"/>
      <c r="L739" s="119"/>
      <c r="O739" s="119"/>
      <c r="R739" s="119"/>
      <c r="U739" s="119"/>
      <c r="X739" s="119"/>
      <c r="AA739" s="119"/>
      <c r="AD739" s="119"/>
      <c r="AM739"/>
    </row>
    <row r="740" spans="1:39" ht="18" x14ac:dyDescent="0.45">
      <c r="A740" s="143"/>
      <c r="B740" s="252"/>
      <c r="C740" s="119"/>
      <c r="F740" s="119"/>
      <c r="I740" s="119"/>
      <c r="L740" s="119"/>
      <c r="O740" s="119"/>
      <c r="R740" s="119"/>
      <c r="U740" s="119"/>
      <c r="X740" s="119"/>
      <c r="AA740" s="119"/>
      <c r="AD740" s="119"/>
      <c r="AM740"/>
    </row>
    <row r="741" spans="1:39" ht="18" x14ac:dyDescent="0.45">
      <c r="A741" s="143"/>
      <c r="B741" s="252"/>
      <c r="C741" s="119"/>
      <c r="F741" s="119"/>
      <c r="I741" s="119"/>
      <c r="L741" s="119"/>
      <c r="O741" s="119"/>
      <c r="R741" s="119"/>
      <c r="U741" s="119"/>
      <c r="X741" s="119"/>
      <c r="AA741" s="119"/>
      <c r="AD741" s="119"/>
      <c r="AM741"/>
    </row>
    <row r="742" spans="1:39" ht="18" x14ac:dyDescent="0.45">
      <c r="A742" s="143"/>
      <c r="B742" s="252"/>
      <c r="C742" s="119"/>
      <c r="F742" s="119"/>
      <c r="I742" s="119"/>
      <c r="L742" s="119"/>
      <c r="O742" s="119"/>
      <c r="R742" s="119"/>
      <c r="U742" s="119"/>
      <c r="X742" s="119"/>
      <c r="AA742" s="119"/>
      <c r="AD742" s="119"/>
      <c r="AM742"/>
    </row>
    <row r="743" spans="1:39" ht="18" x14ac:dyDescent="0.45">
      <c r="A743" s="143"/>
      <c r="B743" s="252"/>
      <c r="C743" s="119"/>
      <c r="F743" s="119"/>
      <c r="I743" s="119"/>
      <c r="L743" s="119"/>
      <c r="O743" s="119"/>
      <c r="R743" s="119"/>
      <c r="U743" s="119"/>
      <c r="X743" s="119"/>
      <c r="AA743" s="119"/>
      <c r="AD743" s="119"/>
      <c r="AM743"/>
    </row>
    <row r="744" spans="1:39" ht="18" x14ac:dyDescent="0.45">
      <c r="A744" s="143"/>
      <c r="B744" s="252"/>
      <c r="C744" s="119"/>
      <c r="F744" s="119"/>
      <c r="I744" s="119"/>
      <c r="L744" s="119"/>
      <c r="O744" s="119"/>
      <c r="R744" s="119"/>
      <c r="U744" s="119"/>
      <c r="X744" s="119"/>
      <c r="AA744" s="119"/>
      <c r="AD744" s="119"/>
      <c r="AM744"/>
    </row>
    <row r="745" spans="1:39" ht="18" x14ac:dyDescent="0.45">
      <c r="A745" s="143"/>
      <c r="B745" s="252"/>
      <c r="C745" s="119"/>
      <c r="F745" s="119"/>
      <c r="I745" s="119"/>
      <c r="L745" s="119"/>
      <c r="O745" s="119"/>
      <c r="R745" s="119"/>
      <c r="U745" s="119"/>
      <c r="X745" s="119"/>
      <c r="AA745" s="119"/>
      <c r="AD745" s="119"/>
      <c r="AM745"/>
    </row>
    <row r="746" spans="1:39" ht="18" x14ac:dyDescent="0.45">
      <c r="A746" s="143"/>
      <c r="B746" s="252"/>
      <c r="C746" s="119"/>
      <c r="F746" s="119"/>
      <c r="I746" s="119"/>
      <c r="L746" s="119"/>
      <c r="O746" s="119"/>
      <c r="R746" s="119"/>
      <c r="U746" s="119"/>
      <c r="X746" s="119"/>
      <c r="AA746" s="119"/>
      <c r="AD746" s="119"/>
      <c r="AM746"/>
    </row>
    <row r="747" spans="1:39" ht="18" x14ac:dyDescent="0.45">
      <c r="A747" s="143"/>
      <c r="B747" s="252"/>
      <c r="C747" s="119"/>
      <c r="F747" s="119"/>
      <c r="I747" s="119"/>
      <c r="L747" s="119"/>
      <c r="O747" s="119"/>
      <c r="R747" s="119"/>
      <c r="U747" s="119"/>
      <c r="X747" s="119"/>
      <c r="AA747" s="119"/>
      <c r="AD747" s="119"/>
      <c r="AM747"/>
    </row>
    <row r="748" spans="1:39" ht="18" x14ac:dyDescent="0.45">
      <c r="A748" s="143"/>
      <c r="B748" s="252"/>
      <c r="C748" s="119"/>
      <c r="F748" s="119"/>
      <c r="I748" s="119"/>
      <c r="L748" s="119"/>
      <c r="O748" s="119"/>
      <c r="R748" s="119"/>
      <c r="U748" s="119"/>
      <c r="X748" s="119"/>
      <c r="AA748" s="119"/>
      <c r="AD748" s="119"/>
      <c r="AM748"/>
    </row>
    <row r="749" spans="1:39" ht="18" x14ac:dyDescent="0.45">
      <c r="A749" s="143"/>
      <c r="B749" s="252"/>
      <c r="C749" s="119"/>
      <c r="F749" s="119"/>
      <c r="I749" s="119"/>
      <c r="L749" s="119"/>
      <c r="O749" s="119"/>
      <c r="R749" s="119"/>
      <c r="U749" s="119"/>
      <c r="X749" s="119"/>
      <c r="AA749" s="119"/>
      <c r="AD749" s="119"/>
      <c r="AM749"/>
    </row>
    <row r="750" spans="1:39" ht="18" x14ac:dyDescent="0.45">
      <c r="A750" s="143"/>
      <c r="B750" s="252"/>
      <c r="C750" s="119"/>
      <c r="F750" s="119"/>
      <c r="I750" s="119"/>
      <c r="L750" s="119"/>
      <c r="O750" s="119"/>
      <c r="R750" s="119"/>
      <c r="U750" s="119"/>
      <c r="X750" s="119"/>
      <c r="AA750" s="119"/>
      <c r="AD750" s="119"/>
      <c r="AM750"/>
    </row>
    <row r="751" spans="1:39" ht="18" x14ac:dyDescent="0.45">
      <c r="A751" s="143"/>
      <c r="B751" s="252"/>
      <c r="C751" s="119"/>
      <c r="F751" s="119"/>
      <c r="I751" s="119"/>
      <c r="L751" s="119"/>
      <c r="O751" s="119"/>
      <c r="R751" s="119"/>
      <c r="U751" s="119"/>
      <c r="X751" s="119"/>
      <c r="AA751" s="119"/>
      <c r="AD751" s="119"/>
      <c r="AM751"/>
    </row>
    <row r="752" spans="1:39" ht="18" x14ac:dyDescent="0.45">
      <c r="A752" s="143"/>
      <c r="B752" s="252"/>
      <c r="C752" s="119"/>
      <c r="F752" s="119"/>
      <c r="I752" s="119"/>
      <c r="L752" s="119"/>
      <c r="O752" s="119"/>
      <c r="R752" s="119"/>
      <c r="U752" s="119"/>
      <c r="X752" s="119"/>
      <c r="AA752" s="119"/>
      <c r="AD752" s="119"/>
      <c r="AM752"/>
    </row>
    <row r="753" spans="1:39" ht="18" x14ac:dyDescent="0.45">
      <c r="A753" s="143"/>
      <c r="B753" s="252"/>
      <c r="C753" s="119"/>
      <c r="F753" s="119"/>
      <c r="I753" s="119"/>
      <c r="L753" s="119"/>
      <c r="O753" s="119"/>
      <c r="R753" s="119"/>
      <c r="U753" s="119"/>
      <c r="X753" s="119"/>
      <c r="AA753" s="119"/>
      <c r="AD753" s="119"/>
      <c r="AM753"/>
    </row>
    <row r="754" spans="1:39" ht="18" x14ac:dyDescent="0.45">
      <c r="A754" s="143"/>
      <c r="B754" s="252"/>
      <c r="C754" s="119"/>
      <c r="F754" s="119"/>
      <c r="I754" s="119"/>
      <c r="L754" s="119"/>
      <c r="O754" s="119"/>
      <c r="R754" s="119"/>
      <c r="U754" s="119"/>
      <c r="X754" s="119"/>
      <c r="AA754" s="119"/>
      <c r="AD754" s="119"/>
      <c r="AM754"/>
    </row>
    <row r="755" spans="1:39" ht="18" x14ac:dyDescent="0.45">
      <c r="A755" s="143"/>
      <c r="B755" s="252"/>
      <c r="C755" s="119"/>
      <c r="F755" s="119"/>
      <c r="I755" s="119"/>
      <c r="L755" s="119"/>
      <c r="O755" s="119"/>
      <c r="R755" s="119"/>
      <c r="U755" s="119"/>
      <c r="X755" s="119"/>
      <c r="AA755" s="119"/>
      <c r="AD755" s="119"/>
      <c r="AM755"/>
    </row>
    <row r="756" spans="1:39" ht="18" x14ac:dyDescent="0.45">
      <c r="A756" s="143"/>
      <c r="B756" s="252"/>
      <c r="C756" s="119"/>
      <c r="F756" s="119"/>
      <c r="I756" s="119"/>
      <c r="L756" s="119"/>
      <c r="O756" s="119"/>
      <c r="R756" s="119"/>
      <c r="U756" s="119"/>
      <c r="X756" s="119"/>
      <c r="AA756" s="119"/>
      <c r="AD756" s="119"/>
      <c r="AM756"/>
    </row>
    <row r="757" spans="1:39" ht="18" x14ac:dyDescent="0.45">
      <c r="A757" s="143"/>
      <c r="B757" s="252"/>
      <c r="C757" s="119"/>
      <c r="F757" s="119"/>
      <c r="I757" s="119"/>
      <c r="L757" s="119"/>
      <c r="O757" s="119"/>
      <c r="R757" s="119"/>
      <c r="U757" s="119"/>
      <c r="X757" s="119"/>
      <c r="AA757" s="119"/>
      <c r="AD757" s="119"/>
      <c r="AM757"/>
    </row>
    <row r="758" spans="1:39" ht="18" x14ac:dyDescent="0.45">
      <c r="A758" s="143"/>
      <c r="B758" s="252"/>
      <c r="C758" s="119"/>
      <c r="F758" s="119"/>
      <c r="I758" s="119"/>
      <c r="L758" s="119"/>
      <c r="O758" s="119"/>
      <c r="R758" s="119"/>
      <c r="U758" s="119"/>
      <c r="X758" s="119"/>
      <c r="AA758" s="119"/>
      <c r="AD758" s="119"/>
      <c r="AM758"/>
    </row>
    <row r="759" spans="1:39" ht="18" x14ac:dyDescent="0.45">
      <c r="A759" s="143"/>
      <c r="B759" s="252"/>
      <c r="C759" s="119"/>
      <c r="F759" s="119"/>
      <c r="I759" s="119"/>
      <c r="L759" s="119"/>
      <c r="O759" s="119"/>
      <c r="R759" s="119"/>
      <c r="U759" s="119"/>
      <c r="X759" s="119"/>
      <c r="AA759" s="119"/>
      <c r="AD759" s="119"/>
      <c r="AM759"/>
    </row>
    <row r="760" spans="1:39" ht="18" x14ac:dyDescent="0.45">
      <c r="A760" s="143"/>
      <c r="B760" s="252"/>
      <c r="C760" s="119"/>
      <c r="F760" s="119"/>
      <c r="I760" s="119"/>
      <c r="L760" s="119"/>
      <c r="O760" s="119"/>
      <c r="R760" s="119"/>
      <c r="U760" s="119"/>
      <c r="X760" s="119"/>
      <c r="AA760" s="119"/>
      <c r="AD760" s="119"/>
      <c r="AM760"/>
    </row>
    <row r="761" spans="1:39" ht="18" x14ac:dyDescent="0.45">
      <c r="A761" s="143"/>
      <c r="B761" s="252"/>
      <c r="C761" s="119"/>
      <c r="F761" s="119"/>
      <c r="I761" s="119"/>
      <c r="L761" s="119"/>
      <c r="O761" s="119"/>
      <c r="R761" s="119"/>
      <c r="U761" s="119"/>
      <c r="X761" s="119"/>
      <c r="AA761" s="119"/>
      <c r="AD761" s="119"/>
      <c r="AM761"/>
    </row>
    <row r="762" spans="1:39" ht="18" x14ac:dyDescent="0.45">
      <c r="A762" s="143"/>
      <c r="B762" s="252"/>
      <c r="C762" s="119"/>
      <c r="F762" s="119"/>
      <c r="I762" s="119"/>
      <c r="L762" s="119"/>
      <c r="O762" s="119"/>
      <c r="R762" s="119"/>
      <c r="U762" s="119"/>
      <c r="X762" s="119"/>
      <c r="AA762" s="119"/>
      <c r="AD762" s="119"/>
      <c r="AM762"/>
    </row>
    <row r="763" spans="1:39" ht="18" x14ac:dyDescent="0.45">
      <c r="A763" s="143"/>
      <c r="B763" s="252"/>
      <c r="C763" s="119"/>
      <c r="F763" s="119"/>
      <c r="I763" s="119"/>
      <c r="L763" s="119"/>
      <c r="O763" s="119"/>
      <c r="R763" s="119"/>
      <c r="U763" s="119"/>
      <c r="X763" s="119"/>
      <c r="AA763" s="119"/>
      <c r="AD763" s="119"/>
      <c r="AM763"/>
    </row>
    <row r="764" spans="1:39" ht="18" x14ac:dyDescent="0.45">
      <c r="A764" s="143"/>
      <c r="B764" s="252"/>
      <c r="C764" s="119"/>
      <c r="F764" s="119"/>
      <c r="I764" s="119"/>
      <c r="L764" s="119"/>
      <c r="O764" s="119"/>
      <c r="R764" s="119"/>
      <c r="U764" s="119"/>
      <c r="X764" s="119"/>
      <c r="AA764" s="119"/>
      <c r="AD764" s="119"/>
      <c r="AM764"/>
    </row>
    <row r="765" spans="1:39" ht="18" x14ac:dyDescent="0.45">
      <c r="A765" s="143"/>
      <c r="B765" s="252"/>
      <c r="C765" s="119"/>
      <c r="F765" s="119"/>
      <c r="I765" s="119"/>
      <c r="L765" s="119"/>
      <c r="O765" s="119"/>
      <c r="R765" s="119"/>
      <c r="U765" s="119"/>
      <c r="X765" s="119"/>
      <c r="AA765" s="119"/>
      <c r="AD765" s="119"/>
      <c r="AM765"/>
    </row>
    <row r="766" spans="1:39" ht="18" x14ac:dyDescent="0.45">
      <c r="A766" s="143"/>
      <c r="B766" s="252"/>
      <c r="C766" s="119"/>
      <c r="F766" s="119"/>
      <c r="I766" s="119"/>
      <c r="L766" s="119"/>
      <c r="O766" s="119"/>
      <c r="R766" s="119"/>
      <c r="U766" s="119"/>
      <c r="X766" s="119"/>
      <c r="AA766" s="119"/>
      <c r="AD766" s="119"/>
      <c r="AM766"/>
    </row>
    <row r="767" spans="1:39" ht="18" x14ac:dyDescent="0.45">
      <c r="A767" s="143"/>
      <c r="B767" s="252"/>
      <c r="C767" s="119"/>
      <c r="F767" s="119"/>
      <c r="I767" s="119"/>
      <c r="L767" s="119"/>
      <c r="O767" s="119"/>
      <c r="R767" s="119"/>
      <c r="U767" s="119"/>
      <c r="X767" s="119"/>
      <c r="AA767" s="119"/>
      <c r="AD767" s="119"/>
      <c r="AM767"/>
    </row>
    <row r="768" spans="1:39" ht="18" x14ac:dyDescent="0.45">
      <c r="A768" s="143"/>
      <c r="B768" s="252"/>
      <c r="C768" s="119"/>
      <c r="F768" s="119"/>
      <c r="I768" s="119"/>
      <c r="L768" s="119"/>
      <c r="O768" s="119"/>
      <c r="R768" s="119"/>
      <c r="U768" s="119"/>
      <c r="X768" s="119"/>
      <c r="AA768" s="119"/>
      <c r="AD768" s="119"/>
      <c r="AM768"/>
    </row>
    <row r="769" spans="1:39" ht="18" x14ac:dyDescent="0.45">
      <c r="A769" s="143"/>
      <c r="B769" s="252"/>
      <c r="C769" s="119"/>
      <c r="F769" s="119"/>
      <c r="I769" s="119"/>
      <c r="L769" s="119"/>
      <c r="O769" s="119"/>
      <c r="R769" s="119"/>
      <c r="U769" s="119"/>
      <c r="X769" s="119"/>
      <c r="AA769" s="119"/>
      <c r="AD769" s="119"/>
      <c r="AM769"/>
    </row>
    <row r="770" spans="1:39" ht="18" x14ac:dyDescent="0.45">
      <c r="A770" s="143"/>
      <c r="B770" s="252"/>
      <c r="C770" s="119"/>
      <c r="F770" s="119"/>
      <c r="I770" s="119"/>
      <c r="L770" s="119"/>
      <c r="O770" s="119"/>
      <c r="R770" s="119"/>
      <c r="U770" s="119"/>
      <c r="X770" s="119"/>
      <c r="AA770" s="119"/>
      <c r="AD770" s="119"/>
      <c r="AM770"/>
    </row>
    <row r="771" spans="1:39" ht="18" x14ac:dyDescent="0.45">
      <c r="A771" s="143"/>
      <c r="B771" s="252"/>
      <c r="C771" s="119"/>
      <c r="F771" s="119"/>
      <c r="I771" s="119"/>
      <c r="L771" s="119"/>
      <c r="O771" s="119"/>
      <c r="R771" s="119"/>
      <c r="U771" s="119"/>
      <c r="X771" s="119"/>
      <c r="AA771" s="119"/>
      <c r="AD771" s="119"/>
      <c r="AM771"/>
    </row>
    <row r="772" spans="1:39" ht="18" x14ac:dyDescent="0.45">
      <c r="A772" s="143"/>
      <c r="B772" s="252"/>
      <c r="C772" s="119"/>
      <c r="F772" s="119"/>
      <c r="I772" s="119"/>
      <c r="L772" s="119"/>
      <c r="O772" s="119"/>
      <c r="R772" s="119"/>
      <c r="U772" s="119"/>
      <c r="X772" s="119"/>
      <c r="AA772" s="119"/>
      <c r="AD772" s="119"/>
      <c r="AM772"/>
    </row>
    <row r="773" spans="1:39" ht="18" x14ac:dyDescent="0.45">
      <c r="A773" s="143"/>
      <c r="B773" s="252"/>
      <c r="C773" s="119"/>
      <c r="F773" s="119"/>
      <c r="I773" s="119"/>
      <c r="L773" s="119"/>
      <c r="O773" s="119"/>
      <c r="R773" s="119"/>
      <c r="U773" s="119"/>
      <c r="X773" s="119"/>
      <c r="AA773" s="119"/>
      <c r="AD773" s="119"/>
      <c r="AM773"/>
    </row>
    <row r="774" spans="1:39" ht="18" x14ac:dyDescent="0.45">
      <c r="A774" s="143"/>
      <c r="B774" s="252"/>
      <c r="C774" s="119"/>
      <c r="F774" s="119"/>
      <c r="I774" s="119"/>
      <c r="L774" s="119"/>
      <c r="O774" s="119"/>
      <c r="R774" s="119"/>
      <c r="U774" s="119"/>
      <c r="X774" s="119"/>
      <c r="AA774" s="119"/>
      <c r="AD774" s="119"/>
      <c r="AM774"/>
    </row>
    <row r="775" spans="1:39" ht="18" x14ac:dyDescent="0.45">
      <c r="A775" s="143"/>
      <c r="B775" s="252"/>
      <c r="C775" s="119"/>
      <c r="F775" s="119"/>
      <c r="I775" s="119"/>
      <c r="L775" s="119"/>
      <c r="O775" s="119"/>
      <c r="R775" s="119"/>
      <c r="U775" s="119"/>
      <c r="X775" s="119"/>
      <c r="AA775" s="119"/>
      <c r="AD775" s="119"/>
      <c r="AM775"/>
    </row>
    <row r="776" spans="1:39" ht="18" x14ac:dyDescent="0.45">
      <c r="A776" s="143"/>
      <c r="B776" s="252"/>
      <c r="C776" s="119"/>
      <c r="F776" s="119"/>
      <c r="I776" s="119"/>
      <c r="L776" s="119"/>
      <c r="O776" s="119"/>
      <c r="R776" s="119"/>
      <c r="U776" s="119"/>
      <c r="X776" s="119"/>
      <c r="AA776" s="119"/>
      <c r="AD776" s="119"/>
      <c r="AM776"/>
    </row>
    <row r="777" spans="1:39" ht="18" x14ac:dyDescent="0.45">
      <c r="A777" s="143"/>
      <c r="B777" s="252"/>
      <c r="C777" s="119"/>
      <c r="F777" s="119"/>
      <c r="I777" s="119"/>
      <c r="L777" s="119"/>
      <c r="O777" s="119"/>
      <c r="R777" s="119"/>
      <c r="U777" s="119"/>
      <c r="X777" s="119"/>
      <c r="AA777" s="119"/>
      <c r="AD777" s="119"/>
      <c r="AM777"/>
    </row>
    <row r="778" spans="1:39" ht="18" x14ac:dyDescent="0.45">
      <c r="A778" s="143"/>
      <c r="B778" s="252"/>
      <c r="C778" s="119"/>
      <c r="F778" s="119"/>
      <c r="I778" s="119"/>
      <c r="L778" s="119"/>
      <c r="O778" s="119"/>
      <c r="R778" s="119"/>
      <c r="U778" s="119"/>
      <c r="X778" s="119"/>
      <c r="AA778" s="119"/>
      <c r="AD778" s="119"/>
      <c r="AM778"/>
    </row>
    <row r="779" spans="1:39" ht="18" x14ac:dyDescent="0.45">
      <c r="A779" s="143"/>
      <c r="B779" s="252"/>
      <c r="C779" s="119"/>
      <c r="F779" s="119"/>
      <c r="I779" s="119"/>
      <c r="L779" s="119"/>
      <c r="O779" s="119"/>
      <c r="R779" s="119"/>
      <c r="U779" s="119"/>
      <c r="X779" s="119"/>
      <c r="AA779" s="119"/>
      <c r="AD779" s="119"/>
      <c r="AM779"/>
    </row>
    <row r="780" spans="1:39" ht="18" x14ac:dyDescent="0.45">
      <c r="A780" s="143"/>
      <c r="B780" s="252"/>
      <c r="C780" s="119"/>
      <c r="F780" s="119"/>
      <c r="I780" s="119"/>
      <c r="L780" s="119"/>
      <c r="O780" s="119"/>
      <c r="R780" s="119"/>
      <c r="U780" s="119"/>
      <c r="X780" s="119"/>
      <c r="AA780" s="119"/>
      <c r="AD780" s="119"/>
      <c r="AM780"/>
    </row>
    <row r="781" spans="1:39" ht="18" x14ac:dyDescent="0.45">
      <c r="A781" s="143"/>
      <c r="B781" s="252"/>
      <c r="C781" s="119"/>
      <c r="F781" s="119"/>
      <c r="I781" s="119"/>
      <c r="L781" s="119"/>
      <c r="O781" s="119"/>
      <c r="R781" s="119"/>
      <c r="U781" s="119"/>
      <c r="X781" s="119"/>
      <c r="AA781" s="119"/>
      <c r="AD781" s="119"/>
      <c r="AM781"/>
    </row>
    <row r="782" spans="1:39" ht="18" x14ac:dyDescent="0.45">
      <c r="A782" s="143"/>
      <c r="B782" s="252"/>
      <c r="C782" s="119"/>
      <c r="F782" s="119"/>
      <c r="I782" s="119"/>
      <c r="L782" s="119"/>
      <c r="O782" s="119"/>
      <c r="R782" s="119"/>
      <c r="U782" s="119"/>
      <c r="X782" s="119"/>
      <c r="AA782" s="119"/>
      <c r="AD782" s="119"/>
      <c r="AM782"/>
    </row>
    <row r="783" spans="1:39" ht="18" x14ac:dyDescent="0.45">
      <c r="A783" s="143"/>
      <c r="B783" s="252"/>
      <c r="C783" s="119"/>
      <c r="F783" s="119"/>
      <c r="I783" s="119"/>
      <c r="L783" s="119"/>
      <c r="O783" s="119"/>
      <c r="R783" s="119"/>
      <c r="U783" s="119"/>
      <c r="X783" s="119"/>
      <c r="AA783" s="119"/>
      <c r="AD783" s="119"/>
      <c r="AM783"/>
    </row>
    <row r="784" spans="1:39" ht="18" x14ac:dyDescent="0.45">
      <c r="A784" s="143"/>
      <c r="B784" s="252"/>
      <c r="C784" s="119"/>
      <c r="F784" s="119"/>
      <c r="I784" s="119"/>
      <c r="L784" s="119"/>
      <c r="O784" s="119"/>
      <c r="R784" s="119"/>
      <c r="U784" s="119"/>
      <c r="X784" s="119"/>
      <c r="AA784" s="119"/>
      <c r="AD784" s="119"/>
      <c r="AM784"/>
    </row>
    <row r="785" spans="1:39" ht="18" x14ac:dyDescent="0.45">
      <c r="A785" s="143"/>
      <c r="B785" s="252"/>
      <c r="C785" s="119"/>
      <c r="F785" s="119"/>
      <c r="I785" s="119"/>
      <c r="L785" s="119"/>
      <c r="O785" s="119"/>
      <c r="R785" s="119"/>
      <c r="U785" s="119"/>
      <c r="X785" s="119"/>
      <c r="AA785" s="119"/>
      <c r="AD785" s="119"/>
      <c r="AM785"/>
    </row>
    <row r="786" spans="1:39" ht="18" x14ac:dyDescent="0.45">
      <c r="A786" s="143"/>
      <c r="B786" s="252"/>
      <c r="C786" s="119"/>
      <c r="F786" s="119"/>
      <c r="I786" s="119"/>
      <c r="L786" s="119"/>
      <c r="O786" s="119"/>
      <c r="R786" s="119"/>
      <c r="U786" s="119"/>
      <c r="X786" s="119"/>
      <c r="AA786" s="119"/>
      <c r="AD786" s="119"/>
      <c r="AM786"/>
    </row>
    <row r="787" spans="1:39" ht="18" x14ac:dyDescent="0.45">
      <c r="A787" s="143"/>
      <c r="B787" s="252"/>
      <c r="C787" s="119"/>
      <c r="F787" s="119"/>
      <c r="I787" s="119"/>
      <c r="L787" s="119"/>
      <c r="O787" s="119"/>
      <c r="R787" s="119"/>
      <c r="U787" s="119"/>
      <c r="X787" s="119"/>
      <c r="AA787" s="119"/>
      <c r="AD787" s="119"/>
      <c r="AM787"/>
    </row>
    <row r="788" spans="1:39" ht="18" x14ac:dyDescent="0.45">
      <c r="A788" s="143"/>
      <c r="B788" s="252"/>
      <c r="C788" s="119"/>
      <c r="F788" s="119"/>
      <c r="I788" s="119"/>
      <c r="L788" s="119"/>
      <c r="O788" s="119"/>
      <c r="R788" s="119"/>
      <c r="U788" s="119"/>
      <c r="X788" s="119"/>
      <c r="AA788" s="119"/>
      <c r="AD788" s="119"/>
      <c r="AM788"/>
    </row>
    <row r="789" spans="1:39" ht="18" x14ac:dyDescent="0.45">
      <c r="A789" s="143"/>
      <c r="B789" s="252"/>
      <c r="C789" s="119"/>
      <c r="F789" s="119"/>
      <c r="I789" s="119"/>
      <c r="L789" s="119"/>
      <c r="O789" s="119"/>
      <c r="R789" s="119"/>
      <c r="U789" s="119"/>
      <c r="X789" s="119"/>
      <c r="AA789" s="119"/>
      <c r="AD789" s="119"/>
      <c r="AM789"/>
    </row>
    <row r="790" spans="1:39" ht="18" x14ac:dyDescent="0.45">
      <c r="A790" s="143"/>
      <c r="B790" s="252"/>
      <c r="C790" s="119"/>
      <c r="F790" s="119"/>
      <c r="I790" s="119"/>
      <c r="L790" s="119"/>
      <c r="O790" s="119"/>
      <c r="R790" s="119"/>
      <c r="U790" s="119"/>
      <c r="X790" s="119"/>
      <c r="AA790" s="119"/>
      <c r="AD790" s="119"/>
      <c r="AM790"/>
    </row>
    <row r="791" spans="1:39" ht="18" x14ac:dyDescent="0.45">
      <c r="A791" s="143"/>
      <c r="B791" s="252"/>
      <c r="C791" s="119"/>
      <c r="F791" s="119"/>
      <c r="I791" s="119"/>
      <c r="L791" s="119"/>
      <c r="O791" s="119"/>
      <c r="R791" s="119"/>
      <c r="U791" s="119"/>
      <c r="X791" s="119"/>
      <c r="AA791" s="119"/>
      <c r="AD791" s="119"/>
      <c r="AM791"/>
    </row>
    <row r="792" spans="1:39" ht="18" x14ac:dyDescent="0.45">
      <c r="A792" s="143"/>
      <c r="B792" s="252"/>
      <c r="C792" s="119"/>
      <c r="F792" s="119"/>
      <c r="I792" s="119"/>
      <c r="L792" s="119"/>
      <c r="O792" s="119"/>
      <c r="R792" s="119"/>
      <c r="U792" s="119"/>
      <c r="X792" s="119"/>
      <c r="AA792" s="119"/>
      <c r="AD792" s="119"/>
      <c r="AM792"/>
    </row>
    <row r="793" spans="1:39" ht="18" x14ac:dyDescent="0.45">
      <c r="A793" s="143"/>
      <c r="B793" s="252"/>
      <c r="C793" s="119"/>
      <c r="F793" s="119"/>
      <c r="I793" s="119"/>
      <c r="L793" s="119"/>
      <c r="O793" s="119"/>
      <c r="R793" s="119"/>
      <c r="U793" s="119"/>
      <c r="X793" s="119"/>
      <c r="AA793" s="119"/>
      <c r="AD793" s="119"/>
      <c r="AM793"/>
    </row>
    <row r="794" spans="1:39" ht="18" x14ac:dyDescent="0.45">
      <c r="A794" s="143"/>
      <c r="B794" s="252"/>
      <c r="C794" s="119"/>
      <c r="F794" s="119"/>
      <c r="I794" s="119"/>
      <c r="L794" s="119"/>
      <c r="O794" s="119"/>
      <c r="R794" s="119"/>
      <c r="U794" s="119"/>
      <c r="X794" s="119"/>
      <c r="AA794" s="119"/>
      <c r="AD794" s="119"/>
      <c r="AM794"/>
    </row>
    <row r="795" spans="1:39" ht="18" x14ac:dyDescent="0.45">
      <c r="A795" s="143"/>
      <c r="B795" s="252"/>
      <c r="C795" s="119"/>
      <c r="F795" s="119"/>
      <c r="I795" s="119"/>
      <c r="L795" s="119"/>
      <c r="O795" s="119"/>
      <c r="R795" s="119"/>
      <c r="U795" s="119"/>
      <c r="X795" s="119"/>
      <c r="AA795" s="119"/>
      <c r="AD795" s="119"/>
      <c r="AM795"/>
    </row>
    <row r="796" spans="1:39" ht="18" x14ac:dyDescent="0.45">
      <c r="A796" s="143"/>
      <c r="B796" s="252"/>
      <c r="C796" s="119"/>
      <c r="F796" s="119"/>
      <c r="I796" s="119"/>
      <c r="L796" s="119"/>
      <c r="O796" s="119"/>
      <c r="R796" s="119"/>
      <c r="U796" s="119"/>
      <c r="X796" s="119"/>
      <c r="AA796" s="119"/>
      <c r="AD796" s="119"/>
      <c r="AM796"/>
    </row>
    <row r="797" spans="1:39" ht="18" x14ac:dyDescent="0.45">
      <c r="A797" s="143"/>
      <c r="B797" s="252"/>
      <c r="C797" s="119"/>
      <c r="F797" s="119"/>
      <c r="I797" s="119"/>
      <c r="L797" s="119"/>
      <c r="O797" s="119"/>
      <c r="R797" s="119"/>
      <c r="U797" s="119"/>
      <c r="X797" s="119"/>
      <c r="AA797" s="119"/>
      <c r="AD797" s="119"/>
      <c r="AM797"/>
    </row>
    <row r="798" spans="1:39" ht="18" x14ac:dyDescent="0.45">
      <c r="A798" s="143"/>
      <c r="B798" s="252"/>
      <c r="C798" s="119"/>
      <c r="F798" s="119"/>
      <c r="I798" s="119"/>
      <c r="L798" s="119"/>
      <c r="O798" s="119"/>
      <c r="R798" s="119"/>
      <c r="U798" s="119"/>
      <c r="X798" s="119"/>
      <c r="AA798" s="119"/>
      <c r="AD798" s="119"/>
      <c r="AM798"/>
    </row>
    <row r="799" spans="1:39" ht="18" x14ac:dyDescent="0.45">
      <c r="A799" s="143"/>
      <c r="B799" s="252"/>
      <c r="C799" s="119"/>
      <c r="F799" s="119"/>
      <c r="I799" s="119"/>
      <c r="L799" s="119"/>
      <c r="O799" s="119"/>
      <c r="R799" s="119"/>
      <c r="U799" s="119"/>
      <c r="X799" s="119"/>
      <c r="AA799" s="119"/>
      <c r="AD799" s="119"/>
      <c r="AM799"/>
    </row>
    <row r="800" spans="1:39" ht="18" x14ac:dyDescent="0.45">
      <c r="A800" s="143"/>
      <c r="B800" s="252"/>
      <c r="C800" s="119"/>
      <c r="F800" s="119"/>
      <c r="I800" s="119"/>
      <c r="L800" s="119"/>
      <c r="O800" s="119"/>
      <c r="R800" s="119"/>
      <c r="U800" s="119"/>
      <c r="X800" s="119"/>
      <c r="AA800" s="119"/>
      <c r="AD800" s="119"/>
      <c r="AM800"/>
    </row>
    <row r="801" spans="1:39" ht="18" x14ac:dyDescent="0.45">
      <c r="A801" s="143"/>
      <c r="B801" s="252"/>
      <c r="C801" s="119"/>
      <c r="F801" s="119"/>
      <c r="I801" s="119"/>
      <c r="L801" s="119"/>
      <c r="O801" s="119"/>
      <c r="R801" s="119"/>
      <c r="U801" s="119"/>
      <c r="X801" s="119"/>
      <c r="AA801" s="119"/>
      <c r="AD801" s="119"/>
      <c r="AM801"/>
    </row>
    <row r="802" spans="1:39" ht="18" x14ac:dyDescent="0.45">
      <c r="A802" s="143"/>
      <c r="B802" s="252"/>
      <c r="C802" s="119"/>
      <c r="F802" s="119"/>
      <c r="I802" s="119"/>
      <c r="L802" s="119"/>
      <c r="O802" s="119"/>
      <c r="R802" s="119"/>
      <c r="U802" s="119"/>
      <c r="X802" s="119"/>
      <c r="AA802" s="119"/>
      <c r="AD802" s="119"/>
      <c r="AM802"/>
    </row>
    <row r="803" spans="1:39" ht="18" x14ac:dyDescent="0.45">
      <c r="A803" s="143"/>
      <c r="B803" s="252"/>
      <c r="C803" s="119"/>
      <c r="F803" s="119"/>
      <c r="I803" s="119"/>
      <c r="L803" s="119"/>
      <c r="O803" s="119"/>
      <c r="R803" s="119"/>
      <c r="U803" s="119"/>
      <c r="X803" s="119"/>
      <c r="AA803" s="119"/>
      <c r="AD803" s="119"/>
      <c r="AM803"/>
    </row>
    <row r="804" spans="1:39" ht="18" x14ac:dyDescent="0.45">
      <c r="A804" s="143"/>
      <c r="B804" s="252"/>
      <c r="C804" s="119"/>
      <c r="F804" s="119"/>
      <c r="I804" s="119"/>
      <c r="L804" s="119"/>
      <c r="O804" s="119"/>
      <c r="R804" s="119"/>
      <c r="U804" s="119"/>
      <c r="X804" s="119"/>
      <c r="AA804" s="119"/>
      <c r="AD804" s="119"/>
      <c r="AM804"/>
    </row>
    <row r="805" spans="1:39" ht="18" x14ac:dyDescent="0.45">
      <c r="A805" s="143"/>
      <c r="B805" s="252"/>
      <c r="C805" s="119"/>
      <c r="F805" s="119"/>
      <c r="I805" s="119"/>
      <c r="L805" s="119"/>
      <c r="O805" s="119"/>
      <c r="R805" s="119"/>
      <c r="U805" s="119"/>
      <c r="X805" s="119"/>
      <c r="AA805" s="119"/>
      <c r="AD805" s="119"/>
      <c r="AM805"/>
    </row>
    <row r="806" spans="1:39" ht="18" x14ac:dyDescent="0.45">
      <c r="A806" s="143"/>
      <c r="B806" s="252"/>
      <c r="C806" s="119"/>
      <c r="F806" s="119"/>
      <c r="I806" s="119"/>
      <c r="L806" s="119"/>
      <c r="O806" s="119"/>
      <c r="R806" s="119"/>
      <c r="U806" s="119"/>
      <c r="X806" s="119"/>
      <c r="AA806" s="119"/>
      <c r="AD806" s="119"/>
      <c r="AM806"/>
    </row>
    <row r="807" spans="1:39" ht="18" x14ac:dyDescent="0.45">
      <c r="A807" s="143"/>
      <c r="B807" s="252"/>
      <c r="C807" s="119"/>
      <c r="F807" s="119"/>
      <c r="I807" s="119"/>
      <c r="L807" s="119"/>
      <c r="O807" s="119"/>
      <c r="R807" s="119"/>
      <c r="U807" s="119"/>
      <c r="X807" s="119"/>
      <c r="AA807" s="119"/>
      <c r="AD807" s="119"/>
      <c r="AM807"/>
    </row>
    <row r="808" spans="1:39" ht="18" x14ac:dyDescent="0.45">
      <c r="A808" s="143"/>
      <c r="B808" s="252"/>
      <c r="C808" s="119"/>
      <c r="F808" s="119"/>
      <c r="I808" s="119"/>
      <c r="L808" s="119"/>
      <c r="O808" s="119"/>
      <c r="R808" s="119"/>
      <c r="U808" s="119"/>
      <c r="X808" s="119"/>
      <c r="AA808" s="119"/>
      <c r="AD808" s="119"/>
      <c r="AM808"/>
    </row>
    <row r="809" spans="1:39" ht="18" x14ac:dyDescent="0.45">
      <c r="A809" s="143"/>
      <c r="B809" s="252"/>
      <c r="C809" s="119"/>
      <c r="F809" s="119"/>
      <c r="I809" s="119"/>
      <c r="L809" s="119"/>
      <c r="O809" s="119"/>
      <c r="R809" s="119"/>
      <c r="U809" s="119"/>
      <c r="X809" s="119"/>
      <c r="AA809" s="119"/>
      <c r="AD809" s="119"/>
      <c r="AM809"/>
    </row>
    <row r="810" spans="1:39" ht="18" x14ac:dyDescent="0.45">
      <c r="A810" s="143"/>
      <c r="B810" s="252"/>
      <c r="C810" s="119"/>
      <c r="F810" s="119"/>
      <c r="I810" s="119"/>
      <c r="L810" s="119"/>
      <c r="O810" s="119"/>
      <c r="R810" s="119"/>
      <c r="U810" s="119"/>
      <c r="X810" s="119"/>
      <c r="AA810" s="119"/>
      <c r="AD810" s="119"/>
      <c r="AM810"/>
    </row>
    <row r="811" spans="1:39" ht="18" x14ac:dyDescent="0.45">
      <c r="A811" s="143"/>
      <c r="B811" s="252"/>
      <c r="C811" s="119"/>
      <c r="F811" s="119"/>
      <c r="I811" s="119"/>
      <c r="L811" s="119"/>
      <c r="O811" s="119"/>
      <c r="R811" s="119"/>
      <c r="U811" s="119"/>
      <c r="X811" s="119"/>
      <c r="AA811" s="119"/>
      <c r="AD811" s="119"/>
      <c r="AM811"/>
    </row>
    <row r="812" spans="1:39" ht="18" x14ac:dyDescent="0.45">
      <c r="A812" s="143"/>
      <c r="B812" s="252"/>
      <c r="C812" s="119"/>
      <c r="F812" s="119"/>
      <c r="I812" s="119"/>
      <c r="L812" s="119"/>
      <c r="O812" s="119"/>
      <c r="R812" s="119"/>
      <c r="U812" s="119"/>
      <c r="X812" s="119"/>
      <c r="AA812" s="119"/>
      <c r="AD812" s="119"/>
      <c r="AM812"/>
    </row>
    <row r="813" spans="1:39" ht="18" x14ac:dyDescent="0.45">
      <c r="A813" s="143"/>
      <c r="B813" s="252"/>
      <c r="C813" s="119"/>
      <c r="F813" s="119"/>
      <c r="I813" s="119"/>
      <c r="L813" s="119"/>
      <c r="O813" s="119"/>
      <c r="R813" s="119"/>
      <c r="U813" s="119"/>
      <c r="X813" s="119"/>
      <c r="AA813" s="119"/>
      <c r="AD813" s="119"/>
      <c r="AM813"/>
    </row>
    <row r="814" spans="1:39" ht="18" x14ac:dyDescent="0.45">
      <c r="A814" s="143"/>
      <c r="B814" s="252"/>
      <c r="C814" s="119"/>
      <c r="F814" s="119"/>
      <c r="I814" s="119"/>
      <c r="L814" s="119"/>
      <c r="O814" s="119"/>
      <c r="R814" s="119"/>
      <c r="U814" s="119"/>
      <c r="X814" s="119"/>
      <c r="AA814" s="119"/>
      <c r="AD814" s="119"/>
      <c r="AM814"/>
    </row>
    <row r="815" spans="1:39" ht="18" x14ac:dyDescent="0.45">
      <c r="A815" s="143"/>
      <c r="B815" s="252"/>
      <c r="C815" s="119"/>
      <c r="F815" s="119"/>
      <c r="I815" s="119"/>
      <c r="L815" s="119"/>
      <c r="O815" s="119"/>
      <c r="R815" s="119"/>
      <c r="U815" s="119"/>
      <c r="X815" s="119"/>
      <c r="AA815" s="119"/>
      <c r="AD815" s="119"/>
      <c r="AM815"/>
    </row>
    <row r="816" spans="1:39" ht="18" x14ac:dyDescent="0.45">
      <c r="A816" s="143"/>
      <c r="B816" s="252"/>
      <c r="C816" s="119"/>
      <c r="F816" s="119"/>
      <c r="I816" s="119"/>
      <c r="L816" s="119"/>
      <c r="O816" s="119"/>
      <c r="R816" s="119"/>
      <c r="U816" s="119"/>
      <c r="X816" s="119"/>
      <c r="AA816" s="119"/>
      <c r="AD816" s="119"/>
      <c r="AM816"/>
    </row>
    <row r="817" spans="1:39" ht="18" x14ac:dyDescent="0.45">
      <c r="A817" s="143"/>
      <c r="B817" s="252"/>
      <c r="C817" s="119"/>
      <c r="F817" s="119"/>
      <c r="I817" s="119"/>
      <c r="L817" s="119"/>
      <c r="O817" s="119"/>
      <c r="R817" s="119"/>
      <c r="U817" s="119"/>
      <c r="X817" s="119"/>
      <c r="AA817" s="119"/>
      <c r="AD817" s="119"/>
      <c r="AM817"/>
    </row>
    <row r="818" spans="1:39" ht="18" x14ac:dyDescent="0.45">
      <c r="A818" s="143"/>
      <c r="B818" s="252"/>
      <c r="C818" s="119"/>
      <c r="F818" s="119"/>
      <c r="I818" s="119"/>
      <c r="L818" s="119"/>
      <c r="O818" s="119"/>
      <c r="R818" s="119"/>
      <c r="U818" s="119"/>
      <c r="X818" s="119"/>
      <c r="AA818" s="119"/>
      <c r="AD818" s="119"/>
      <c r="AM818"/>
    </row>
    <row r="819" spans="1:39" ht="18" x14ac:dyDescent="0.45">
      <c r="A819" s="143"/>
      <c r="B819" s="252"/>
      <c r="C819" s="119"/>
      <c r="F819" s="119"/>
      <c r="I819" s="119"/>
      <c r="L819" s="119"/>
      <c r="O819" s="119"/>
      <c r="R819" s="119"/>
      <c r="U819" s="119"/>
      <c r="X819" s="119"/>
      <c r="AA819" s="119"/>
      <c r="AD819" s="119"/>
      <c r="AM819"/>
    </row>
    <row r="820" spans="1:39" ht="18" x14ac:dyDescent="0.45">
      <c r="A820" s="143"/>
      <c r="B820" s="252"/>
      <c r="C820" s="119"/>
      <c r="F820" s="119"/>
      <c r="I820" s="119"/>
      <c r="L820" s="119"/>
      <c r="O820" s="119"/>
      <c r="R820" s="119"/>
      <c r="U820" s="119"/>
      <c r="X820" s="119"/>
      <c r="AA820" s="119"/>
      <c r="AD820" s="119"/>
      <c r="AM820"/>
    </row>
    <row r="821" spans="1:39" ht="18" x14ac:dyDescent="0.45">
      <c r="A821" s="143"/>
      <c r="B821" s="252"/>
      <c r="C821" s="119"/>
      <c r="F821" s="119"/>
      <c r="I821" s="119"/>
      <c r="L821" s="119"/>
      <c r="O821" s="119"/>
      <c r="R821" s="119"/>
      <c r="U821" s="119"/>
      <c r="X821" s="119"/>
      <c r="AA821" s="119"/>
      <c r="AD821" s="119"/>
      <c r="AM821"/>
    </row>
    <row r="822" spans="1:39" ht="18" x14ac:dyDescent="0.45">
      <c r="A822" s="143"/>
      <c r="B822" s="252"/>
      <c r="C822" s="119"/>
      <c r="F822" s="119"/>
      <c r="I822" s="119"/>
      <c r="L822" s="119"/>
      <c r="O822" s="119"/>
      <c r="R822" s="119"/>
      <c r="U822" s="119"/>
      <c r="X822" s="119"/>
      <c r="AA822" s="119"/>
      <c r="AD822" s="119"/>
      <c r="AM822"/>
    </row>
    <row r="823" spans="1:39" ht="18" x14ac:dyDescent="0.45">
      <c r="A823" s="143"/>
      <c r="B823" s="252"/>
      <c r="C823" s="119"/>
      <c r="F823" s="119"/>
      <c r="I823" s="119"/>
      <c r="L823" s="119"/>
      <c r="O823" s="119"/>
      <c r="R823" s="119"/>
      <c r="U823" s="119"/>
      <c r="X823" s="119"/>
      <c r="AA823" s="119"/>
      <c r="AD823" s="119"/>
      <c r="AM823"/>
    </row>
    <row r="824" spans="1:39" ht="18" x14ac:dyDescent="0.45">
      <c r="A824" s="143"/>
      <c r="B824" s="252"/>
      <c r="C824" s="119"/>
      <c r="F824" s="119"/>
      <c r="I824" s="119"/>
      <c r="L824" s="119"/>
      <c r="O824" s="119"/>
      <c r="R824" s="119"/>
      <c r="U824" s="119"/>
      <c r="X824" s="119"/>
      <c r="AA824" s="119"/>
      <c r="AD824" s="119"/>
      <c r="AM824"/>
    </row>
    <row r="825" spans="1:39" ht="18" x14ac:dyDescent="0.45">
      <c r="A825" s="143"/>
      <c r="B825" s="252"/>
      <c r="C825" s="119"/>
      <c r="F825" s="119"/>
      <c r="I825" s="119"/>
      <c r="L825" s="119"/>
      <c r="O825" s="119"/>
      <c r="R825" s="119"/>
      <c r="U825" s="119"/>
      <c r="X825" s="119"/>
      <c r="AA825" s="119"/>
      <c r="AD825" s="119"/>
      <c r="AM825"/>
    </row>
    <row r="826" spans="1:39" ht="18" x14ac:dyDescent="0.45">
      <c r="A826" s="143"/>
      <c r="B826" s="252"/>
      <c r="C826" s="119"/>
      <c r="F826" s="119"/>
      <c r="I826" s="119"/>
      <c r="L826" s="119"/>
      <c r="O826" s="119"/>
      <c r="R826" s="119"/>
      <c r="U826" s="119"/>
      <c r="X826" s="119"/>
      <c r="AA826" s="119"/>
      <c r="AD826" s="119"/>
      <c r="AM826"/>
    </row>
    <row r="827" spans="1:39" ht="18" x14ac:dyDescent="0.45">
      <c r="A827" s="143"/>
      <c r="B827" s="252"/>
      <c r="C827" s="119"/>
      <c r="F827" s="119"/>
      <c r="I827" s="119"/>
      <c r="L827" s="119"/>
      <c r="O827" s="119"/>
      <c r="R827" s="119"/>
      <c r="U827" s="119"/>
      <c r="X827" s="119"/>
      <c r="AA827" s="119"/>
      <c r="AD827" s="119"/>
      <c r="AM827"/>
    </row>
    <row r="828" spans="1:39" ht="18" x14ac:dyDescent="0.45">
      <c r="A828" s="143"/>
      <c r="B828" s="252"/>
      <c r="C828" s="119"/>
      <c r="F828" s="119"/>
      <c r="I828" s="119"/>
      <c r="L828" s="119"/>
      <c r="O828" s="119"/>
      <c r="R828" s="119"/>
      <c r="U828" s="119"/>
      <c r="X828" s="119"/>
      <c r="AA828" s="119"/>
      <c r="AD828" s="119"/>
      <c r="AM828"/>
    </row>
    <row r="829" spans="1:39" ht="18" x14ac:dyDescent="0.45">
      <c r="A829" s="143"/>
      <c r="B829" s="252"/>
      <c r="C829" s="119"/>
      <c r="F829" s="119"/>
      <c r="I829" s="119"/>
      <c r="L829" s="119"/>
      <c r="O829" s="119"/>
      <c r="R829" s="119"/>
      <c r="U829" s="119"/>
      <c r="X829" s="119"/>
      <c r="AA829" s="119"/>
      <c r="AD829" s="119"/>
      <c r="AM829"/>
    </row>
    <row r="830" spans="1:39" ht="18" x14ac:dyDescent="0.45">
      <c r="A830" s="143"/>
      <c r="B830" s="252"/>
      <c r="C830" s="119"/>
      <c r="F830" s="119"/>
      <c r="I830" s="119"/>
      <c r="L830" s="119"/>
      <c r="O830" s="119"/>
      <c r="R830" s="119"/>
      <c r="U830" s="119"/>
      <c r="X830" s="119"/>
      <c r="AA830" s="119"/>
      <c r="AD830" s="119"/>
      <c r="AM830"/>
    </row>
    <row r="831" spans="1:39" ht="18" x14ac:dyDescent="0.45">
      <c r="A831" s="143"/>
      <c r="B831" s="252"/>
      <c r="C831" s="119"/>
      <c r="F831" s="119"/>
      <c r="I831" s="119"/>
      <c r="L831" s="119"/>
      <c r="O831" s="119"/>
      <c r="R831" s="119"/>
      <c r="U831" s="119"/>
      <c r="X831" s="119"/>
      <c r="AA831" s="119"/>
      <c r="AD831" s="119"/>
      <c r="AM831"/>
    </row>
    <row r="832" spans="1:39" ht="18" x14ac:dyDescent="0.45">
      <c r="A832" s="143"/>
      <c r="B832" s="252"/>
      <c r="C832" s="119"/>
      <c r="F832" s="119"/>
      <c r="I832" s="119"/>
      <c r="L832" s="119"/>
      <c r="O832" s="119"/>
      <c r="R832" s="119"/>
      <c r="U832" s="119"/>
      <c r="X832" s="119"/>
      <c r="AA832" s="119"/>
      <c r="AD832" s="119"/>
      <c r="AM832"/>
    </row>
    <row r="833" spans="1:39" ht="18" x14ac:dyDescent="0.45">
      <c r="A833" s="143"/>
      <c r="B833" s="252"/>
      <c r="C833" s="119"/>
      <c r="F833" s="119"/>
      <c r="I833" s="119"/>
      <c r="L833" s="119"/>
      <c r="O833" s="119"/>
      <c r="R833" s="119"/>
      <c r="U833" s="119"/>
      <c r="X833" s="119"/>
      <c r="AA833" s="119"/>
      <c r="AD833" s="119"/>
      <c r="AM833"/>
    </row>
    <row r="834" spans="1:39" ht="18" x14ac:dyDescent="0.45">
      <c r="A834" s="143"/>
      <c r="B834" s="252"/>
      <c r="C834" s="119"/>
      <c r="F834" s="119"/>
      <c r="I834" s="119"/>
      <c r="L834" s="119"/>
      <c r="O834" s="119"/>
      <c r="R834" s="119"/>
      <c r="U834" s="119"/>
      <c r="X834" s="119"/>
      <c r="AA834" s="119"/>
      <c r="AD834" s="119"/>
      <c r="AM834"/>
    </row>
    <row r="835" spans="1:39" ht="18" x14ac:dyDescent="0.45">
      <c r="A835" s="143"/>
      <c r="B835" s="252"/>
      <c r="C835" s="119"/>
      <c r="F835" s="119"/>
      <c r="I835" s="119"/>
      <c r="L835" s="119"/>
      <c r="O835" s="119"/>
      <c r="R835" s="119"/>
      <c r="U835" s="119"/>
      <c r="X835" s="119"/>
      <c r="AA835" s="119"/>
      <c r="AD835" s="119"/>
      <c r="AM835"/>
    </row>
    <row r="836" spans="1:39" ht="18" x14ac:dyDescent="0.45">
      <c r="A836" s="143"/>
      <c r="B836" s="252"/>
      <c r="C836" s="119"/>
      <c r="F836" s="119"/>
      <c r="I836" s="119"/>
      <c r="L836" s="119"/>
      <c r="O836" s="119"/>
      <c r="R836" s="119"/>
      <c r="U836" s="119"/>
      <c r="X836" s="119"/>
      <c r="AA836" s="119"/>
      <c r="AD836" s="119"/>
      <c r="AM836"/>
    </row>
    <row r="837" spans="1:39" ht="18" x14ac:dyDescent="0.45">
      <c r="A837" s="143"/>
      <c r="B837" s="252"/>
      <c r="C837" s="119"/>
      <c r="F837" s="119"/>
      <c r="I837" s="119"/>
      <c r="L837" s="119"/>
      <c r="O837" s="119"/>
      <c r="R837" s="119"/>
      <c r="U837" s="119"/>
      <c r="X837" s="119"/>
      <c r="AA837" s="119"/>
      <c r="AD837" s="119"/>
      <c r="AM837"/>
    </row>
    <row r="838" spans="1:39" ht="18" x14ac:dyDescent="0.45">
      <c r="A838" s="143"/>
      <c r="B838" s="252"/>
      <c r="C838" s="119"/>
      <c r="F838" s="119"/>
      <c r="I838" s="119"/>
      <c r="L838" s="119"/>
      <c r="O838" s="119"/>
      <c r="R838" s="119"/>
      <c r="U838" s="119"/>
      <c r="X838" s="119"/>
      <c r="AA838" s="119"/>
      <c r="AD838" s="119"/>
      <c r="AM838"/>
    </row>
    <row r="839" spans="1:39" ht="18" x14ac:dyDescent="0.45">
      <c r="A839" s="143"/>
      <c r="B839" s="252"/>
      <c r="C839" s="119"/>
      <c r="F839" s="119"/>
      <c r="I839" s="119"/>
      <c r="L839" s="119"/>
      <c r="O839" s="119"/>
      <c r="R839" s="119"/>
      <c r="U839" s="119"/>
      <c r="X839" s="119"/>
      <c r="AA839" s="119"/>
      <c r="AD839" s="119"/>
      <c r="AM839"/>
    </row>
    <row r="840" spans="1:39" ht="18" x14ac:dyDescent="0.45">
      <c r="A840" s="143"/>
      <c r="B840" s="252"/>
      <c r="C840" s="119"/>
      <c r="F840" s="119"/>
      <c r="I840" s="119"/>
      <c r="L840" s="119"/>
      <c r="O840" s="119"/>
      <c r="R840" s="119"/>
      <c r="U840" s="119"/>
      <c r="X840" s="119"/>
      <c r="AA840" s="119"/>
      <c r="AD840" s="119"/>
      <c r="AM840"/>
    </row>
    <row r="841" spans="1:39" ht="18" x14ac:dyDescent="0.45">
      <c r="A841" s="143"/>
      <c r="B841" s="252"/>
      <c r="C841" s="119"/>
      <c r="F841" s="119"/>
      <c r="I841" s="119"/>
      <c r="L841" s="119"/>
      <c r="O841" s="119"/>
      <c r="R841" s="119"/>
      <c r="U841" s="119"/>
      <c r="X841" s="119"/>
      <c r="AA841" s="119"/>
      <c r="AD841" s="119"/>
      <c r="AM841"/>
    </row>
    <row r="842" spans="1:39" ht="18" x14ac:dyDescent="0.45">
      <c r="A842" s="143"/>
      <c r="B842" s="252"/>
      <c r="C842" s="119"/>
      <c r="F842" s="119"/>
      <c r="I842" s="119"/>
      <c r="L842" s="119"/>
      <c r="O842" s="119"/>
      <c r="R842" s="119"/>
      <c r="U842" s="119"/>
      <c r="X842" s="119"/>
      <c r="AA842" s="119"/>
      <c r="AD842" s="119"/>
      <c r="AM842"/>
    </row>
    <row r="843" spans="1:39" ht="18" x14ac:dyDescent="0.45">
      <c r="A843" s="143"/>
      <c r="B843" s="252"/>
      <c r="C843" s="119"/>
      <c r="F843" s="119"/>
      <c r="I843" s="119"/>
      <c r="L843" s="119"/>
      <c r="O843" s="119"/>
      <c r="R843" s="119"/>
      <c r="U843" s="119"/>
      <c r="X843" s="119"/>
      <c r="AA843" s="119"/>
      <c r="AD843" s="119"/>
      <c r="AM843"/>
    </row>
    <row r="844" spans="1:39" ht="18" x14ac:dyDescent="0.45">
      <c r="A844" s="143"/>
      <c r="B844" s="252"/>
      <c r="C844" s="119"/>
      <c r="F844" s="119"/>
      <c r="I844" s="119"/>
      <c r="L844" s="119"/>
      <c r="O844" s="119"/>
      <c r="R844" s="119"/>
      <c r="U844" s="119"/>
      <c r="X844" s="119"/>
      <c r="AA844" s="119"/>
      <c r="AD844" s="119"/>
      <c r="AM844"/>
    </row>
    <row r="845" spans="1:39" ht="18" x14ac:dyDescent="0.45">
      <c r="A845" s="143"/>
      <c r="B845" s="252"/>
      <c r="C845" s="119"/>
      <c r="F845" s="119"/>
      <c r="I845" s="119"/>
      <c r="L845" s="119"/>
      <c r="O845" s="119"/>
      <c r="R845" s="119"/>
      <c r="U845" s="119"/>
      <c r="X845" s="119"/>
      <c r="AA845" s="119"/>
      <c r="AD845" s="119"/>
      <c r="AM845"/>
    </row>
    <row r="846" spans="1:39" ht="18" x14ac:dyDescent="0.45">
      <c r="A846" s="143"/>
      <c r="B846" s="252"/>
      <c r="C846" s="119"/>
      <c r="F846" s="119"/>
      <c r="I846" s="119"/>
      <c r="L846" s="119"/>
      <c r="O846" s="119"/>
      <c r="R846" s="119"/>
      <c r="U846" s="119"/>
      <c r="X846" s="119"/>
      <c r="AA846" s="119"/>
      <c r="AD846" s="119"/>
      <c r="AM846"/>
    </row>
    <row r="847" spans="1:39" ht="18" x14ac:dyDescent="0.45">
      <c r="A847" s="143"/>
      <c r="B847" s="252"/>
      <c r="C847" s="119"/>
      <c r="F847" s="119"/>
      <c r="I847" s="119"/>
      <c r="L847" s="119"/>
      <c r="O847" s="119"/>
      <c r="R847" s="119"/>
      <c r="U847" s="119"/>
      <c r="X847" s="119"/>
      <c r="AA847" s="119"/>
      <c r="AD847" s="119"/>
      <c r="AM847"/>
    </row>
    <row r="848" spans="1:39" ht="18" x14ac:dyDescent="0.45">
      <c r="A848" s="143"/>
      <c r="B848" s="252"/>
      <c r="C848" s="119"/>
      <c r="F848" s="119"/>
      <c r="I848" s="119"/>
      <c r="L848" s="119"/>
      <c r="O848" s="119"/>
      <c r="R848" s="119"/>
      <c r="U848" s="119"/>
      <c r="X848" s="119"/>
      <c r="AA848" s="119"/>
      <c r="AD848" s="119"/>
      <c r="AM848"/>
    </row>
    <row r="849" spans="1:39" ht="18" x14ac:dyDescent="0.45">
      <c r="A849" s="143"/>
      <c r="B849" s="252"/>
      <c r="C849" s="119"/>
      <c r="F849" s="119"/>
      <c r="I849" s="119"/>
      <c r="L849" s="119"/>
      <c r="O849" s="119"/>
      <c r="R849" s="119"/>
      <c r="U849" s="119"/>
      <c r="X849" s="119"/>
      <c r="AA849" s="119"/>
      <c r="AD849" s="119"/>
      <c r="AM849"/>
    </row>
    <row r="850" spans="1:39" ht="18" x14ac:dyDescent="0.45">
      <c r="A850" s="143"/>
      <c r="B850" s="252"/>
      <c r="C850" s="119"/>
      <c r="F850" s="119"/>
      <c r="I850" s="119"/>
      <c r="L850" s="119"/>
      <c r="O850" s="119"/>
      <c r="R850" s="119"/>
      <c r="U850" s="119"/>
      <c r="X850" s="119"/>
      <c r="AA850" s="119"/>
      <c r="AD850" s="119"/>
      <c r="AM850"/>
    </row>
    <row r="851" spans="1:39" ht="18" x14ac:dyDescent="0.45">
      <c r="A851" s="143"/>
      <c r="B851" s="252"/>
      <c r="C851" s="119"/>
      <c r="F851" s="119"/>
      <c r="I851" s="119"/>
      <c r="L851" s="119"/>
      <c r="O851" s="119"/>
      <c r="R851" s="119"/>
      <c r="U851" s="119"/>
      <c r="X851" s="119"/>
      <c r="AA851" s="119"/>
      <c r="AD851" s="119"/>
      <c r="AM851"/>
    </row>
    <row r="852" spans="1:39" ht="18" x14ac:dyDescent="0.45">
      <c r="A852" s="143"/>
      <c r="B852" s="252"/>
      <c r="C852" s="119"/>
      <c r="F852" s="119"/>
      <c r="I852" s="119"/>
      <c r="L852" s="119"/>
      <c r="O852" s="119"/>
      <c r="R852" s="119"/>
      <c r="U852" s="119"/>
      <c r="X852" s="119"/>
      <c r="AA852" s="119"/>
      <c r="AD852" s="119"/>
      <c r="AM852"/>
    </row>
    <row r="853" spans="1:39" ht="18" x14ac:dyDescent="0.45">
      <c r="A853" s="143"/>
      <c r="B853" s="252"/>
      <c r="C853" s="119"/>
      <c r="F853" s="119"/>
      <c r="I853" s="119"/>
      <c r="L853" s="119"/>
      <c r="O853" s="119"/>
      <c r="R853" s="119"/>
      <c r="U853" s="119"/>
      <c r="X853" s="119"/>
      <c r="AA853" s="119"/>
      <c r="AD853" s="119"/>
      <c r="AM853"/>
    </row>
    <row r="854" spans="1:39" ht="18" x14ac:dyDescent="0.45">
      <c r="A854" s="143"/>
      <c r="B854" s="252"/>
      <c r="C854" s="119"/>
      <c r="F854" s="119"/>
      <c r="I854" s="119"/>
      <c r="L854" s="119"/>
      <c r="O854" s="119"/>
      <c r="R854" s="119"/>
      <c r="U854" s="119"/>
      <c r="X854" s="119"/>
      <c r="AA854" s="119"/>
      <c r="AD854" s="119"/>
      <c r="AM854"/>
    </row>
    <row r="855" spans="1:39" ht="18" x14ac:dyDescent="0.45">
      <c r="A855" s="143"/>
      <c r="B855" s="252"/>
      <c r="C855" s="119"/>
      <c r="F855" s="119"/>
      <c r="I855" s="119"/>
      <c r="L855" s="119"/>
      <c r="O855" s="119"/>
      <c r="R855" s="119"/>
      <c r="U855" s="119"/>
      <c r="X855" s="119"/>
      <c r="AA855" s="119"/>
      <c r="AD855" s="119"/>
      <c r="AM855"/>
    </row>
    <row r="856" spans="1:39" ht="18" x14ac:dyDescent="0.45">
      <c r="A856" s="143"/>
      <c r="B856" s="252"/>
      <c r="C856" s="119"/>
      <c r="F856" s="119"/>
      <c r="I856" s="119"/>
      <c r="L856" s="119"/>
      <c r="O856" s="119"/>
      <c r="R856" s="119"/>
      <c r="U856" s="119"/>
      <c r="X856" s="119"/>
      <c r="AA856" s="119"/>
      <c r="AD856" s="119"/>
      <c r="AM856"/>
    </row>
    <row r="857" spans="1:39" ht="18" x14ac:dyDescent="0.45">
      <c r="A857" s="143"/>
      <c r="B857" s="252"/>
      <c r="C857" s="119"/>
      <c r="F857" s="119"/>
      <c r="I857" s="119"/>
      <c r="L857" s="119"/>
      <c r="O857" s="119"/>
      <c r="R857" s="119"/>
      <c r="U857" s="119"/>
      <c r="X857" s="119"/>
      <c r="AA857" s="119"/>
      <c r="AD857" s="119"/>
      <c r="AM857"/>
    </row>
    <row r="858" spans="1:39" ht="18" x14ac:dyDescent="0.45">
      <c r="A858" s="143"/>
      <c r="B858" s="252"/>
      <c r="C858" s="119"/>
      <c r="F858" s="119"/>
      <c r="I858" s="119"/>
      <c r="L858" s="119"/>
      <c r="O858" s="119"/>
      <c r="R858" s="119"/>
      <c r="U858" s="119"/>
      <c r="X858" s="119"/>
      <c r="AA858" s="119"/>
      <c r="AD858" s="119"/>
      <c r="AM858"/>
    </row>
    <row r="859" spans="1:39" ht="18" x14ac:dyDescent="0.45">
      <c r="A859" s="143"/>
      <c r="B859" s="252"/>
      <c r="C859" s="119"/>
      <c r="F859" s="119"/>
      <c r="I859" s="119"/>
      <c r="L859" s="119"/>
      <c r="O859" s="119"/>
      <c r="R859" s="119"/>
      <c r="U859" s="119"/>
      <c r="X859" s="119"/>
      <c r="AA859" s="119"/>
      <c r="AD859" s="119"/>
      <c r="AM859"/>
    </row>
    <row r="860" spans="1:39" ht="18" x14ac:dyDescent="0.45">
      <c r="A860" s="143"/>
      <c r="B860" s="252"/>
      <c r="C860" s="119"/>
      <c r="F860" s="119"/>
      <c r="I860" s="119"/>
      <c r="L860" s="119"/>
      <c r="O860" s="119"/>
      <c r="R860" s="119"/>
      <c r="U860" s="119"/>
      <c r="X860" s="119"/>
      <c r="AA860" s="119"/>
      <c r="AD860" s="119"/>
      <c r="AM860"/>
    </row>
    <row r="861" spans="1:39" ht="18" x14ac:dyDescent="0.45">
      <c r="A861" s="143"/>
      <c r="B861" s="252"/>
      <c r="C861" s="119"/>
      <c r="F861" s="119"/>
      <c r="I861" s="119"/>
      <c r="L861" s="119"/>
      <c r="O861" s="119"/>
      <c r="R861" s="119"/>
      <c r="U861" s="119"/>
      <c r="X861" s="119"/>
      <c r="AA861" s="119"/>
      <c r="AD861" s="119"/>
      <c r="AM861"/>
    </row>
    <row r="862" spans="1:39" ht="18" x14ac:dyDescent="0.45">
      <c r="A862" s="143"/>
      <c r="B862" s="252"/>
      <c r="C862" s="119"/>
      <c r="F862" s="119"/>
      <c r="I862" s="119"/>
      <c r="L862" s="119"/>
      <c r="O862" s="119"/>
      <c r="R862" s="119"/>
      <c r="U862" s="119"/>
      <c r="X862" s="119"/>
      <c r="AA862" s="119"/>
      <c r="AD862" s="119"/>
      <c r="AM862"/>
    </row>
    <row r="863" spans="1:39" ht="18" x14ac:dyDescent="0.45">
      <c r="A863" s="143"/>
      <c r="B863" s="252"/>
      <c r="C863" s="119"/>
      <c r="F863" s="119"/>
      <c r="I863" s="119"/>
      <c r="L863" s="119"/>
      <c r="O863" s="119"/>
      <c r="R863" s="119"/>
      <c r="U863" s="119"/>
      <c r="X863" s="119"/>
      <c r="AA863" s="119"/>
      <c r="AD863" s="119"/>
      <c r="AM863"/>
    </row>
    <row r="864" spans="1:39" ht="18" x14ac:dyDescent="0.45">
      <c r="A864" s="143"/>
      <c r="B864" s="252"/>
      <c r="C864" s="119"/>
      <c r="F864" s="119"/>
      <c r="I864" s="119"/>
      <c r="L864" s="119"/>
      <c r="O864" s="119"/>
      <c r="R864" s="119"/>
      <c r="U864" s="119"/>
      <c r="X864" s="119"/>
      <c r="AA864" s="119"/>
      <c r="AD864" s="119"/>
      <c r="AM864"/>
    </row>
    <row r="865" spans="1:39" ht="18" x14ac:dyDescent="0.45">
      <c r="A865" s="143"/>
      <c r="B865" s="252"/>
      <c r="C865" s="119"/>
      <c r="F865" s="119"/>
      <c r="I865" s="119"/>
      <c r="L865" s="119"/>
      <c r="O865" s="119"/>
      <c r="R865" s="119"/>
      <c r="U865" s="119"/>
      <c r="X865" s="119"/>
      <c r="AA865" s="119"/>
      <c r="AD865" s="119"/>
      <c r="AM865"/>
    </row>
    <row r="866" spans="1:39" ht="18" x14ac:dyDescent="0.45">
      <c r="A866" s="143"/>
      <c r="B866" s="252"/>
      <c r="C866" s="119"/>
      <c r="F866" s="119"/>
      <c r="I866" s="119"/>
      <c r="L866" s="119"/>
      <c r="O866" s="119"/>
      <c r="R866" s="119"/>
      <c r="U866" s="119"/>
      <c r="X866" s="119"/>
      <c r="AA866" s="119"/>
      <c r="AD866" s="119"/>
      <c r="AM866"/>
    </row>
    <row r="867" spans="1:39" ht="18" x14ac:dyDescent="0.45">
      <c r="A867" s="143"/>
      <c r="B867" s="252"/>
      <c r="C867" s="119"/>
      <c r="F867" s="119"/>
      <c r="I867" s="119"/>
      <c r="L867" s="119"/>
      <c r="O867" s="119"/>
      <c r="R867" s="119"/>
      <c r="U867" s="119"/>
      <c r="X867" s="119"/>
      <c r="AA867" s="119"/>
      <c r="AD867" s="119"/>
      <c r="AM867"/>
    </row>
    <row r="868" spans="1:39" ht="18" x14ac:dyDescent="0.45">
      <c r="A868" s="143"/>
      <c r="B868" s="252"/>
      <c r="C868" s="119"/>
      <c r="F868" s="119"/>
      <c r="I868" s="119"/>
      <c r="L868" s="119"/>
      <c r="O868" s="119"/>
      <c r="R868" s="119"/>
      <c r="U868" s="119"/>
      <c r="X868" s="119"/>
      <c r="AA868" s="119"/>
      <c r="AD868" s="119"/>
      <c r="AM868"/>
    </row>
    <row r="869" spans="1:39" ht="18" x14ac:dyDescent="0.45">
      <c r="A869" s="143"/>
      <c r="B869" s="252"/>
      <c r="C869" s="119"/>
      <c r="F869" s="119"/>
      <c r="I869" s="119"/>
      <c r="L869" s="119"/>
      <c r="O869" s="119"/>
      <c r="R869" s="119"/>
      <c r="U869" s="119"/>
      <c r="X869" s="119"/>
      <c r="AA869" s="119"/>
      <c r="AD869" s="119"/>
      <c r="AM869"/>
    </row>
    <row r="870" spans="1:39" ht="18" x14ac:dyDescent="0.45">
      <c r="A870" s="143"/>
      <c r="B870" s="252"/>
      <c r="C870" s="119"/>
      <c r="F870" s="119"/>
      <c r="I870" s="119"/>
      <c r="L870" s="119"/>
      <c r="O870" s="119"/>
      <c r="R870" s="119"/>
      <c r="U870" s="119"/>
      <c r="X870" s="119"/>
      <c r="AA870" s="119"/>
      <c r="AD870" s="119"/>
      <c r="AM870"/>
    </row>
    <row r="871" spans="1:39" ht="18" x14ac:dyDescent="0.45">
      <c r="A871" s="143"/>
      <c r="B871" s="252"/>
      <c r="C871" s="119"/>
      <c r="F871" s="119"/>
      <c r="I871" s="119"/>
      <c r="L871" s="119"/>
      <c r="O871" s="119"/>
      <c r="R871" s="119"/>
      <c r="U871" s="119"/>
      <c r="X871" s="119"/>
      <c r="AA871" s="119"/>
      <c r="AD871" s="119"/>
      <c r="AM871"/>
    </row>
    <row r="872" spans="1:39" ht="18" x14ac:dyDescent="0.45">
      <c r="A872" s="143"/>
      <c r="B872" s="252"/>
      <c r="C872" s="119"/>
      <c r="F872" s="119"/>
      <c r="I872" s="119"/>
      <c r="L872" s="119"/>
      <c r="O872" s="119"/>
      <c r="R872" s="119"/>
      <c r="U872" s="119"/>
      <c r="X872" s="119"/>
      <c r="AA872" s="119"/>
      <c r="AD872" s="119"/>
      <c r="AM872"/>
    </row>
    <row r="873" spans="1:39" ht="18" x14ac:dyDescent="0.45">
      <c r="A873" s="143"/>
      <c r="B873" s="252"/>
      <c r="C873" s="119"/>
      <c r="F873" s="119"/>
      <c r="I873" s="119"/>
      <c r="L873" s="119"/>
      <c r="O873" s="119"/>
      <c r="R873" s="119"/>
      <c r="U873" s="119"/>
      <c r="X873" s="119"/>
      <c r="AA873" s="119"/>
      <c r="AD873" s="119"/>
      <c r="AM873"/>
    </row>
    <row r="874" spans="1:39" ht="18" x14ac:dyDescent="0.45">
      <c r="A874" s="143"/>
      <c r="B874" s="252"/>
      <c r="C874" s="119"/>
      <c r="F874" s="119"/>
      <c r="I874" s="119"/>
      <c r="L874" s="119"/>
      <c r="O874" s="119"/>
      <c r="R874" s="119"/>
      <c r="U874" s="119"/>
      <c r="X874" s="119"/>
      <c r="AA874" s="119"/>
      <c r="AD874" s="119"/>
      <c r="AM874"/>
    </row>
    <row r="875" spans="1:39" ht="18" x14ac:dyDescent="0.45">
      <c r="A875" s="143"/>
      <c r="B875" s="252"/>
      <c r="C875" s="119"/>
      <c r="F875" s="119"/>
      <c r="I875" s="119"/>
      <c r="L875" s="119"/>
      <c r="O875" s="119"/>
      <c r="R875" s="119"/>
      <c r="U875" s="119"/>
      <c r="X875" s="119"/>
      <c r="AA875" s="119"/>
      <c r="AD875" s="119"/>
      <c r="AM875"/>
    </row>
    <row r="876" spans="1:39" ht="18" x14ac:dyDescent="0.45">
      <c r="A876" s="143"/>
      <c r="B876" s="252"/>
      <c r="C876" s="119"/>
      <c r="F876" s="119"/>
      <c r="I876" s="119"/>
      <c r="L876" s="119"/>
      <c r="O876" s="119"/>
      <c r="R876" s="119"/>
      <c r="U876" s="119"/>
      <c r="X876" s="119"/>
      <c r="AA876" s="119"/>
      <c r="AD876" s="119"/>
      <c r="AM876"/>
    </row>
    <row r="877" spans="1:39" ht="18" x14ac:dyDescent="0.45">
      <c r="A877" s="143"/>
      <c r="B877" s="252"/>
      <c r="C877" s="119"/>
      <c r="F877" s="119"/>
      <c r="I877" s="119"/>
      <c r="L877" s="119"/>
      <c r="O877" s="119"/>
      <c r="R877" s="119"/>
      <c r="U877" s="119"/>
      <c r="X877" s="119"/>
      <c r="AA877" s="119"/>
      <c r="AD877" s="119"/>
      <c r="AM877"/>
    </row>
    <row r="878" spans="1:39" ht="18" x14ac:dyDescent="0.45">
      <c r="A878" s="143"/>
      <c r="B878" s="252"/>
      <c r="C878" s="119"/>
      <c r="F878" s="119"/>
      <c r="I878" s="119"/>
      <c r="L878" s="119"/>
      <c r="O878" s="119"/>
      <c r="R878" s="119"/>
      <c r="U878" s="119"/>
      <c r="X878" s="119"/>
      <c r="AA878" s="119"/>
      <c r="AD878" s="119"/>
      <c r="AM878"/>
    </row>
    <row r="879" spans="1:39" ht="18" x14ac:dyDescent="0.45">
      <c r="A879" s="143"/>
      <c r="B879" s="252"/>
      <c r="C879" s="119"/>
      <c r="F879" s="119"/>
      <c r="I879" s="119"/>
      <c r="L879" s="119"/>
      <c r="O879" s="119"/>
      <c r="R879" s="119"/>
      <c r="U879" s="119"/>
      <c r="X879" s="119"/>
      <c r="AA879" s="119"/>
      <c r="AD879" s="119"/>
      <c r="AM879"/>
    </row>
    <row r="880" spans="1:39" ht="18" x14ac:dyDescent="0.45">
      <c r="A880" s="143"/>
      <c r="B880" s="252"/>
      <c r="C880" s="119"/>
      <c r="F880" s="119"/>
      <c r="I880" s="119"/>
      <c r="L880" s="119"/>
      <c r="O880" s="119"/>
      <c r="R880" s="119"/>
      <c r="U880" s="119"/>
      <c r="X880" s="119"/>
      <c r="AA880" s="119"/>
      <c r="AD880" s="119"/>
      <c r="AM880"/>
    </row>
    <row r="881" spans="1:39" ht="18" x14ac:dyDescent="0.45">
      <c r="A881" s="143"/>
      <c r="B881" s="252"/>
      <c r="C881" s="119"/>
      <c r="F881" s="119"/>
      <c r="I881" s="119"/>
      <c r="L881" s="119"/>
      <c r="O881" s="119"/>
      <c r="R881" s="119"/>
      <c r="U881" s="119"/>
      <c r="X881" s="119"/>
      <c r="AA881" s="119"/>
      <c r="AD881" s="119"/>
      <c r="AM881"/>
    </row>
    <row r="882" spans="1:39" ht="18" x14ac:dyDescent="0.45">
      <c r="A882" s="143"/>
      <c r="B882" s="252"/>
      <c r="C882" s="119"/>
      <c r="F882" s="119"/>
      <c r="I882" s="119"/>
      <c r="L882" s="119"/>
      <c r="O882" s="119"/>
      <c r="R882" s="119"/>
      <c r="U882" s="119"/>
      <c r="X882" s="119"/>
      <c r="AA882" s="119"/>
      <c r="AD882" s="119"/>
      <c r="AM882"/>
    </row>
    <row r="883" spans="1:39" ht="18" x14ac:dyDescent="0.45">
      <c r="A883" s="143"/>
      <c r="B883" s="252"/>
      <c r="C883" s="119"/>
      <c r="F883" s="119"/>
      <c r="I883" s="119"/>
      <c r="L883" s="119"/>
      <c r="O883" s="119"/>
      <c r="R883" s="119"/>
      <c r="U883" s="119"/>
      <c r="X883" s="119"/>
      <c r="AA883" s="119"/>
      <c r="AD883" s="119"/>
      <c r="AM883"/>
    </row>
    <row r="884" spans="1:39" ht="18" x14ac:dyDescent="0.45">
      <c r="A884" s="143"/>
      <c r="B884" s="252"/>
      <c r="C884" s="119"/>
      <c r="F884" s="119"/>
      <c r="I884" s="119"/>
      <c r="L884" s="119"/>
      <c r="O884" s="119"/>
      <c r="R884" s="119"/>
      <c r="U884" s="119"/>
      <c r="X884" s="119"/>
      <c r="AA884" s="119"/>
      <c r="AD884" s="119"/>
      <c r="AM884"/>
    </row>
    <row r="885" spans="1:39" ht="18" x14ac:dyDescent="0.45">
      <c r="A885" s="143"/>
      <c r="B885" s="252"/>
      <c r="C885" s="119"/>
      <c r="F885" s="119"/>
      <c r="I885" s="119"/>
      <c r="L885" s="119"/>
      <c r="O885" s="119"/>
      <c r="R885" s="119"/>
      <c r="U885" s="119"/>
      <c r="X885" s="119"/>
      <c r="AA885" s="119"/>
      <c r="AD885" s="119"/>
      <c r="AM885"/>
    </row>
    <row r="886" spans="1:39" ht="18" x14ac:dyDescent="0.45">
      <c r="A886" s="143"/>
      <c r="B886" s="252"/>
      <c r="C886" s="119"/>
      <c r="F886" s="119"/>
      <c r="I886" s="119"/>
      <c r="L886" s="119"/>
      <c r="O886" s="119"/>
      <c r="R886" s="119"/>
      <c r="U886" s="119"/>
      <c r="X886" s="119"/>
      <c r="AA886" s="119"/>
      <c r="AD886" s="119"/>
      <c r="AM886"/>
    </row>
    <row r="887" spans="1:39" ht="18" x14ac:dyDescent="0.45">
      <c r="A887" s="143"/>
      <c r="B887" s="252"/>
      <c r="C887" s="119"/>
      <c r="F887" s="119"/>
      <c r="I887" s="119"/>
      <c r="L887" s="119"/>
      <c r="O887" s="119"/>
      <c r="R887" s="119"/>
      <c r="U887" s="119"/>
      <c r="X887" s="119"/>
      <c r="AA887" s="119"/>
      <c r="AD887" s="119"/>
      <c r="AM887"/>
    </row>
    <row r="888" spans="1:39" ht="18" x14ac:dyDescent="0.45">
      <c r="A888" s="143"/>
      <c r="B888" s="252"/>
      <c r="C888" s="119"/>
      <c r="F888" s="119"/>
      <c r="I888" s="119"/>
      <c r="L888" s="119"/>
      <c r="O888" s="119"/>
      <c r="R888" s="119"/>
      <c r="U888" s="119"/>
      <c r="X888" s="119"/>
      <c r="AA888" s="119"/>
      <c r="AD888" s="119"/>
      <c r="AM888"/>
    </row>
    <row r="889" spans="1:39" ht="18" x14ac:dyDescent="0.45">
      <c r="A889" s="143"/>
      <c r="B889" s="252"/>
      <c r="C889" s="119"/>
      <c r="F889" s="119"/>
      <c r="I889" s="119"/>
      <c r="L889" s="119"/>
      <c r="O889" s="119"/>
      <c r="R889" s="119"/>
      <c r="U889" s="119"/>
      <c r="X889" s="119"/>
      <c r="AA889" s="119"/>
      <c r="AD889" s="119"/>
      <c r="AM889"/>
    </row>
    <row r="890" spans="1:39" ht="18" x14ac:dyDescent="0.45">
      <c r="A890" s="143"/>
      <c r="B890" s="252"/>
      <c r="C890" s="119"/>
      <c r="F890" s="119"/>
      <c r="I890" s="119"/>
      <c r="L890" s="119"/>
      <c r="O890" s="119"/>
      <c r="R890" s="119"/>
      <c r="U890" s="119"/>
      <c r="X890" s="119"/>
      <c r="AA890" s="119"/>
      <c r="AD890" s="119"/>
      <c r="AM890"/>
    </row>
    <row r="891" spans="1:39" ht="18" x14ac:dyDescent="0.45">
      <c r="A891" s="143"/>
      <c r="B891" s="252"/>
      <c r="C891" s="119"/>
      <c r="F891" s="119"/>
      <c r="I891" s="119"/>
      <c r="L891" s="119"/>
      <c r="O891" s="119"/>
      <c r="R891" s="119"/>
      <c r="U891" s="119"/>
      <c r="X891" s="119"/>
      <c r="AA891" s="119"/>
      <c r="AD891" s="119"/>
      <c r="AM891"/>
    </row>
    <row r="892" spans="1:39" ht="18" x14ac:dyDescent="0.45">
      <c r="A892" s="143"/>
      <c r="B892" s="252"/>
      <c r="C892" s="119"/>
      <c r="F892" s="119"/>
      <c r="I892" s="119"/>
      <c r="L892" s="119"/>
      <c r="O892" s="119"/>
      <c r="R892" s="119"/>
      <c r="U892" s="119"/>
      <c r="X892" s="119"/>
      <c r="AA892" s="119"/>
      <c r="AD892" s="119"/>
      <c r="AM892"/>
    </row>
    <row r="893" spans="1:39" ht="18" x14ac:dyDescent="0.45">
      <c r="A893" s="143"/>
      <c r="B893" s="252"/>
      <c r="C893" s="119"/>
      <c r="F893" s="119"/>
      <c r="I893" s="119"/>
      <c r="L893" s="119"/>
      <c r="O893" s="119"/>
      <c r="R893" s="119"/>
      <c r="U893" s="119"/>
      <c r="X893" s="119"/>
      <c r="AA893" s="119"/>
      <c r="AD893" s="119"/>
      <c r="AM893"/>
    </row>
    <row r="894" spans="1:39" ht="18" x14ac:dyDescent="0.45">
      <c r="A894" s="143"/>
      <c r="B894" s="252"/>
      <c r="C894" s="119"/>
      <c r="F894" s="119"/>
      <c r="I894" s="119"/>
      <c r="L894" s="119"/>
      <c r="O894" s="119"/>
      <c r="R894" s="119"/>
      <c r="U894" s="119"/>
      <c r="X894" s="119"/>
      <c r="AA894" s="119"/>
      <c r="AD894" s="119"/>
      <c r="AM894"/>
    </row>
    <row r="895" spans="1:39" ht="18" x14ac:dyDescent="0.45">
      <c r="A895" s="143"/>
      <c r="B895" s="252"/>
      <c r="C895" s="119"/>
      <c r="F895" s="119"/>
      <c r="I895" s="119"/>
      <c r="L895" s="119"/>
      <c r="O895" s="119"/>
      <c r="R895" s="119"/>
      <c r="U895" s="119"/>
      <c r="X895" s="119"/>
      <c r="AA895" s="119"/>
      <c r="AD895" s="119"/>
      <c r="AM895"/>
    </row>
    <row r="896" spans="1:39" ht="18" x14ac:dyDescent="0.45">
      <c r="A896" s="143"/>
      <c r="B896" s="252"/>
      <c r="C896" s="119"/>
      <c r="F896" s="119"/>
      <c r="I896" s="119"/>
      <c r="L896" s="119"/>
      <c r="O896" s="119"/>
      <c r="R896" s="119"/>
      <c r="U896" s="119"/>
      <c r="X896" s="119"/>
      <c r="AA896" s="119"/>
      <c r="AD896" s="119"/>
      <c r="AM896"/>
    </row>
    <row r="897" spans="1:39" ht="18" x14ac:dyDescent="0.45">
      <c r="A897" s="143"/>
      <c r="B897" s="252"/>
      <c r="C897" s="119"/>
      <c r="F897" s="119"/>
      <c r="I897" s="119"/>
      <c r="L897" s="119"/>
      <c r="O897" s="119"/>
      <c r="R897" s="119"/>
      <c r="U897" s="119"/>
      <c r="X897" s="119"/>
      <c r="AA897" s="119"/>
      <c r="AD897" s="119"/>
      <c r="AM897"/>
    </row>
    <row r="898" spans="1:39" ht="18" x14ac:dyDescent="0.45">
      <c r="A898" s="143"/>
      <c r="B898" s="252"/>
      <c r="C898" s="119"/>
      <c r="F898" s="119"/>
      <c r="I898" s="119"/>
      <c r="L898" s="119"/>
      <c r="O898" s="119"/>
      <c r="R898" s="119"/>
      <c r="U898" s="119"/>
      <c r="X898" s="119"/>
      <c r="AA898" s="119"/>
      <c r="AD898" s="119"/>
      <c r="AM898"/>
    </row>
    <row r="899" spans="1:39" ht="18" x14ac:dyDescent="0.45">
      <c r="A899" s="143"/>
      <c r="B899" s="252"/>
      <c r="C899" s="119"/>
      <c r="F899" s="119"/>
      <c r="I899" s="119"/>
      <c r="L899" s="119"/>
      <c r="O899" s="119"/>
      <c r="R899" s="119"/>
      <c r="U899" s="119"/>
      <c r="X899" s="119"/>
      <c r="AA899" s="119"/>
      <c r="AD899" s="119"/>
      <c r="AM899"/>
    </row>
    <row r="900" spans="1:39" ht="18" x14ac:dyDescent="0.45">
      <c r="A900" s="143"/>
      <c r="B900" s="252"/>
      <c r="C900" s="119"/>
      <c r="F900" s="119"/>
      <c r="I900" s="119"/>
      <c r="L900" s="119"/>
      <c r="O900" s="119"/>
      <c r="R900" s="119"/>
      <c r="U900" s="119"/>
      <c r="X900" s="119"/>
      <c r="AA900" s="119"/>
      <c r="AD900" s="119"/>
      <c r="AM900"/>
    </row>
    <row r="901" spans="1:39" ht="18" x14ac:dyDescent="0.45">
      <c r="A901" s="143"/>
      <c r="B901" s="252"/>
      <c r="C901" s="119"/>
      <c r="F901" s="119"/>
      <c r="I901" s="119"/>
      <c r="L901" s="119"/>
      <c r="O901" s="119"/>
      <c r="R901" s="119"/>
      <c r="U901" s="119"/>
      <c r="X901" s="119"/>
      <c r="AA901" s="119"/>
      <c r="AD901" s="119"/>
      <c r="AM901"/>
    </row>
    <row r="902" spans="1:39" ht="18" x14ac:dyDescent="0.45">
      <c r="A902" s="143"/>
      <c r="B902" s="252"/>
      <c r="C902" s="119"/>
      <c r="F902" s="119"/>
      <c r="I902" s="119"/>
      <c r="L902" s="119"/>
      <c r="O902" s="119"/>
      <c r="R902" s="119"/>
      <c r="U902" s="119"/>
      <c r="X902" s="119"/>
      <c r="AA902" s="119"/>
      <c r="AD902" s="119"/>
      <c r="AM902"/>
    </row>
    <row r="903" spans="1:39" ht="18" x14ac:dyDescent="0.45">
      <c r="A903" s="143"/>
      <c r="B903" s="252"/>
      <c r="C903" s="119"/>
      <c r="F903" s="119"/>
      <c r="I903" s="119"/>
      <c r="L903" s="119"/>
      <c r="O903" s="119"/>
      <c r="R903" s="119"/>
      <c r="U903" s="119"/>
      <c r="X903" s="119"/>
      <c r="AA903" s="119"/>
      <c r="AD903" s="119"/>
      <c r="AM903"/>
    </row>
    <row r="904" spans="1:39" ht="18" x14ac:dyDescent="0.45">
      <c r="A904" s="143"/>
      <c r="B904" s="252"/>
      <c r="C904" s="119"/>
      <c r="F904" s="119"/>
      <c r="I904" s="119"/>
      <c r="L904" s="119"/>
      <c r="O904" s="119"/>
      <c r="R904" s="119"/>
      <c r="U904" s="119"/>
      <c r="X904" s="119"/>
      <c r="AA904" s="119"/>
      <c r="AD904" s="119"/>
      <c r="AM904"/>
    </row>
    <row r="905" spans="1:39" ht="18" x14ac:dyDescent="0.45">
      <c r="A905" s="143"/>
      <c r="B905" s="252"/>
      <c r="C905" s="119"/>
      <c r="F905" s="119"/>
      <c r="I905" s="119"/>
      <c r="L905" s="119"/>
      <c r="O905" s="119"/>
      <c r="R905" s="119"/>
      <c r="U905" s="119"/>
      <c r="X905" s="119"/>
      <c r="AA905" s="119"/>
      <c r="AD905" s="119"/>
      <c r="AM905"/>
    </row>
    <row r="906" spans="1:39" ht="18" x14ac:dyDescent="0.45">
      <c r="A906" s="143"/>
      <c r="B906" s="252"/>
      <c r="C906" s="119"/>
      <c r="F906" s="119"/>
      <c r="I906" s="119"/>
      <c r="L906" s="119"/>
      <c r="O906" s="119"/>
      <c r="R906" s="119"/>
      <c r="U906" s="119"/>
      <c r="X906" s="119"/>
      <c r="AA906" s="119"/>
      <c r="AD906" s="119"/>
      <c r="AM906"/>
    </row>
    <row r="907" spans="1:39" ht="18" x14ac:dyDescent="0.45">
      <c r="A907" s="143"/>
      <c r="B907" s="252"/>
      <c r="C907" s="119"/>
      <c r="F907" s="119"/>
      <c r="I907" s="119"/>
      <c r="L907" s="119"/>
      <c r="O907" s="119"/>
      <c r="R907" s="119"/>
      <c r="U907" s="119"/>
      <c r="X907" s="119"/>
      <c r="AA907" s="119"/>
      <c r="AD907" s="119"/>
      <c r="AM907"/>
    </row>
    <row r="908" spans="1:39" ht="18" x14ac:dyDescent="0.45">
      <c r="A908" s="143"/>
      <c r="B908" s="252"/>
      <c r="C908" s="119"/>
      <c r="F908" s="119"/>
      <c r="I908" s="119"/>
      <c r="L908" s="119"/>
      <c r="O908" s="119"/>
      <c r="R908" s="119"/>
      <c r="U908" s="119"/>
      <c r="X908" s="119"/>
      <c r="AA908" s="119"/>
      <c r="AD908" s="119"/>
      <c r="AM908"/>
    </row>
    <row r="909" spans="1:39" ht="18" x14ac:dyDescent="0.45">
      <c r="A909" s="143"/>
      <c r="B909" s="252"/>
      <c r="C909" s="119"/>
      <c r="F909" s="119"/>
      <c r="I909" s="119"/>
      <c r="L909" s="119"/>
      <c r="O909" s="119"/>
      <c r="R909" s="119"/>
      <c r="U909" s="119"/>
      <c r="X909" s="119"/>
      <c r="AA909" s="119"/>
      <c r="AD909" s="119"/>
      <c r="AM909"/>
    </row>
    <row r="910" spans="1:39" ht="18" x14ac:dyDescent="0.45">
      <c r="A910" s="143"/>
      <c r="B910" s="252"/>
      <c r="C910" s="119"/>
      <c r="F910" s="119"/>
      <c r="I910" s="119"/>
      <c r="L910" s="119"/>
      <c r="O910" s="119"/>
      <c r="R910" s="119"/>
      <c r="U910" s="119"/>
      <c r="X910" s="119"/>
      <c r="AA910" s="119"/>
      <c r="AD910" s="119"/>
      <c r="AM910"/>
    </row>
    <row r="911" spans="1:39" ht="18" x14ac:dyDescent="0.45">
      <c r="A911" s="143"/>
      <c r="B911" s="252"/>
      <c r="C911" s="119"/>
      <c r="F911" s="119"/>
      <c r="I911" s="119"/>
      <c r="L911" s="119"/>
      <c r="O911" s="119"/>
      <c r="R911" s="119"/>
      <c r="U911" s="119"/>
      <c r="X911" s="119"/>
      <c r="AA911" s="119"/>
      <c r="AD911" s="119"/>
      <c r="AM911"/>
    </row>
    <row r="912" spans="1:39" ht="18" x14ac:dyDescent="0.45">
      <c r="A912" s="143"/>
      <c r="B912" s="252"/>
      <c r="C912" s="119"/>
      <c r="F912" s="119"/>
      <c r="I912" s="119"/>
      <c r="L912" s="119"/>
      <c r="O912" s="119"/>
      <c r="R912" s="119"/>
      <c r="U912" s="119"/>
      <c r="X912" s="119"/>
      <c r="AA912" s="119"/>
      <c r="AD912" s="119"/>
      <c r="AM912"/>
    </row>
    <row r="913" spans="1:39" ht="18" x14ac:dyDescent="0.45">
      <c r="A913" s="143"/>
      <c r="B913" s="252"/>
      <c r="C913" s="119"/>
      <c r="F913" s="119"/>
      <c r="I913" s="119"/>
      <c r="L913" s="119"/>
      <c r="O913" s="119"/>
      <c r="R913" s="119"/>
      <c r="U913" s="119"/>
      <c r="X913" s="119"/>
      <c r="AA913" s="119"/>
      <c r="AD913" s="119"/>
      <c r="AM913"/>
    </row>
    <row r="914" spans="1:39" ht="18" x14ac:dyDescent="0.45">
      <c r="A914" s="143"/>
      <c r="B914" s="252"/>
      <c r="C914" s="119"/>
      <c r="F914" s="119"/>
      <c r="I914" s="119"/>
      <c r="L914" s="119"/>
      <c r="O914" s="119"/>
      <c r="R914" s="119"/>
      <c r="U914" s="119"/>
      <c r="X914" s="119"/>
      <c r="AA914" s="119"/>
      <c r="AD914" s="119"/>
      <c r="AM914"/>
    </row>
    <row r="915" spans="1:39" ht="18" x14ac:dyDescent="0.45">
      <c r="A915" s="143"/>
      <c r="B915" s="252"/>
      <c r="C915" s="119"/>
      <c r="F915" s="119"/>
      <c r="I915" s="119"/>
      <c r="L915" s="119"/>
      <c r="O915" s="119"/>
      <c r="R915" s="119"/>
      <c r="U915" s="119"/>
      <c r="X915" s="119"/>
      <c r="AA915" s="119"/>
      <c r="AD915" s="119"/>
      <c r="AM915"/>
    </row>
    <row r="916" spans="1:39" ht="18" x14ac:dyDescent="0.45">
      <c r="A916" s="143"/>
      <c r="B916" s="252"/>
      <c r="C916" s="119"/>
      <c r="F916" s="119"/>
      <c r="I916" s="119"/>
      <c r="L916" s="119"/>
      <c r="O916" s="119"/>
      <c r="R916" s="119"/>
      <c r="U916" s="119"/>
      <c r="X916" s="119"/>
      <c r="AA916" s="119"/>
      <c r="AD916" s="119"/>
      <c r="AM916"/>
    </row>
    <row r="917" spans="1:39" ht="18" x14ac:dyDescent="0.45">
      <c r="A917" s="143"/>
      <c r="B917" s="252"/>
      <c r="C917" s="119"/>
      <c r="F917" s="119"/>
      <c r="I917" s="119"/>
      <c r="L917" s="119"/>
      <c r="O917" s="119"/>
      <c r="R917" s="119"/>
      <c r="U917" s="119"/>
      <c r="X917" s="119"/>
      <c r="AA917" s="119"/>
      <c r="AD917" s="119"/>
      <c r="AM917"/>
    </row>
    <row r="918" spans="1:39" ht="18" x14ac:dyDescent="0.45">
      <c r="A918" s="143"/>
      <c r="B918" s="252"/>
      <c r="C918" s="119"/>
      <c r="F918" s="119"/>
      <c r="I918" s="119"/>
      <c r="L918" s="119"/>
      <c r="O918" s="119"/>
      <c r="R918" s="119"/>
      <c r="U918" s="119"/>
      <c r="X918" s="119"/>
      <c r="AA918" s="119"/>
      <c r="AD918" s="119"/>
      <c r="AM918"/>
    </row>
    <row r="919" spans="1:39" ht="18" x14ac:dyDescent="0.45">
      <c r="A919" s="143"/>
      <c r="B919" s="252"/>
      <c r="C919" s="119"/>
      <c r="F919" s="119"/>
      <c r="I919" s="119"/>
      <c r="L919" s="119"/>
      <c r="O919" s="119"/>
      <c r="R919" s="119"/>
      <c r="U919" s="119"/>
      <c r="X919" s="119"/>
      <c r="AA919" s="119"/>
      <c r="AD919" s="119"/>
      <c r="AM919"/>
    </row>
    <row r="920" spans="1:39" ht="18" x14ac:dyDescent="0.45">
      <c r="A920" s="143"/>
      <c r="B920" s="252"/>
      <c r="C920" s="119"/>
      <c r="F920" s="119"/>
      <c r="I920" s="119"/>
      <c r="L920" s="119"/>
      <c r="O920" s="119"/>
      <c r="R920" s="119"/>
      <c r="U920" s="119"/>
      <c r="X920" s="119"/>
      <c r="AA920" s="119"/>
      <c r="AD920" s="119"/>
      <c r="AM920"/>
    </row>
    <row r="921" spans="1:39" ht="18" x14ac:dyDescent="0.45">
      <c r="A921" s="143"/>
      <c r="B921" s="252"/>
      <c r="C921" s="119"/>
      <c r="F921" s="119"/>
      <c r="I921" s="119"/>
      <c r="L921" s="119"/>
      <c r="O921" s="119"/>
      <c r="R921" s="119"/>
      <c r="U921" s="119"/>
      <c r="X921" s="119"/>
      <c r="AA921" s="119"/>
      <c r="AD921" s="119"/>
      <c r="AM921"/>
    </row>
    <row r="922" spans="1:39" ht="18" x14ac:dyDescent="0.45">
      <c r="A922" s="143"/>
      <c r="B922" s="252"/>
      <c r="C922" s="119"/>
      <c r="F922" s="119"/>
      <c r="I922" s="119"/>
      <c r="L922" s="119"/>
      <c r="O922" s="119"/>
      <c r="R922" s="119"/>
      <c r="U922" s="119"/>
      <c r="X922" s="119"/>
      <c r="AA922" s="119"/>
      <c r="AD922" s="119"/>
      <c r="AM922"/>
    </row>
    <row r="923" spans="1:39" ht="18" x14ac:dyDescent="0.45">
      <c r="A923" s="143"/>
      <c r="B923" s="252"/>
      <c r="C923" s="119"/>
      <c r="F923" s="119"/>
      <c r="I923" s="119"/>
      <c r="L923" s="119"/>
      <c r="O923" s="119"/>
      <c r="R923" s="119"/>
      <c r="U923" s="119"/>
      <c r="X923" s="119"/>
      <c r="AA923" s="119"/>
      <c r="AD923" s="119"/>
      <c r="AM923"/>
    </row>
    <row r="924" spans="1:39" ht="18" x14ac:dyDescent="0.45">
      <c r="A924" s="143"/>
      <c r="B924" s="252"/>
      <c r="C924" s="119"/>
      <c r="F924" s="119"/>
      <c r="I924" s="119"/>
      <c r="L924" s="119"/>
      <c r="O924" s="119"/>
      <c r="R924" s="119"/>
      <c r="U924" s="119"/>
      <c r="X924" s="119"/>
      <c r="AA924" s="119"/>
      <c r="AD924" s="119"/>
      <c r="AM924"/>
    </row>
    <row r="925" spans="1:39" ht="18" x14ac:dyDescent="0.45">
      <c r="A925" s="143"/>
      <c r="B925" s="252"/>
      <c r="C925" s="119"/>
      <c r="F925" s="119"/>
      <c r="I925" s="119"/>
      <c r="L925" s="119"/>
      <c r="O925" s="119"/>
      <c r="R925" s="119"/>
      <c r="U925" s="119"/>
      <c r="X925" s="119"/>
      <c r="AA925" s="119"/>
      <c r="AD925" s="119"/>
      <c r="AM925"/>
    </row>
    <row r="926" spans="1:39" ht="18" x14ac:dyDescent="0.45">
      <c r="A926" s="143"/>
      <c r="B926" s="252"/>
      <c r="C926" s="119"/>
      <c r="F926" s="119"/>
      <c r="I926" s="119"/>
      <c r="L926" s="119"/>
      <c r="O926" s="119"/>
      <c r="R926" s="119"/>
      <c r="U926" s="119"/>
      <c r="X926" s="119"/>
      <c r="AA926" s="119"/>
      <c r="AD926" s="119"/>
      <c r="AM926"/>
    </row>
    <row r="927" spans="1:39" ht="18" x14ac:dyDescent="0.45">
      <c r="A927" s="143"/>
      <c r="B927" s="252"/>
      <c r="C927" s="119"/>
      <c r="F927" s="119"/>
      <c r="I927" s="119"/>
      <c r="L927" s="119"/>
      <c r="O927" s="119"/>
      <c r="R927" s="119"/>
      <c r="U927" s="119"/>
      <c r="X927" s="119"/>
      <c r="AA927" s="119"/>
      <c r="AD927" s="119"/>
      <c r="AM927"/>
    </row>
    <row r="928" spans="1:39" ht="18" x14ac:dyDescent="0.45">
      <c r="A928" s="143"/>
      <c r="B928" s="252"/>
      <c r="C928" s="119"/>
      <c r="F928" s="119"/>
      <c r="I928" s="119"/>
      <c r="L928" s="119"/>
      <c r="O928" s="119"/>
      <c r="R928" s="119"/>
      <c r="U928" s="119"/>
      <c r="X928" s="119"/>
      <c r="AA928" s="119"/>
      <c r="AD928" s="119"/>
      <c r="AM928"/>
    </row>
    <row r="929" spans="1:39" ht="18" x14ac:dyDescent="0.45">
      <c r="A929" s="143"/>
      <c r="B929" s="252"/>
      <c r="C929" s="119"/>
      <c r="F929" s="119"/>
      <c r="I929" s="119"/>
      <c r="L929" s="119"/>
      <c r="O929" s="119"/>
      <c r="R929" s="119"/>
      <c r="U929" s="119"/>
      <c r="X929" s="119"/>
      <c r="AA929" s="119"/>
      <c r="AD929" s="119"/>
      <c r="AM929"/>
    </row>
    <row r="930" spans="1:39" ht="18" x14ac:dyDescent="0.45">
      <c r="A930" s="143"/>
      <c r="B930" s="252"/>
      <c r="C930" s="119"/>
      <c r="F930" s="119"/>
      <c r="I930" s="119"/>
      <c r="L930" s="119"/>
      <c r="O930" s="119"/>
      <c r="R930" s="119"/>
      <c r="U930" s="119"/>
      <c r="X930" s="119"/>
      <c r="AA930" s="119"/>
      <c r="AD930" s="119"/>
      <c r="AM930"/>
    </row>
    <row r="931" spans="1:39" ht="18" x14ac:dyDescent="0.45">
      <c r="A931" s="143"/>
      <c r="B931" s="252"/>
      <c r="C931" s="119"/>
      <c r="F931" s="119"/>
      <c r="I931" s="119"/>
      <c r="L931" s="119"/>
      <c r="O931" s="119"/>
      <c r="R931" s="119"/>
      <c r="U931" s="119"/>
      <c r="X931" s="119"/>
      <c r="AA931" s="119"/>
      <c r="AD931" s="119"/>
      <c r="AM931"/>
    </row>
    <row r="932" spans="1:39" ht="18" x14ac:dyDescent="0.45">
      <c r="A932" s="143"/>
      <c r="B932" s="252"/>
      <c r="C932" s="119"/>
      <c r="F932" s="119"/>
      <c r="I932" s="119"/>
      <c r="L932" s="119"/>
      <c r="O932" s="119"/>
      <c r="R932" s="119"/>
      <c r="U932" s="119"/>
      <c r="X932" s="119"/>
      <c r="AA932" s="119"/>
      <c r="AD932" s="119"/>
      <c r="AM932"/>
    </row>
    <row r="933" spans="1:39" ht="18" x14ac:dyDescent="0.45">
      <c r="A933" s="143"/>
      <c r="B933" s="252"/>
      <c r="C933" s="119"/>
      <c r="F933" s="119"/>
      <c r="I933" s="119"/>
      <c r="L933" s="119"/>
      <c r="O933" s="119"/>
      <c r="R933" s="119"/>
      <c r="U933" s="119"/>
      <c r="X933" s="119"/>
      <c r="AA933" s="119"/>
      <c r="AD933" s="119"/>
      <c r="AM933"/>
    </row>
    <row r="934" spans="1:39" ht="18" x14ac:dyDescent="0.45">
      <c r="A934" s="143"/>
      <c r="B934" s="252"/>
      <c r="C934" s="119"/>
      <c r="F934" s="119"/>
      <c r="I934" s="119"/>
      <c r="L934" s="119"/>
      <c r="O934" s="119"/>
      <c r="R934" s="119"/>
      <c r="U934" s="119"/>
      <c r="X934" s="119"/>
      <c r="AA934" s="119"/>
      <c r="AD934" s="119"/>
      <c r="AM934"/>
    </row>
    <row r="935" spans="1:39" ht="18" x14ac:dyDescent="0.45">
      <c r="A935" s="143"/>
      <c r="B935" s="252"/>
      <c r="C935" s="119"/>
      <c r="F935" s="119"/>
      <c r="I935" s="119"/>
      <c r="L935" s="119"/>
      <c r="O935" s="119"/>
      <c r="R935" s="119"/>
      <c r="U935" s="119"/>
      <c r="X935" s="119"/>
      <c r="AA935" s="119"/>
      <c r="AD935" s="119"/>
      <c r="AM935"/>
    </row>
    <row r="936" spans="1:39" ht="18" x14ac:dyDescent="0.45">
      <c r="A936" s="143"/>
      <c r="B936" s="252"/>
      <c r="C936" s="119"/>
      <c r="F936" s="119"/>
      <c r="I936" s="119"/>
      <c r="L936" s="119"/>
      <c r="O936" s="119"/>
      <c r="R936" s="119"/>
      <c r="U936" s="119"/>
      <c r="X936" s="119"/>
      <c r="AA936" s="119"/>
      <c r="AD936" s="119"/>
      <c r="AM936"/>
    </row>
    <row r="937" spans="1:39" ht="18" x14ac:dyDescent="0.45">
      <c r="A937" s="143"/>
      <c r="B937" s="252"/>
      <c r="C937" s="119"/>
      <c r="F937" s="119"/>
      <c r="I937" s="119"/>
      <c r="L937" s="119"/>
      <c r="O937" s="119"/>
      <c r="R937" s="119"/>
      <c r="U937" s="119"/>
      <c r="X937" s="119"/>
      <c r="AA937" s="119"/>
      <c r="AD937" s="119"/>
      <c r="AM937"/>
    </row>
    <row r="938" spans="1:39" ht="18" x14ac:dyDescent="0.45">
      <c r="A938" s="143"/>
      <c r="B938" s="252"/>
      <c r="C938" s="119"/>
      <c r="F938" s="119"/>
      <c r="I938" s="119"/>
      <c r="L938" s="119"/>
      <c r="O938" s="119"/>
      <c r="R938" s="119"/>
      <c r="U938" s="119"/>
      <c r="X938" s="119"/>
      <c r="AA938" s="119"/>
      <c r="AD938" s="119"/>
      <c r="AM938"/>
    </row>
    <row r="939" spans="1:39" ht="18" x14ac:dyDescent="0.45">
      <c r="A939" s="143"/>
      <c r="B939" s="252"/>
      <c r="C939" s="119"/>
      <c r="F939" s="119"/>
      <c r="I939" s="119"/>
      <c r="L939" s="119"/>
      <c r="O939" s="119"/>
      <c r="R939" s="119"/>
      <c r="U939" s="119"/>
      <c r="X939" s="119"/>
      <c r="AA939" s="119"/>
      <c r="AD939" s="119"/>
      <c r="AM939"/>
    </row>
    <row r="940" spans="1:39" ht="18" x14ac:dyDescent="0.45">
      <c r="A940" s="143"/>
      <c r="B940" s="252"/>
      <c r="C940" s="119"/>
      <c r="F940" s="119"/>
      <c r="I940" s="119"/>
      <c r="L940" s="119"/>
      <c r="O940" s="119"/>
      <c r="R940" s="119"/>
      <c r="U940" s="119"/>
      <c r="X940" s="119"/>
      <c r="AA940" s="119"/>
      <c r="AD940" s="119"/>
      <c r="AM940"/>
    </row>
    <row r="941" spans="1:39" ht="18" x14ac:dyDescent="0.45">
      <c r="A941" s="143"/>
      <c r="B941" s="252"/>
      <c r="C941" s="119"/>
      <c r="F941" s="119"/>
      <c r="I941" s="119"/>
      <c r="L941" s="119"/>
      <c r="O941" s="119"/>
      <c r="R941" s="119"/>
      <c r="U941" s="119"/>
      <c r="X941" s="119"/>
      <c r="AA941" s="119"/>
      <c r="AD941" s="119"/>
      <c r="AM941"/>
    </row>
    <row r="942" spans="1:39" ht="18" x14ac:dyDescent="0.45">
      <c r="A942" s="143"/>
      <c r="B942" s="252"/>
      <c r="C942" s="119"/>
      <c r="F942" s="119"/>
      <c r="I942" s="119"/>
      <c r="L942" s="119"/>
      <c r="O942" s="119"/>
      <c r="R942" s="119"/>
      <c r="U942" s="119"/>
      <c r="X942" s="119"/>
      <c r="AA942" s="119"/>
      <c r="AD942" s="119"/>
      <c r="AM942"/>
    </row>
    <row r="943" spans="1:39" ht="18" x14ac:dyDescent="0.45">
      <c r="A943" s="143"/>
      <c r="B943" s="252"/>
      <c r="C943" s="119"/>
      <c r="F943" s="119"/>
      <c r="I943" s="119"/>
      <c r="L943" s="119"/>
      <c r="O943" s="119"/>
      <c r="R943" s="119"/>
      <c r="U943" s="119"/>
      <c r="X943" s="119"/>
      <c r="AA943" s="119"/>
      <c r="AD943" s="119"/>
      <c r="AM943"/>
    </row>
    <row r="944" spans="1:39" ht="18" x14ac:dyDescent="0.45">
      <c r="A944" s="143"/>
      <c r="B944" s="252"/>
      <c r="C944" s="119"/>
      <c r="F944" s="119"/>
      <c r="I944" s="119"/>
      <c r="L944" s="119"/>
      <c r="O944" s="119"/>
      <c r="R944" s="119"/>
      <c r="U944" s="119"/>
      <c r="X944" s="119"/>
      <c r="AA944" s="119"/>
      <c r="AD944" s="119"/>
      <c r="AM944"/>
    </row>
    <row r="945" spans="1:39" ht="18" x14ac:dyDescent="0.45">
      <c r="A945" s="143"/>
      <c r="B945" s="252"/>
      <c r="C945" s="119"/>
      <c r="F945" s="119"/>
      <c r="I945" s="119"/>
      <c r="L945" s="119"/>
      <c r="O945" s="119"/>
      <c r="R945" s="119"/>
      <c r="U945" s="119"/>
      <c r="X945" s="119"/>
      <c r="AA945" s="119"/>
      <c r="AD945" s="119"/>
      <c r="AM945"/>
    </row>
    <row r="946" spans="1:39" ht="18" x14ac:dyDescent="0.45">
      <c r="A946" s="143"/>
      <c r="B946" s="252"/>
      <c r="C946" s="119"/>
      <c r="F946" s="119"/>
      <c r="I946" s="119"/>
      <c r="L946" s="119"/>
      <c r="O946" s="119"/>
      <c r="R946" s="119"/>
      <c r="U946" s="119"/>
      <c r="X946" s="119"/>
      <c r="AA946" s="119"/>
      <c r="AD946" s="119"/>
      <c r="AM946"/>
    </row>
    <row r="947" spans="1:39" ht="18" x14ac:dyDescent="0.45">
      <c r="A947" s="143"/>
      <c r="B947" s="252"/>
      <c r="C947" s="119"/>
      <c r="F947" s="119"/>
      <c r="I947" s="119"/>
      <c r="L947" s="119"/>
      <c r="O947" s="119"/>
      <c r="R947" s="119"/>
      <c r="U947" s="119"/>
      <c r="X947" s="119"/>
      <c r="AA947" s="119"/>
      <c r="AD947" s="119"/>
      <c r="AM947"/>
    </row>
    <row r="948" spans="1:39" ht="18" x14ac:dyDescent="0.45">
      <c r="A948" s="143"/>
      <c r="B948" s="252"/>
      <c r="C948" s="119"/>
      <c r="F948" s="119"/>
      <c r="I948" s="119"/>
      <c r="L948" s="119"/>
      <c r="O948" s="119"/>
      <c r="R948" s="119"/>
      <c r="U948" s="119"/>
      <c r="X948" s="119"/>
      <c r="AA948" s="119"/>
      <c r="AD948" s="119"/>
      <c r="AM948"/>
    </row>
    <row r="949" spans="1:39" ht="18" x14ac:dyDescent="0.45">
      <c r="A949" s="143"/>
      <c r="B949" s="252"/>
      <c r="C949" s="119"/>
      <c r="F949" s="119"/>
      <c r="I949" s="119"/>
      <c r="L949" s="119"/>
      <c r="O949" s="119"/>
      <c r="R949" s="119"/>
      <c r="U949" s="119"/>
      <c r="X949" s="119"/>
      <c r="AA949" s="119"/>
      <c r="AD949" s="119"/>
      <c r="AM949"/>
    </row>
    <row r="950" spans="1:39" ht="18" x14ac:dyDescent="0.45">
      <c r="A950" s="143"/>
      <c r="B950" s="252"/>
      <c r="C950" s="119"/>
      <c r="F950" s="119"/>
      <c r="I950" s="119"/>
      <c r="L950" s="119"/>
      <c r="O950" s="119"/>
      <c r="R950" s="119"/>
      <c r="U950" s="119"/>
      <c r="X950" s="119"/>
      <c r="AA950" s="119"/>
      <c r="AD950" s="119"/>
      <c r="AM950"/>
    </row>
    <row r="951" spans="1:39" ht="18" x14ac:dyDescent="0.45">
      <c r="A951" s="143"/>
      <c r="B951" s="252"/>
      <c r="C951" s="119"/>
      <c r="F951" s="119"/>
      <c r="I951" s="119"/>
      <c r="L951" s="119"/>
      <c r="O951" s="119"/>
      <c r="R951" s="119"/>
      <c r="U951" s="119"/>
      <c r="X951" s="119"/>
      <c r="AA951" s="119"/>
      <c r="AD951" s="119"/>
      <c r="AM951"/>
    </row>
    <row r="952" spans="1:39" ht="18" x14ac:dyDescent="0.45">
      <c r="A952" s="143"/>
      <c r="B952" s="252"/>
      <c r="C952" s="119"/>
      <c r="F952" s="119"/>
      <c r="I952" s="119"/>
      <c r="L952" s="119"/>
      <c r="O952" s="119"/>
      <c r="R952" s="119"/>
      <c r="U952" s="119"/>
      <c r="X952" s="119"/>
      <c r="AA952" s="119"/>
      <c r="AD952" s="119"/>
      <c r="AM952"/>
    </row>
    <row r="953" spans="1:39" ht="18" x14ac:dyDescent="0.45">
      <c r="A953" s="143"/>
      <c r="B953" s="252"/>
      <c r="C953" s="119"/>
      <c r="F953" s="119"/>
      <c r="I953" s="119"/>
      <c r="L953" s="119"/>
      <c r="O953" s="119"/>
      <c r="R953" s="119"/>
      <c r="U953" s="119"/>
      <c r="X953" s="119"/>
      <c r="AA953" s="119"/>
      <c r="AD953" s="119"/>
      <c r="AM953"/>
    </row>
    <row r="954" spans="1:39" ht="18" x14ac:dyDescent="0.45">
      <c r="A954" s="143"/>
      <c r="B954" s="252"/>
      <c r="C954" s="119"/>
      <c r="F954" s="119"/>
      <c r="I954" s="119"/>
      <c r="L954" s="119"/>
      <c r="O954" s="119"/>
      <c r="R954" s="119"/>
      <c r="U954" s="119"/>
      <c r="X954" s="119"/>
      <c r="AA954" s="119"/>
      <c r="AD954" s="119"/>
      <c r="AM954"/>
    </row>
    <row r="955" spans="1:39" ht="18" x14ac:dyDescent="0.45">
      <c r="A955" s="143"/>
      <c r="B955" s="252"/>
      <c r="C955" s="119"/>
      <c r="F955" s="119"/>
      <c r="I955" s="119"/>
      <c r="L955" s="119"/>
      <c r="O955" s="119"/>
      <c r="R955" s="119"/>
      <c r="U955" s="119"/>
      <c r="X955" s="119"/>
      <c r="AA955" s="119"/>
      <c r="AD955" s="119"/>
      <c r="AM955"/>
    </row>
    <row r="956" spans="1:39" ht="18" x14ac:dyDescent="0.45">
      <c r="A956" s="143"/>
      <c r="B956" s="252"/>
      <c r="C956" s="119"/>
      <c r="F956" s="119"/>
      <c r="I956" s="119"/>
      <c r="L956" s="119"/>
      <c r="O956" s="119"/>
      <c r="R956" s="119"/>
      <c r="U956" s="119"/>
      <c r="X956" s="119"/>
      <c r="AA956" s="119"/>
      <c r="AD956" s="119"/>
      <c r="AM956"/>
    </row>
    <row r="957" spans="1:39" ht="18" x14ac:dyDescent="0.45">
      <c r="A957" s="143"/>
      <c r="B957" s="252"/>
      <c r="C957" s="119"/>
      <c r="F957" s="119"/>
      <c r="I957" s="119"/>
      <c r="L957" s="119"/>
      <c r="O957" s="119"/>
      <c r="R957" s="119"/>
      <c r="U957" s="119"/>
      <c r="X957" s="119"/>
      <c r="AA957" s="119"/>
      <c r="AD957" s="119"/>
      <c r="AM957"/>
    </row>
    <row r="958" spans="1:39" ht="18" x14ac:dyDescent="0.45">
      <c r="A958" s="143"/>
      <c r="B958" s="252"/>
      <c r="C958" s="119"/>
      <c r="F958" s="119"/>
      <c r="I958" s="119"/>
      <c r="L958" s="119"/>
      <c r="O958" s="119"/>
      <c r="R958" s="119"/>
      <c r="U958" s="119"/>
      <c r="X958" s="119"/>
      <c r="AA958" s="119"/>
      <c r="AD958" s="119"/>
      <c r="AM958"/>
    </row>
    <row r="959" spans="1:39" ht="18" x14ac:dyDescent="0.45">
      <c r="A959" s="143"/>
      <c r="B959" s="252"/>
      <c r="C959" s="119"/>
      <c r="F959" s="119"/>
      <c r="I959" s="119"/>
      <c r="L959" s="119"/>
      <c r="O959" s="119"/>
      <c r="R959" s="119"/>
      <c r="U959" s="119"/>
      <c r="X959" s="119"/>
      <c r="AA959" s="119"/>
      <c r="AD959" s="119"/>
      <c r="AM959"/>
    </row>
    <row r="960" spans="1:39" ht="18" x14ac:dyDescent="0.45">
      <c r="A960" s="143"/>
      <c r="B960" s="252"/>
      <c r="C960" s="119"/>
      <c r="F960" s="119"/>
      <c r="I960" s="119"/>
      <c r="L960" s="119"/>
      <c r="O960" s="119"/>
      <c r="R960" s="119"/>
      <c r="U960" s="119"/>
      <c r="X960" s="119"/>
      <c r="AA960" s="119"/>
      <c r="AD960" s="119"/>
      <c r="AM960"/>
    </row>
    <row r="961" spans="1:39" ht="18" x14ac:dyDescent="0.45">
      <c r="A961" s="143"/>
      <c r="B961" s="252"/>
      <c r="C961" s="119"/>
      <c r="F961" s="119"/>
      <c r="I961" s="119"/>
      <c r="L961" s="119"/>
      <c r="O961" s="119"/>
      <c r="R961" s="119"/>
      <c r="U961" s="119"/>
      <c r="X961" s="119"/>
      <c r="AA961" s="119"/>
      <c r="AD961" s="119"/>
      <c r="AM961"/>
    </row>
    <row r="962" spans="1:39" ht="18" x14ac:dyDescent="0.45">
      <c r="A962" s="143"/>
      <c r="B962" s="252"/>
      <c r="C962" s="119"/>
      <c r="F962" s="119"/>
      <c r="I962" s="119"/>
      <c r="L962" s="119"/>
      <c r="O962" s="119"/>
      <c r="R962" s="119"/>
      <c r="U962" s="119"/>
      <c r="X962" s="119"/>
      <c r="AA962" s="119"/>
      <c r="AD962" s="119"/>
      <c r="AM962"/>
    </row>
    <row r="963" spans="1:39" ht="18" x14ac:dyDescent="0.45">
      <c r="A963" s="143"/>
      <c r="B963" s="252"/>
      <c r="C963" s="119"/>
      <c r="F963" s="119"/>
      <c r="I963" s="119"/>
      <c r="L963" s="119"/>
      <c r="O963" s="119"/>
      <c r="R963" s="119"/>
      <c r="U963" s="119"/>
      <c r="X963" s="119"/>
      <c r="AA963" s="119"/>
      <c r="AD963" s="119"/>
      <c r="AM963"/>
    </row>
    <row r="964" spans="1:39" ht="18" x14ac:dyDescent="0.45">
      <c r="A964" s="143"/>
      <c r="B964" s="252"/>
      <c r="C964" s="119"/>
      <c r="F964" s="119"/>
      <c r="I964" s="119"/>
      <c r="L964" s="119"/>
      <c r="O964" s="119"/>
      <c r="R964" s="119"/>
      <c r="U964" s="119"/>
      <c r="X964" s="119"/>
      <c r="AA964" s="119"/>
      <c r="AD964" s="119"/>
      <c r="AM964"/>
    </row>
    <row r="965" spans="1:39" ht="18" x14ac:dyDescent="0.45">
      <c r="A965" s="143"/>
      <c r="B965" s="252"/>
      <c r="C965" s="119"/>
      <c r="F965" s="119"/>
      <c r="I965" s="119"/>
      <c r="L965" s="119"/>
      <c r="O965" s="119"/>
      <c r="R965" s="119"/>
      <c r="U965" s="119"/>
      <c r="X965" s="119"/>
      <c r="AA965" s="119"/>
      <c r="AD965" s="119"/>
      <c r="AM965"/>
    </row>
    <row r="966" spans="1:39" ht="18" x14ac:dyDescent="0.45">
      <c r="A966" s="143"/>
      <c r="B966" s="252"/>
      <c r="C966" s="119"/>
      <c r="F966" s="119"/>
      <c r="I966" s="119"/>
      <c r="L966" s="119"/>
      <c r="O966" s="119"/>
      <c r="R966" s="119"/>
      <c r="U966" s="119"/>
      <c r="X966" s="119"/>
      <c r="AA966" s="119"/>
      <c r="AD966" s="119"/>
      <c r="AM966"/>
    </row>
    <row r="967" spans="1:39" ht="18" x14ac:dyDescent="0.45">
      <c r="A967" s="143"/>
      <c r="B967" s="252"/>
      <c r="C967" s="119"/>
      <c r="F967" s="119"/>
      <c r="I967" s="119"/>
      <c r="L967" s="119"/>
      <c r="O967" s="119"/>
      <c r="R967" s="119"/>
      <c r="U967" s="119"/>
      <c r="X967" s="119"/>
      <c r="AA967" s="119"/>
      <c r="AD967" s="119"/>
      <c r="AM967"/>
    </row>
    <row r="968" spans="1:39" ht="18" x14ac:dyDescent="0.45">
      <c r="A968" s="143"/>
      <c r="B968" s="252"/>
      <c r="C968" s="119"/>
      <c r="F968" s="119"/>
      <c r="I968" s="119"/>
      <c r="L968" s="119"/>
      <c r="O968" s="119"/>
      <c r="R968" s="119"/>
      <c r="U968" s="119"/>
      <c r="X968" s="119"/>
      <c r="AA968" s="119"/>
      <c r="AD968" s="119"/>
      <c r="AM968"/>
    </row>
    <row r="969" spans="1:39" ht="18" x14ac:dyDescent="0.45">
      <c r="A969" s="143"/>
      <c r="B969" s="252"/>
      <c r="C969" s="119"/>
      <c r="F969" s="119"/>
      <c r="I969" s="119"/>
      <c r="L969" s="119"/>
      <c r="O969" s="119"/>
      <c r="R969" s="119"/>
      <c r="U969" s="119"/>
      <c r="X969" s="119"/>
      <c r="AA969" s="119"/>
      <c r="AD969" s="119"/>
      <c r="AM969"/>
    </row>
    <row r="970" spans="1:39" ht="18" x14ac:dyDescent="0.45">
      <c r="A970" s="143"/>
      <c r="B970" s="252"/>
      <c r="C970" s="119"/>
      <c r="F970" s="119"/>
      <c r="I970" s="119"/>
      <c r="L970" s="119"/>
      <c r="O970" s="119"/>
      <c r="R970" s="119"/>
      <c r="U970" s="119"/>
      <c r="X970" s="119"/>
      <c r="AA970" s="119"/>
      <c r="AD970" s="119"/>
      <c r="AM970"/>
    </row>
    <row r="971" spans="1:39" ht="18" x14ac:dyDescent="0.45">
      <c r="A971" s="143"/>
      <c r="B971" s="252"/>
      <c r="C971" s="119"/>
      <c r="F971" s="119"/>
      <c r="I971" s="119"/>
      <c r="L971" s="119"/>
      <c r="O971" s="119"/>
      <c r="R971" s="119"/>
      <c r="U971" s="119"/>
      <c r="X971" s="119"/>
      <c r="AA971" s="119"/>
      <c r="AD971" s="119"/>
      <c r="AM971"/>
    </row>
    <row r="972" spans="1:39" ht="18" x14ac:dyDescent="0.45">
      <c r="A972" s="143"/>
      <c r="B972" s="252"/>
      <c r="C972" s="119"/>
      <c r="F972" s="119"/>
      <c r="I972" s="119"/>
      <c r="L972" s="119"/>
      <c r="O972" s="119"/>
      <c r="R972" s="119"/>
      <c r="U972" s="119"/>
      <c r="X972" s="119"/>
      <c r="AA972" s="119"/>
      <c r="AD972" s="119"/>
      <c r="AM972"/>
    </row>
    <row r="973" spans="1:39" ht="18" x14ac:dyDescent="0.45">
      <c r="A973" s="143"/>
      <c r="B973" s="252"/>
      <c r="C973" s="119"/>
      <c r="F973" s="119"/>
      <c r="I973" s="119"/>
      <c r="L973" s="119"/>
      <c r="O973" s="119"/>
      <c r="R973" s="119"/>
      <c r="U973" s="119"/>
      <c r="X973" s="119"/>
      <c r="AA973" s="119"/>
      <c r="AD973" s="119"/>
      <c r="AM973"/>
    </row>
    <row r="974" spans="1:39" ht="18" x14ac:dyDescent="0.45">
      <c r="A974" s="143"/>
      <c r="B974" s="252"/>
      <c r="C974" s="119"/>
      <c r="F974" s="119"/>
      <c r="I974" s="119"/>
      <c r="L974" s="119"/>
      <c r="O974" s="119"/>
      <c r="R974" s="119"/>
      <c r="U974" s="119"/>
      <c r="X974" s="119"/>
      <c r="AA974" s="119"/>
      <c r="AD974" s="119"/>
      <c r="AM974"/>
    </row>
    <row r="975" spans="1:39" ht="18" x14ac:dyDescent="0.45">
      <c r="A975" s="143"/>
      <c r="B975" s="252"/>
      <c r="C975" s="119"/>
      <c r="F975" s="119"/>
      <c r="I975" s="119"/>
      <c r="L975" s="119"/>
      <c r="O975" s="119"/>
      <c r="R975" s="119"/>
      <c r="U975" s="119"/>
      <c r="X975" s="119"/>
      <c r="AA975" s="119"/>
      <c r="AD975" s="119"/>
      <c r="AM975"/>
    </row>
    <row r="976" spans="1:39" ht="18" x14ac:dyDescent="0.45">
      <c r="A976" s="143"/>
      <c r="B976" s="252"/>
      <c r="C976" s="119"/>
      <c r="F976" s="119"/>
      <c r="I976" s="119"/>
      <c r="L976" s="119"/>
      <c r="O976" s="119"/>
      <c r="R976" s="119"/>
      <c r="U976" s="119"/>
      <c r="X976" s="119"/>
      <c r="AA976" s="119"/>
      <c r="AD976" s="119"/>
      <c r="AM976"/>
    </row>
    <row r="977" spans="1:39" ht="18" x14ac:dyDescent="0.45">
      <c r="A977" s="143"/>
      <c r="B977" s="252"/>
      <c r="C977" s="119"/>
      <c r="F977" s="119"/>
      <c r="I977" s="119"/>
      <c r="L977" s="119"/>
      <c r="O977" s="119"/>
      <c r="R977" s="119"/>
      <c r="U977" s="119"/>
      <c r="X977" s="119"/>
      <c r="AA977" s="119"/>
      <c r="AD977" s="119"/>
      <c r="AM977"/>
    </row>
    <row r="978" spans="1:39" ht="18" x14ac:dyDescent="0.45">
      <c r="A978" s="143"/>
      <c r="B978" s="252"/>
      <c r="C978" s="119"/>
      <c r="F978" s="119"/>
      <c r="I978" s="119"/>
      <c r="L978" s="119"/>
      <c r="O978" s="119"/>
      <c r="R978" s="119"/>
      <c r="U978" s="119"/>
      <c r="X978" s="119"/>
      <c r="AA978" s="119"/>
      <c r="AD978" s="119"/>
      <c r="AM978"/>
    </row>
    <row r="979" spans="1:39" ht="18" x14ac:dyDescent="0.45">
      <c r="A979" s="143"/>
      <c r="B979" s="252"/>
      <c r="C979" s="119"/>
      <c r="F979" s="119"/>
      <c r="I979" s="119"/>
      <c r="L979" s="119"/>
      <c r="O979" s="119"/>
      <c r="R979" s="119"/>
      <c r="U979" s="119"/>
      <c r="X979" s="119"/>
      <c r="AA979" s="119"/>
      <c r="AD979" s="119"/>
      <c r="AM979"/>
    </row>
    <row r="980" spans="1:39" ht="18" x14ac:dyDescent="0.45">
      <c r="A980" s="143"/>
      <c r="B980" s="252"/>
      <c r="C980" s="119"/>
      <c r="F980" s="119"/>
      <c r="I980" s="119"/>
      <c r="L980" s="119"/>
      <c r="O980" s="119"/>
      <c r="R980" s="119"/>
      <c r="U980" s="119"/>
      <c r="X980" s="119"/>
      <c r="AA980" s="119"/>
      <c r="AD980" s="119"/>
      <c r="AM980"/>
    </row>
    <row r="981" spans="1:39" ht="18" x14ac:dyDescent="0.45">
      <c r="A981" s="143"/>
      <c r="B981" s="252"/>
      <c r="C981" s="119"/>
      <c r="F981" s="119"/>
      <c r="I981" s="119"/>
      <c r="L981" s="119"/>
      <c r="O981" s="119"/>
      <c r="R981" s="119"/>
      <c r="U981" s="119"/>
      <c r="X981" s="119"/>
      <c r="AA981" s="119"/>
      <c r="AD981" s="119"/>
      <c r="AM981"/>
    </row>
    <row r="982" spans="1:39" ht="18" x14ac:dyDescent="0.45">
      <c r="A982" s="143"/>
      <c r="B982" s="252"/>
      <c r="C982" s="119"/>
      <c r="F982" s="119"/>
      <c r="I982" s="119"/>
      <c r="L982" s="119"/>
      <c r="O982" s="119"/>
      <c r="R982" s="119"/>
      <c r="U982" s="119"/>
      <c r="X982" s="119"/>
      <c r="AA982" s="119"/>
      <c r="AD982" s="119"/>
      <c r="AM982"/>
    </row>
    <row r="983" spans="1:39" ht="18" x14ac:dyDescent="0.45">
      <c r="A983" s="143"/>
      <c r="B983" s="252"/>
      <c r="C983" s="119"/>
      <c r="F983" s="119"/>
      <c r="I983" s="119"/>
      <c r="L983" s="119"/>
      <c r="O983" s="119"/>
      <c r="R983" s="119"/>
      <c r="U983" s="119"/>
      <c r="X983" s="119"/>
      <c r="AA983" s="119"/>
      <c r="AD983" s="119"/>
      <c r="AM983"/>
    </row>
    <row r="984" spans="1:39" ht="18" x14ac:dyDescent="0.45">
      <c r="A984" s="143"/>
      <c r="B984" s="252"/>
      <c r="C984" s="119"/>
      <c r="F984" s="119"/>
      <c r="I984" s="119"/>
      <c r="L984" s="119"/>
      <c r="O984" s="119"/>
      <c r="R984" s="119"/>
      <c r="U984" s="119"/>
      <c r="X984" s="119"/>
      <c r="AA984" s="119"/>
      <c r="AD984" s="119"/>
      <c r="AM984"/>
    </row>
    <row r="985" spans="1:39" ht="18" x14ac:dyDescent="0.45">
      <c r="A985" s="143"/>
      <c r="B985" s="252"/>
      <c r="C985" s="119"/>
      <c r="F985" s="119"/>
      <c r="I985" s="119"/>
      <c r="L985" s="119"/>
      <c r="O985" s="119"/>
      <c r="R985" s="119"/>
      <c r="U985" s="119"/>
      <c r="X985" s="119"/>
      <c r="AA985" s="119"/>
      <c r="AD985" s="119"/>
      <c r="AM985"/>
    </row>
    <row r="986" spans="1:39" ht="18" x14ac:dyDescent="0.45">
      <c r="A986" s="143"/>
      <c r="B986" s="252"/>
      <c r="C986" s="119"/>
      <c r="F986" s="119"/>
      <c r="I986" s="119"/>
      <c r="L986" s="119"/>
      <c r="O986" s="119"/>
      <c r="R986" s="119"/>
      <c r="U986" s="119"/>
      <c r="X986" s="119"/>
      <c r="AA986" s="119"/>
      <c r="AD986" s="119"/>
      <c r="AM986"/>
    </row>
    <row r="987" spans="1:39" ht="18" x14ac:dyDescent="0.45">
      <c r="A987" s="143"/>
      <c r="B987" s="252"/>
      <c r="C987" s="119"/>
      <c r="F987" s="119"/>
      <c r="I987" s="119"/>
      <c r="L987" s="119"/>
      <c r="O987" s="119"/>
      <c r="R987" s="119"/>
      <c r="U987" s="119"/>
      <c r="X987" s="119"/>
      <c r="AA987" s="119"/>
      <c r="AD987" s="119"/>
      <c r="AM987"/>
    </row>
    <row r="988" spans="1:39" ht="18" x14ac:dyDescent="0.45">
      <c r="A988" s="143"/>
      <c r="B988" s="252"/>
      <c r="C988" s="119"/>
      <c r="F988" s="119"/>
      <c r="I988" s="119"/>
      <c r="L988" s="119"/>
      <c r="O988" s="119"/>
      <c r="R988" s="119"/>
      <c r="U988" s="119"/>
      <c r="X988" s="119"/>
      <c r="AA988" s="119"/>
      <c r="AD988" s="119"/>
      <c r="AM988"/>
    </row>
    <row r="989" spans="1:39" ht="18" x14ac:dyDescent="0.45">
      <c r="A989" s="143"/>
      <c r="B989" s="252"/>
      <c r="C989" s="119"/>
      <c r="F989" s="119"/>
      <c r="I989" s="119"/>
      <c r="L989" s="119"/>
      <c r="O989" s="119"/>
      <c r="R989" s="119"/>
      <c r="U989" s="119"/>
      <c r="X989" s="119"/>
      <c r="AA989" s="119"/>
      <c r="AD989" s="119"/>
      <c r="AM989"/>
    </row>
    <row r="990" spans="1:39" ht="18" x14ac:dyDescent="0.45">
      <c r="A990" s="143"/>
      <c r="B990" s="252"/>
      <c r="C990" s="119"/>
      <c r="F990" s="119"/>
      <c r="I990" s="119"/>
      <c r="L990" s="119"/>
      <c r="O990" s="119"/>
      <c r="R990" s="119"/>
      <c r="U990" s="119"/>
      <c r="X990" s="119"/>
      <c r="AA990" s="119"/>
      <c r="AD990" s="119"/>
      <c r="AM990"/>
    </row>
    <row r="991" spans="1:39" ht="18" x14ac:dyDescent="0.45">
      <c r="A991" s="143"/>
      <c r="B991" s="252"/>
      <c r="C991" s="119"/>
      <c r="F991" s="119"/>
      <c r="I991" s="119"/>
      <c r="L991" s="119"/>
      <c r="O991" s="119"/>
      <c r="R991" s="119"/>
      <c r="U991" s="119"/>
      <c r="X991" s="119"/>
      <c r="AA991" s="119"/>
      <c r="AD991" s="119"/>
      <c r="AM991"/>
    </row>
    <row r="992" spans="1:39" ht="18" x14ac:dyDescent="0.45">
      <c r="A992" s="143"/>
      <c r="B992" s="252"/>
      <c r="C992" s="119"/>
      <c r="F992" s="119"/>
      <c r="I992" s="119"/>
      <c r="L992" s="119"/>
      <c r="O992" s="119"/>
      <c r="R992" s="119"/>
      <c r="U992" s="119"/>
      <c r="X992" s="119"/>
      <c r="AA992" s="119"/>
      <c r="AD992" s="119"/>
      <c r="AM992"/>
    </row>
    <row r="993" spans="1:39" ht="18" x14ac:dyDescent="0.45">
      <c r="A993" s="143"/>
      <c r="B993" s="252"/>
      <c r="C993" s="119"/>
      <c r="F993" s="119"/>
      <c r="I993" s="119"/>
      <c r="L993" s="119"/>
      <c r="O993" s="119"/>
      <c r="R993" s="119"/>
      <c r="U993" s="119"/>
      <c r="X993" s="119"/>
      <c r="AA993" s="119"/>
      <c r="AD993" s="119"/>
      <c r="AM993"/>
    </row>
    <row r="994" spans="1:39" ht="18" x14ac:dyDescent="0.45">
      <c r="A994" s="143"/>
      <c r="B994" s="252"/>
      <c r="C994" s="119"/>
      <c r="F994" s="119"/>
      <c r="I994" s="119"/>
      <c r="L994" s="119"/>
      <c r="O994" s="119"/>
      <c r="R994" s="119"/>
      <c r="U994" s="119"/>
      <c r="X994" s="119"/>
      <c r="AA994" s="119"/>
      <c r="AD994" s="119"/>
      <c r="AM994"/>
    </row>
    <row r="995" spans="1:39" ht="18" x14ac:dyDescent="0.45">
      <c r="A995" s="143"/>
      <c r="B995" s="252"/>
      <c r="C995" s="119"/>
      <c r="F995" s="119"/>
      <c r="I995" s="119"/>
      <c r="L995" s="119"/>
      <c r="O995" s="119"/>
      <c r="R995" s="119"/>
      <c r="U995" s="119"/>
      <c r="X995" s="119"/>
      <c r="AA995" s="119"/>
      <c r="AD995" s="119"/>
      <c r="AM995"/>
    </row>
    <row r="996" spans="1:39" ht="18" x14ac:dyDescent="0.45">
      <c r="A996" s="143"/>
      <c r="B996" s="252"/>
      <c r="C996" s="119"/>
      <c r="F996" s="119"/>
      <c r="I996" s="119"/>
      <c r="L996" s="119"/>
      <c r="O996" s="119"/>
      <c r="R996" s="119"/>
      <c r="U996" s="119"/>
      <c r="X996" s="119"/>
      <c r="AA996" s="119"/>
      <c r="AD996" s="119"/>
      <c r="AM996"/>
    </row>
    <row r="997" spans="1:39" ht="18" x14ac:dyDescent="0.45">
      <c r="A997" s="143"/>
      <c r="B997" s="252"/>
      <c r="C997" s="119"/>
      <c r="F997" s="119"/>
      <c r="I997" s="119"/>
      <c r="L997" s="119"/>
      <c r="O997" s="119"/>
      <c r="R997" s="119"/>
      <c r="U997" s="119"/>
      <c r="X997" s="119"/>
      <c r="AA997" s="119"/>
      <c r="AD997" s="119"/>
      <c r="AM997"/>
    </row>
    <row r="998" spans="1:39" ht="18" x14ac:dyDescent="0.45">
      <c r="A998" s="143"/>
      <c r="B998" s="252"/>
      <c r="C998" s="119"/>
      <c r="F998" s="119"/>
      <c r="I998" s="119"/>
      <c r="L998" s="119"/>
      <c r="O998" s="119"/>
      <c r="R998" s="119"/>
      <c r="U998" s="119"/>
      <c r="X998" s="119"/>
      <c r="AA998" s="119"/>
      <c r="AD998" s="119"/>
      <c r="AM998"/>
    </row>
    <row r="999" spans="1:39" ht="18" x14ac:dyDescent="0.45">
      <c r="A999" s="143"/>
      <c r="B999" s="252"/>
      <c r="C999" s="119"/>
      <c r="F999" s="119"/>
      <c r="I999" s="119"/>
      <c r="L999" s="119"/>
      <c r="O999" s="119"/>
      <c r="R999" s="119"/>
      <c r="U999" s="119"/>
      <c r="X999" s="119"/>
      <c r="AA999" s="119"/>
      <c r="AD999" s="119"/>
      <c r="AM999"/>
    </row>
    <row r="1000" spans="1:39" ht="18" x14ac:dyDescent="0.45">
      <c r="A1000" s="143"/>
      <c r="B1000" s="252"/>
      <c r="C1000" s="119"/>
      <c r="F1000" s="119"/>
      <c r="I1000" s="119"/>
      <c r="L1000" s="119"/>
      <c r="O1000" s="119"/>
      <c r="R1000" s="119"/>
      <c r="U1000" s="119"/>
      <c r="X1000" s="119"/>
      <c r="AA1000" s="119"/>
      <c r="AD1000" s="119"/>
      <c r="AM1000"/>
    </row>
    <row r="1001" spans="1:39" ht="18" x14ac:dyDescent="0.45">
      <c r="A1001" s="143"/>
      <c r="B1001" s="252"/>
      <c r="C1001" s="119"/>
      <c r="F1001" s="119"/>
      <c r="I1001" s="119"/>
      <c r="L1001" s="119"/>
      <c r="O1001" s="119"/>
      <c r="R1001" s="119"/>
      <c r="U1001" s="119"/>
      <c r="X1001" s="119"/>
      <c r="AA1001" s="119"/>
      <c r="AD1001" s="119"/>
      <c r="AM1001"/>
    </row>
    <row r="1002" spans="1:39" ht="18" x14ac:dyDescent="0.45">
      <c r="A1002" s="143"/>
      <c r="B1002" s="252"/>
      <c r="C1002" s="119"/>
      <c r="F1002" s="119"/>
      <c r="I1002" s="119"/>
      <c r="L1002" s="119"/>
      <c r="O1002" s="119"/>
      <c r="R1002" s="119"/>
      <c r="U1002" s="119"/>
      <c r="X1002" s="119"/>
      <c r="AA1002" s="119"/>
      <c r="AD1002" s="119"/>
      <c r="AM1002"/>
    </row>
    <row r="1003" spans="1:39" ht="18" x14ac:dyDescent="0.45">
      <c r="A1003" s="143"/>
      <c r="B1003" s="252"/>
      <c r="C1003" s="119"/>
      <c r="F1003" s="119"/>
      <c r="I1003" s="119"/>
      <c r="L1003" s="119"/>
      <c r="O1003" s="119"/>
      <c r="R1003" s="119"/>
      <c r="U1003" s="119"/>
      <c r="X1003" s="119"/>
      <c r="AA1003" s="119"/>
      <c r="AD1003" s="119"/>
      <c r="AM1003"/>
    </row>
    <row r="1004" spans="1:39" ht="18" x14ac:dyDescent="0.45">
      <c r="A1004" s="143"/>
      <c r="B1004" s="252"/>
      <c r="C1004" s="119"/>
      <c r="F1004" s="119"/>
      <c r="I1004" s="119"/>
      <c r="L1004" s="119"/>
      <c r="O1004" s="119"/>
      <c r="R1004" s="119"/>
      <c r="U1004" s="119"/>
      <c r="X1004" s="119"/>
      <c r="AA1004" s="119"/>
      <c r="AD1004" s="119"/>
      <c r="AM1004"/>
    </row>
    <row r="1005" spans="1:39" ht="18" x14ac:dyDescent="0.45">
      <c r="A1005" s="143"/>
      <c r="B1005" s="252"/>
      <c r="C1005" s="119"/>
      <c r="F1005" s="119"/>
      <c r="I1005" s="119"/>
      <c r="L1005" s="119"/>
      <c r="O1005" s="119"/>
      <c r="R1005" s="119"/>
      <c r="U1005" s="119"/>
      <c r="X1005" s="119"/>
      <c r="AA1005" s="119"/>
      <c r="AD1005" s="119"/>
      <c r="AM1005"/>
    </row>
    <row r="1006" spans="1:39" ht="18" x14ac:dyDescent="0.45">
      <c r="A1006" s="143"/>
      <c r="B1006" s="252"/>
      <c r="C1006" s="119"/>
      <c r="F1006" s="119"/>
      <c r="I1006" s="119"/>
      <c r="L1006" s="119"/>
      <c r="O1006" s="119"/>
      <c r="R1006" s="119"/>
      <c r="U1006" s="119"/>
      <c r="X1006" s="119"/>
      <c r="AA1006" s="119"/>
      <c r="AD1006" s="119"/>
      <c r="AM1006"/>
    </row>
    <row r="1007" spans="1:39" ht="18" x14ac:dyDescent="0.45">
      <c r="A1007" s="143"/>
      <c r="B1007" s="252"/>
      <c r="C1007" s="119"/>
      <c r="F1007" s="119"/>
      <c r="I1007" s="119"/>
      <c r="L1007" s="119"/>
      <c r="O1007" s="119"/>
      <c r="R1007" s="119"/>
      <c r="U1007" s="119"/>
      <c r="X1007" s="119"/>
      <c r="AA1007" s="119"/>
      <c r="AD1007" s="119"/>
      <c r="AM1007"/>
    </row>
    <row r="1008" spans="1:39" ht="18" x14ac:dyDescent="0.45">
      <c r="A1008" s="143"/>
      <c r="B1008" s="252"/>
      <c r="C1008" s="119"/>
      <c r="F1008" s="119"/>
      <c r="I1008" s="119"/>
      <c r="L1008" s="119"/>
      <c r="O1008" s="119"/>
      <c r="R1008" s="119"/>
      <c r="U1008" s="119"/>
      <c r="X1008" s="119"/>
      <c r="AA1008" s="119"/>
      <c r="AD1008" s="119"/>
      <c r="AM1008"/>
    </row>
    <row r="1009" spans="1:39" ht="18" x14ac:dyDescent="0.45">
      <c r="A1009" s="143"/>
      <c r="B1009" s="252"/>
      <c r="C1009" s="119"/>
      <c r="F1009" s="119"/>
      <c r="I1009" s="119"/>
      <c r="L1009" s="119"/>
      <c r="O1009" s="119"/>
      <c r="R1009" s="119"/>
      <c r="U1009" s="119"/>
      <c r="X1009" s="119"/>
      <c r="AA1009" s="119"/>
      <c r="AD1009" s="119"/>
      <c r="AM1009"/>
    </row>
    <row r="1010" spans="1:39" ht="18" x14ac:dyDescent="0.45">
      <c r="A1010" s="143"/>
      <c r="B1010" s="252"/>
      <c r="C1010" s="119"/>
      <c r="F1010" s="119"/>
      <c r="I1010" s="119"/>
      <c r="L1010" s="119"/>
      <c r="O1010" s="119"/>
      <c r="R1010" s="119"/>
      <c r="U1010" s="119"/>
      <c r="X1010" s="119"/>
      <c r="AA1010" s="119"/>
      <c r="AD1010" s="119"/>
      <c r="AM1010"/>
    </row>
    <row r="1011" spans="1:39" ht="18" x14ac:dyDescent="0.45">
      <c r="A1011" s="143"/>
      <c r="B1011" s="252"/>
      <c r="C1011" s="119"/>
      <c r="F1011" s="119"/>
      <c r="I1011" s="119"/>
      <c r="L1011" s="119"/>
      <c r="O1011" s="119"/>
      <c r="R1011" s="119"/>
      <c r="U1011" s="119"/>
      <c r="X1011" s="119"/>
      <c r="AA1011" s="119"/>
      <c r="AD1011" s="119"/>
      <c r="AM1011"/>
    </row>
    <row r="1012" spans="1:39" ht="18" x14ac:dyDescent="0.45">
      <c r="A1012" s="143"/>
      <c r="B1012" s="252"/>
      <c r="C1012" s="119"/>
      <c r="F1012" s="119"/>
      <c r="I1012" s="119"/>
      <c r="L1012" s="119"/>
      <c r="O1012" s="119"/>
      <c r="R1012" s="119"/>
      <c r="U1012" s="119"/>
      <c r="X1012" s="119"/>
      <c r="AA1012" s="119"/>
      <c r="AD1012" s="119"/>
      <c r="AM1012"/>
    </row>
    <row r="1013" spans="1:39" ht="18" x14ac:dyDescent="0.45">
      <c r="A1013" s="143"/>
      <c r="B1013" s="252"/>
      <c r="C1013" s="119"/>
      <c r="F1013" s="119"/>
      <c r="I1013" s="119"/>
      <c r="L1013" s="119"/>
      <c r="O1013" s="119"/>
      <c r="R1013" s="119"/>
      <c r="U1013" s="119"/>
      <c r="X1013" s="119"/>
      <c r="AA1013" s="119"/>
      <c r="AD1013" s="119"/>
      <c r="AM1013"/>
    </row>
    <row r="1014" spans="1:39" ht="18" x14ac:dyDescent="0.45">
      <c r="A1014" s="143"/>
      <c r="B1014" s="252"/>
      <c r="C1014" s="119"/>
      <c r="F1014" s="119"/>
      <c r="I1014" s="119"/>
      <c r="L1014" s="119"/>
      <c r="O1014" s="119"/>
      <c r="R1014" s="119"/>
      <c r="U1014" s="119"/>
      <c r="X1014" s="119"/>
      <c r="AA1014" s="119"/>
      <c r="AD1014" s="119"/>
      <c r="AM1014"/>
    </row>
    <row r="1015" spans="1:39" ht="18" x14ac:dyDescent="0.45">
      <c r="A1015" s="143"/>
      <c r="B1015" s="252"/>
      <c r="C1015" s="119"/>
      <c r="F1015" s="119"/>
      <c r="I1015" s="119"/>
      <c r="L1015" s="119"/>
      <c r="O1015" s="119"/>
      <c r="R1015" s="119"/>
      <c r="U1015" s="119"/>
      <c r="X1015" s="119"/>
      <c r="AA1015" s="119"/>
      <c r="AD1015" s="119"/>
      <c r="AM1015"/>
    </row>
    <row r="1016" spans="1:39" ht="18" x14ac:dyDescent="0.45">
      <c r="A1016" s="143"/>
      <c r="B1016" s="252"/>
      <c r="C1016" s="119"/>
      <c r="F1016" s="119"/>
      <c r="I1016" s="119"/>
      <c r="L1016" s="119"/>
      <c r="O1016" s="119"/>
      <c r="R1016" s="119"/>
      <c r="U1016" s="119"/>
      <c r="X1016" s="119"/>
      <c r="AA1016" s="119"/>
      <c r="AD1016" s="119"/>
      <c r="AM1016"/>
    </row>
    <row r="1017" spans="1:39" ht="18" x14ac:dyDescent="0.45">
      <c r="A1017" s="143"/>
      <c r="B1017" s="252"/>
      <c r="C1017" s="119"/>
      <c r="F1017" s="119"/>
      <c r="I1017" s="119"/>
      <c r="L1017" s="119"/>
      <c r="O1017" s="119"/>
      <c r="R1017" s="119"/>
      <c r="U1017" s="119"/>
      <c r="X1017" s="119"/>
      <c r="AA1017" s="119"/>
      <c r="AD1017" s="119"/>
      <c r="AM1017"/>
    </row>
    <row r="1018" spans="1:39" ht="18" x14ac:dyDescent="0.45">
      <c r="A1018" s="143"/>
      <c r="B1018" s="252"/>
      <c r="C1018" s="119"/>
      <c r="F1018" s="119"/>
      <c r="I1018" s="119"/>
      <c r="L1018" s="119"/>
      <c r="O1018" s="119"/>
      <c r="R1018" s="119"/>
      <c r="U1018" s="119"/>
      <c r="X1018" s="119"/>
      <c r="AA1018" s="119"/>
      <c r="AD1018" s="119"/>
      <c r="AM1018"/>
    </row>
    <row r="1019" spans="1:39" ht="18" x14ac:dyDescent="0.45">
      <c r="A1019" s="143"/>
      <c r="B1019" s="252"/>
      <c r="C1019" s="119"/>
      <c r="F1019" s="119"/>
      <c r="I1019" s="119"/>
      <c r="L1019" s="119"/>
      <c r="O1019" s="119"/>
      <c r="R1019" s="119"/>
      <c r="U1019" s="119"/>
      <c r="X1019" s="119"/>
      <c r="AA1019" s="119"/>
      <c r="AD1019" s="119"/>
      <c r="AM1019"/>
    </row>
    <row r="1020" spans="1:39" ht="18" x14ac:dyDescent="0.45">
      <c r="A1020" s="143"/>
      <c r="B1020" s="252"/>
      <c r="C1020" s="119"/>
      <c r="F1020" s="119"/>
      <c r="I1020" s="119"/>
      <c r="L1020" s="119"/>
      <c r="O1020" s="119"/>
      <c r="R1020" s="119"/>
      <c r="U1020" s="119"/>
      <c r="X1020" s="119"/>
      <c r="AA1020" s="119"/>
      <c r="AD1020" s="119"/>
      <c r="AM1020"/>
    </row>
    <row r="1021" spans="1:39" ht="18" x14ac:dyDescent="0.45">
      <c r="A1021" s="143"/>
      <c r="B1021" s="252"/>
      <c r="C1021" s="119"/>
      <c r="F1021" s="119"/>
      <c r="I1021" s="119"/>
      <c r="L1021" s="119"/>
      <c r="O1021" s="119"/>
      <c r="R1021" s="119"/>
      <c r="U1021" s="119"/>
      <c r="X1021" s="119"/>
      <c r="AA1021" s="119"/>
      <c r="AD1021" s="119"/>
      <c r="AM1021"/>
    </row>
    <row r="1022" spans="1:39" ht="18" x14ac:dyDescent="0.45">
      <c r="A1022" s="143"/>
      <c r="B1022" s="252"/>
      <c r="C1022" s="119"/>
      <c r="F1022" s="119"/>
      <c r="I1022" s="119"/>
      <c r="L1022" s="119"/>
      <c r="O1022" s="119"/>
      <c r="R1022" s="119"/>
      <c r="U1022" s="119"/>
      <c r="X1022" s="119"/>
      <c r="AA1022" s="119"/>
      <c r="AD1022" s="119"/>
      <c r="AM1022"/>
    </row>
    <row r="1023" spans="1:39" ht="18" x14ac:dyDescent="0.45">
      <c r="A1023" s="143"/>
      <c r="B1023" s="252"/>
      <c r="C1023" s="119"/>
      <c r="F1023" s="119"/>
      <c r="I1023" s="119"/>
      <c r="L1023" s="119"/>
      <c r="O1023" s="119"/>
      <c r="R1023" s="119"/>
      <c r="U1023" s="119"/>
      <c r="X1023" s="119"/>
      <c r="AA1023" s="119"/>
      <c r="AD1023" s="119"/>
      <c r="AM1023"/>
    </row>
    <row r="1024" spans="1:39" ht="18" x14ac:dyDescent="0.45">
      <c r="A1024" s="143"/>
      <c r="B1024" s="252"/>
      <c r="C1024" s="119"/>
      <c r="F1024" s="119"/>
      <c r="I1024" s="119"/>
      <c r="L1024" s="119"/>
      <c r="O1024" s="119"/>
      <c r="R1024" s="119"/>
      <c r="U1024" s="119"/>
      <c r="X1024" s="119"/>
      <c r="AA1024" s="119"/>
      <c r="AD1024" s="119"/>
      <c r="AM1024"/>
    </row>
    <row r="1025" spans="1:39" ht="18" x14ac:dyDescent="0.45">
      <c r="A1025" s="143"/>
      <c r="B1025" s="252"/>
      <c r="C1025" s="119"/>
      <c r="F1025" s="119"/>
      <c r="I1025" s="119"/>
      <c r="L1025" s="119"/>
      <c r="O1025" s="119"/>
      <c r="R1025" s="119"/>
      <c r="U1025" s="119"/>
      <c r="X1025" s="119"/>
      <c r="AA1025" s="119"/>
      <c r="AD1025" s="119"/>
      <c r="AM1025"/>
    </row>
    <row r="1026" spans="1:39" ht="18" x14ac:dyDescent="0.45">
      <c r="A1026" s="143"/>
      <c r="B1026" s="252"/>
      <c r="C1026" s="119"/>
      <c r="F1026" s="119"/>
      <c r="I1026" s="119"/>
      <c r="L1026" s="119"/>
      <c r="O1026" s="119"/>
      <c r="R1026" s="119"/>
      <c r="U1026" s="119"/>
      <c r="X1026" s="119"/>
      <c r="AA1026" s="119"/>
      <c r="AD1026" s="119"/>
      <c r="AM1026"/>
    </row>
    <row r="1027" spans="1:39" ht="18" x14ac:dyDescent="0.45">
      <c r="A1027" s="143"/>
      <c r="B1027" s="252"/>
      <c r="C1027" s="119"/>
      <c r="F1027" s="119"/>
      <c r="I1027" s="119"/>
      <c r="L1027" s="119"/>
      <c r="O1027" s="119"/>
      <c r="R1027" s="119"/>
      <c r="U1027" s="119"/>
      <c r="X1027" s="119"/>
      <c r="AA1027" s="119"/>
      <c r="AD1027" s="119"/>
      <c r="AM1027"/>
    </row>
    <row r="1028" spans="1:39" ht="18" x14ac:dyDescent="0.45">
      <c r="A1028" s="143"/>
      <c r="B1028" s="252"/>
      <c r="C1028" s="119"/>
      <c r="F1028" s="119"/>
      <c r="I1028" s="119"/>
      <c r="L1028" s="119"/>
      <c r="O1028" s="119"/>
      <c r="R1028" s="119"/>
      <c r="U1028" s="119"/>
      <c r="X1028" s="119"/>
      <c r="AA1028" s="119"/>
      <c r="AD1028" s="119"/>
      <c r="AM1028"/>
    </row>
    <row r="1029" spans="1:39" ht="18" x14ac:dyDescent="0.45">
      <c r="A1029" s="143"/>
      <c r="B1029" s="252"/>
      <c r="C1029" s="119"/>
      <c r="F1029" s="119"/>
      <c r="I1029" s="119"/>
      <c r="L1029" s="119"/>
      <c r="O1029" s="119"/>
      <c r="R1029" s="119"/>
      <c r="U1029" s="119"/>
      <c r="X1029" s="119"/>
      <c r="AA1029" s="119"/>
      <c r="AD1029" s="119"/>
      <c r="AM1029"/>
    </row>
    <row r="1030" spans="1:39" ht="18" x14ac:dyDescent="0.45">
      <c r="A1030" s="143"/>
      <c r="B1030" s="252"/>
      <c r="C1030" s="119"/>
      <c r="F1030" s="119"/>
      <c r="I1030" s="119"/>
      <c r="L1030" s="119"/>
      <c r="O1030" s="119"/>
      <c r="R1030" s="119"/>
      <c r="U1030" s="119"/>
      <c r="X1030" s="119"/>
      <c r="AA1030" s="119"/>
      <c r="AD1030" s="119"/>
      <c r="AM1030"/>
    </row>
    <row r="1031" spans="1:39" ht="18" x14ac:dyDescent="0.45">
      <c r="A1031" s="143"/>
      <c r="B1031" s="252"/>
      <c r="C1031" s="119"/>
      <c r="F1031" s="119"/>
      <c r="I1031" s="119"/>
      <c r="L1031" s="119"/>
      <c r="O1031" s="119"/>
      <c r="R1031" s="119"/>
      <c r="U1031" s="119"/>
      <c r="X1031" s="119"/>
      <c r="AA1031" s="119"/>
      <c r="AD1031" s="119"/>
      <c r="AM1031"/>
    </row>
    <row r="1032" spans="1:39" ht="18" x14ac:dyDescent="0.45">
      <c r="A1032" s="143"/>
      <c r="B1032" s="252"/>
      <c r="C1032" s="119"/>
      <c r="F1032" s="119"/>
      <c r="I1032" s="119"/>
      <c r="L1032" s="119"/>
      <c r="O1032" s="119"/>
      <c r="R1032" s="119"/>
      <c r="U1032" s="119"/>
      <c r="X1032" s="119"/>
      <c r="AA1032" s="119"/>
      <c r="AD1032" s="119"/>
      <c r="AM1032"/>
    </row>
    <row r="1033" spans="1:39" ht="18" x14ac:dyDescent="0.45">
      <c r="A1033" s="143"/>
      <c r="B1033" s="252"/>
      <c r="C1033" s="119"/>
      <c r="F1033" s="119"/>
      <c r="I1033" s="119"/>
      <c r="L1033" s="119"/>
      <c r="O1033" s="119"/>
      <c r="R1033" s="119"/>
      <c r="U1033" s="119"/>
      <c r="X1033" s="119"/>
      <c r="AA1033" s="119"/>
      <c r="AD1033" s="119"/>
      <c r="AM1033"/>
    </row>
    <row r="1034" spans="1:39" ht="18" x14ac:dyDescent="0.45">
      <c r="A1034" s="143"/>
      <c r="B1034" s="252"/>
      <c r="C1034" s="119"/>
      <c r="F1034" s="119"/>
      <c r="I1034" s="119"/>
      <c r="L1034" s="119"/>
      <c r="O1034" s="119"/>
      <c r="R1034" s="119"/>
      <c r="U1034" s="119"/>
      <c r="X1034" s="119"/>
      <c r="AA1034" s="119"/>
      <c r="AD1034" s="119"/>
      <c r="AM1034"/>
    </row>
    <row r="1035" spans="1:39" ht="18" x14ac:dyDescent="0.45">
      <c r="A1035" s="143"/>
      <c r="B1035" s="252"/>
      <c r="C1035" s="119"/>
      <c r="F1035" s="119"/>
      <c r="I1035" s="119"/>
      <c r="L1035" s="119"/>
      <c r="O1035" s="119"/>
      <c r="R1035" s="119"/>
      <c r="U1035" s="119"/>
      <c r="X1035" s="119"/>
      <c r="AA1035" s="119"/>
      <c r="AD1035" s="119"/>
      <c r="AM1035"/>
    </row>
    <row r="1036" spans="1:39" ht="18" x14ac:dyDescent="0.45">
      <c r="A1036" s="143"/>
      <c r="B1036" s="252"/>
      <c r="C1036" s="119"/>
      <c r="F1036" s="119"/>
      <c r="I1036" s="119"/>
      <c r="L1036" s="119"/>
      <c r="O1036" s="119"/>
      <c r="R1036" s="119"/>
      <c r="U1036" s="119"/>
      <c r="X1036" s="119"/>
      <c r="AA1036" s="119"/>
      <c r="AD1036" s="119"/>
      <c r="AM1036"/>
    </row>
    <row r="1037" spans="1:39" ht="18" x14ac:dyDescent="0.45">
      <c r="A1037" s="143"/>
      <c r="B1037" s="252"/>
      <c r="C1037" s="119"/>
      <c r="F1037" s="119"/>
      <c r="I1037" s="119"/>
      <c r="L1037" s="119"/>
      <c r="O1037" s="119"/>
      <c r="R1037" s="119"/>
      <c r="U1037" s="119"/>
      <c r="X1037" s="119"/>
      <c r="AA1037" s="119"/>
      <c r="AD1037" s="119"/>
      <c r="AM1037"/>
    </row>
    <row r="1038" spans="1:39" ht="18" x14ac:dyDescent="0.45">
      <c r="A1038" s="143"/>
      <c r="B1038" s="252"/>
      <c r="C1038" s="119"/>
      <c r="F1038" s="119"/>
      <c r="I1038" s="119"/>
      <c r="L1038" s="119"/>
      <c r="O1038" s="119"/>
      <c r="R1038" s="119"/>
      <c r="U1038" s="119"/>
      <c r="X1038" s="119"/>
      <c r="AA1038" s="119"/>
      <c r="AD1038" s="119"/>
      <c r="AM1038"/>
    </row>
    <row r="1039" spans="1:39" ht="18" x14ac:dyDescent="0.45">
      <c r="A1039" s="143"/>
      <c r="B1039" s="252"/>
      <c r="C1039" s="119"/>
      <c r="F1039" s="119"/>
      <c r="I1039" s="119"/>
      <c r="L1039" s="119"/>
      <c r="O1039" s="119"/>
      <c r="R1039" s="119"/>
      <c r="U1039" s="119"/>
      <c r="X1039" s="119"/>
      <c r="AA1039" s="119"/>
      <c r="AD1039" s="119"/>
      <c r="AM1039"/>
    </row>
    <row r="1040" spans="1:39" ht="18" x14ac:dyDescent="0.45">
      <c r="A1040" s="143"/>
      <c r="B1040" s="252"/>
      <c r="C1040" s="119"/>
      <c r="F1040" s="119"/>
      <c r="I1040" s="119"/>
      <c r="L1040" s="119"/>
      <c r="O1040" s="119"/>
      <c r="R1040" s="119"/>
      <c r="U1040" s="119"/>
      <c r="X1040" s="119"/>
      <c r="AA1040" s="119"/>
      <c r="AD1040" s="119"/>
      <c r="AM1040"/>
    </row>
    <row r="1041" spans="1:39" ht="18" x14ac:dyDescent="0.45">
      <c r="A1041" s="143"/>
      <c r="B1041" s="252"/>
      <c r="C1041" s="119"/>
      <c r="F1041" s="119"/>
      <c r="I1041" s="119"/>
      <c r="L1041" s="119"/>
      <c r="O1041" s="119"/>
      <c r="R1041" s="119"/>
      <c r="U1041" s="119"/>
      <c r="X1041" s="119"/>
      <c r="AA1041" s="119"/>
      <c r="AD1041" s="119"/>
      <c r="AM1041"/>
    </row>
    <row r="1042" spans="1:39" ht="18" x14ac:dyDescent="0.45">
      <c r="A1042" s="143"/>
      <c r="B1042" s="252"/>
      <c r="C1042" s="119"/>
      <c r="F1042" s="119"/>
      <c r="I1042" s="119"/>
      <c r="L1042" s="119"/>
      <c r="O1042" s="119"/>
      <c r="R1042" s="119"/>
      <c r="U1042" s="119"/>
      <c r="X1042" s="119"/>
      <c r="AA1042" s="119"/>
      <c r="AD1042" s="119"/>
      <c r="AM1042"/>
    </row>
    <row r="1043" spans="1:39" ht="18" x14ac:dyDescent="0.45">
      <c r="A1043" s="143"/>
      <c r="B1043" s="252"/>
      <c r="C1043" s="119"/>
      <c r="F1043" s="119"/>
      <c r="I1043" s="119"/>
      <c r="L1043" s="119"/>
      <c r="O1043" s="119"/>
      <c r="R1043" s="119"/>
      <c r="U1043" s="119"/>
      <c r="X1043" s="119"/>
      <c r="AA1043" s="119"/>
      <c r="AD1043" s="119"/>
      <c r="AM1043"/>
    </row>
    <row r="1044" spans="1:39" ht="18" x14ac:dyDescent="0.45">
      <c r="A1044" s="143"/>
      <c r="B1044" s="252"/>
      <c r="C1044" s="119"/>
      <c r="F1044" s="119"/>
      <c r="I1044" s="119"/>
      <c r="L1044" s="119"/>
      <c r="O1044" s="119"/>
      <c r="R1044" s="119"/>
      <c r="U1044" s="119"/>
      <c r="X1044" s="119"/>
      <c r="AA1044" s="119"/>
      <c r="AD1044" s="119"/>
      <c r="AM1044"/>
    </row>
    <row r="1045" spans="1:39" ht="18" x14ac:dyDescent="0.45">
      <c r="A1045" s="143"/>
      <c r="B1045" s="252"/>
      <c r="C1045" s="119"/>
      <c r="F1045" s="119"/>
      <c r="I1045" s="119"/>
      <c r="L1045" s="119"/>
      <c r="O1045" s="119"/>
      <c r="R1045" s="119"/>
      <c r="U1045" s="119"/>
      <c r="X1045" s="119"/>
      <c r="AA1045" s="119"/>
      <c r="AD1045" s="119"/>
      <c r="AM1045"/>
    </row>
    <row r="1046" spans="1:39" ht="18" x14ac:dyDescent="0.45">
      <c r="A1046" s="143"/>
      <c r="B1046" s="252"/>
      <c r="C1046" s="119"/>
      <c r="F1046" s="119"/>
      <c r="I1046" s="119"/>
      <c r="L1046" s="119"/>
      <c r="O1046" s="119"/>
      <c r="R1046" s="119"/>
      <c r="U1046" s="119"/>
      <c r="X1046" s="119"/>
      <c r="AA1046" s="119"/>
      <c r="AD1046" s="119"/>
      <c r="AM1046"/>
    </row>
    <row r="1047" spans="1:39" ht="18" x14ac:dyDescent="0.45">
      <c r="A1047" s="143"/>
      <c r="B1047" s="252"/>
      <c r="C1047" s="119"/>
      <c r="F1047" s="119"/>
      <c r="I1047" s="119"/>
      <c r="L1047" s="119"/>
      <c r="O1047" s="119"/>
      <c r="R1047" s="119"/>
      <c r="U1047" s="119"/>
      <c r="X1047" s="119"/>
      <c r="AA1047" s="119"/>
      <c r="AD1047" s="119"/>
      <c r="AM1047"/>
    </row>
    <row r="1048" spans="1:39" ht="18" x14ac:dyDescent="0.45">
      <c r="A1048" s="143"/>
      <c r="B1048" s="252"/>
      <c r="C1048" s="119"/>
      <c r="F1048" s="119"/>
      <c r="I1048" s="119"/>
      <c r="L1048" s="119"/>
      <c r="O1048" s="119"/>
      <c r="R1048" s="119"/>
      <c r="U1048" s="119"/>
      <c r="X1048" s="119"/>
      <c r="AA1048" s="119"/>
      <c r="AD1048" s="119"/>
      <c r="AM1048"/>
    </row>
    <row r="1049" spans="1:39" ht="18" x14ac:dyDescent="0.45">
      <c r="A1049" s="143"/>
      <c r="B1049" s="252"/>
      <c r="C1049" s="119"/>
      <c r="F1049" s="119"/>
      <c r="I1049" s="119"/>
      <c r="L1049" s="119"/>
      <c r="O1049" s="119"/>
      <c r="R1049" s="119"/>
      <c r="U1049" s="119"/>
      <c r="X1049" s="119"/>
      <c r="AA1049" s="119"/>
      <c r="AD1049" s="119"/>
      <c r="AM1049"/>
    </row>
    <row r="1050" spans="1:39" ht="18" x14ac:dyDescent="0.45">
      <c r="A1050" s="143"/>
      <c r="B1050" s="252"/>
      <c r="C1050" s="119"/>
      <c r="F1050" s="119"/>
      <c r="I1050" s="119"/>
      <c r="L1050" s="119"/>
      <c r="O1050" s="119"/>
      <c r="R1050" s="119"/>
      <c r="U1050" s="119"/>
      <c r="X1050" s="119"/>
      <c r="AA1050" s="119"/>
      <c r="AD1050" s="119"/>
      <c r="AM1050"/>
    </row>
    <row r="1051" spans="1:39" ht="18" x14ac:dyDescent="0.45">
      <c r="A1051" s="143"/>
      <c r="B1051" s="252"/>
      <c r="C1051" s="119"/>
      <c r="F1051" s="119"/>
      <c r="I1051" s="119"/>
      <c r="L1051" s="119"/>
      <c r="O1051" s="119"/>
      <c r="R1051" s="119"/>
      <c r="U1051" s="119"/>
      <c r="X1051" s="119"/>
      <c r="AA1051" s="119"/>
      <c r="AD1051" s="119"/>
      <c r="AM1051"/>
    </row>
    <row r="1052" spans="1:39" ht="18" x14ac:dyDescent="0.45">
      <c r="A1052" s="143"/>
      <c r="B1052" s="252"/>
      <c r="C1052" s="119"/>
      <c r="F1052" s="119"/>
      <c r="I1052" s="119"/>
      <c r="L1052" s="119"/>
      <c r="O1052" s="119"/>
      <c r="R1052" s="119"/>
      <c r="U1052" s="119"/>
      <c r="X1052" s="119"/>
      <c r="AA1052" s="119"/>
      <c r="AD1052" s="119"/>
      <c r="AM1052"/>
    </row>
    <row r="1053" spans="1:39" ht="18" x14ac:dyDescent="0.45">
      <c r="A1053" s="143"/>
      <c r="B1053" s="252"/>
      <c r="C1053" s="119"/>
      <c r="F1053" s="119"/>
      <c r="I1053" s="119"/>
      <c r="L1053" s="119"/>
      <c r="O1053" s="119"/>
      <c r="R1053" s="119"/>
      <c r="U1053" s="119"/>
      <c r="X1053" s="119"/>
      <c r="AA1053" s="119"/>
      <c r="AD1053" s="119"/>
      <c r="AM1053"/>
    </row>
    <row r="1054" spans="1:39" ht="18" x14ac:dyDescent="0.45">
      <c r="A1054" s="143"/>
      <c r="B1054" s="252"/>
      <c r="C1054" s="119"/>
      <c r="F1054" s="119"/>
      <c r="I1054" s="119"/>
      <c r="L1054" s="119"/>
      <c r="O1054" s="119"/>
      <c r="R1054" s="119"/>
      <c r="U1054" s="119"/>
      <c r="X1054" s="119"/>
      <c r="AA1054" s="119"/>
      <c r="AD1054" s="119"/>
      <c r="AM1054"/>
    </row>
    <row r="1055" spans="1:39" ht="18" x14ac:dyDescent="0.45">
      <c r="A1055" s="143"/>
      <c r="B1055" s="252"/>
      <c r="C1055" s="119"/>
      <c r="F1055" s="119"/>
      <c r="I1055" s="119"/>
      <c r="L1055" s="119"/>
      <c r="O1055" s="119"/>
      <c r="R1055" s="119"/>
      <c r="U1055" s="119"/>
      <c r="X1055" s="119"/>
      <c r="AA1055" s="119"/>
      <c r="AD1055" s="119"/>
      <c r="AM1055"/>
    </row>
    <row r="1056" spans="1:39" ht="18" x14ac:dyDescent="0.45">
      <c r="A1056" s="143"/>
      <c r="B1056" s="252"/>
      <c r="C1056" s="119"/>
      <c r="F1056" s="119"/>
      <c r="I1056" s="119"/>
      <c r="L1056" s="119"/>
      <c r="O1056" s="119"/>
      <c r="R1056" s="119"/>
      <c r="U1056" s="119"/>
      <c r="X1056" s="119"/>
      <c r="AA1056" s="119"/>
      <c r="AD1056" s="119"/>
      <c r="AM1056"/>
    </row>
    <row r="1057" spans="1:39" ht="18" x14ac:dyDescent="0.45">
      <c r="A1057" s="143"/>
      <c r="B1057" s="252"/>
      <c r="C1057" s="119"/>
      <c r="F1057" s="119"/>
      <c r="I1057" s="119"/>
      <c r="L1057" s="119"/>
      <c r="O1057" s="119"/>
      <c r="R1057" s="119"/>
      <c r="U1057" s="119"/>
      <c r="X1057" s="119"/>
      <c r="AA1057" s="119"/>
      <c r="AD1057" s="119"/>
      <c r="AM1057"/>
    </row>
    <row r="1058" spans="1:39" ht="18" x14ac:dyDescent="0.45">
      <c r="A1058" s="143"/>
      <c r="B1058" s="252"/>
      <c r="C1058" s="119"/>
      <c r="F1058" s="119"/>
      <c r="I1058" s="119"/>
      <c r="L1058" s="119"/>
      <c r="O1058" s="119"/>
      <c r="R1058" s="119"/>
      <c r="U1058" s="119"/>
      <c r="X1058" s="119"/>
      <c r="AA1058" s="119"/>
      <c r="AD1058" s="119"/>
      <c r="AM1058"/>
    </row>
    <row r="1059" spans="1:39" ht="18" x14ac:dyDescent="0.45">
      <c r="A1059" s="143"/>
      <c r="B1059" s="252"/>
      <c r="C1059" s="119"/>
      <c r="F1059" s="119"/>
      <c r="I1059" s="119"/>
      <c r="L1059" s="119"/>
      <c r="O1059" s="119"/>
      <c r="R1059" s="119"/>
      <c r="U1059" s="119"/>
      <c r="X1059" s="119"/>
      <c r="AA1059" s="119"/>
      <c r="AD1059" s="119"/>
      <c r="AM1059"/>
    </row>
    <row r="1060" spans="1:39" ht="18" x14ac:dyDescent="0.45">
      <c r="A1060" s="143"/>
      <c r="B1060" s="252"/>
      <c r="C1060" s="119"/>
      <c r="F1060" s="119"/>
      <c r="I1060" s="119"/>
      <c r="L1060" s="119"/>
      <c r="O1060" s="119"/>
      <c r="R1060" s="119"/>
      <c r="U1060" s="119"/>
      <c r="X1060" s="119"/>
      <c r="AA1060" s="119"/>
      <c r="AD1060" s="119"/>
      <c r="AM1060"/>
    </row>
    <row r="1061" spans="1:39" ht="18" x14ac:dyDescent="0.45">
      <c r="A1061" s="143"/>
      <c r="B1061" s="252"/>
      <c r="C1061" s="119"/>
      <c r="F1061" s="119"/>
      <c r="I1061" s="119"/>
      <c r="L1061" s="119"/>
      <c r="O1061" s="119"/>
      <c r="R1061" s="119"/>
      <c r="U1061" s="119"/>
      <c r="X1061" s="119"/>
      <c r="AA1061" s="119"/>
      <c r="AD1061" s="119"/>
      <c r="AM1061"/>
    </row>
    <row r="1062" spans="1:39" ht="18" x14ac:dyDescent="0.45">
      <c r="A1062" s="143"/>
      <c r="B1062" s="252"/>
      <c r="C1062" s="119"/>
      <c r="F1062" s="119"/>
      <c r="I1062" s="119"/>
      <c r="L1062" s="119"/>
      <c r="O1062" s="119"/>
      <c r="R1062" s="119"/>
      <c r="U1062" s="119"/>
      <c r="X1062" s="119"/>
      <c r="AA1062" s="119"/>
      <c r="AD1062" s="119"/>
      <c r="AM1062"/>
    </row>
    <row r="1063" spans="1:39" ht="18" x14ac:dyDescent="0.45">
      <c r="A1063" s="143"/>
      <c r="B1063" s="252"/>
      <c r="C1063" s="119"/>
      <c r="F1063" s="119"/>
      <c r="I1063" s="119"/>
      <c r="L1063" s="119"/>
      <c r="O1063" s="119"/>
      <c r="R1063" s="119"/>
      <c r="U1063" s="119"/>
      <c r="X1063" s="119"/>
      <c r="AA1063" s="119"/>
      <c r="AD1063" s="119"/>
      <c r="AM1063"/>
    </row>
    <row r="1064" spans="1:39" ht="18" x14ac:dyDescent="0.45">
      <c r="A1064" s="143"/>
      <c r="B1064" s="252"/>
      <c r="C1064" s="119"/>
      <c r="F1064" s="119"/>
      <c r="I1064" s="119"/>
      <c r="L1064" s="119"/>
      <c r="O1064" s="119"/>
      <c r="R1064" s="119"/>
      <c r="U1064" s="119"/>
      <c r="X1064" s="119"/>
      <c r="AA1064" s="119"/>
      <c r="AD1064" s="119"/>
      <c r="AM1064"/>
    </row>
    <row r="1065" spans="1:39" ht="18" x14ac:dyDescent="0.45">
      <c r="A1065" s="143"/>
      <c r="B1065" s="252"/>
      <c r="C1065" s="119"/>
      <c r="F1065" s="119"/>
      <c r="I1065" s="119"/>
      <c r="L1065" s="119"/>
      <c r="O1065" s="119"/>
      <c r="R1065" s="119"/>
      <c r="U1065" s="119"/>
      <c r="X1065" s="119"/>
      <c r="AA1065" s="119"/>
      <c r="AD1065" s="119"/>
      <c r="AM1065"/>
    </row>
    <row r="1066" spans="1:39" ht="18" x14ac:dyDescent="0.45">
      <c r="A1066" s="143"/>
      <c r="B1066" s="252"/>
      <c r="C1066" s="119"/>
      <c r="F1066" s="119"/>
      <c r="I1066" s="119"/>
      <c r="L1066" s="119"/>
      <c r="O1066" s="119"/>
      <c r="R1066" s="119"/>
      <c r="U1066" s="119"/>
      <c r="X1066" s="119"/>
      <c r="AA1066" s="119"/>
      <c r="AD1066" s="119"/>
      <c r="AM1066"/>
    </row>
    <row r="1067" spans="1:39" ht="18" x14ac:dyDescent="0.45">
      <c r="A1067" s="143"/>
      <c r="B1067" s="252"/>
      <c r="C1067" s="119"/>
      <c r="F1067" s="119"/>
      <c r="I1067" s="119"/>
      <c r="L1067" s="119"/>
      <c r="O1067" s="119"/>
      <c r="R1067" s="119"/>
      <c r="U1067" s="119"/>
      <c r="X1067" s="119"/>
      <c r="AA1067" s="119"/>
      <c r="AD1067" s="119"/>
      <c r="AM1067"/>
    </row>
    <row r="1068" spans="1:39" ht="18" x14ac:dyDescent="0.45">
      <c r="A1068" s="143"/>
      <c r="B1068" s="252"/>
      <c r="C1068" s="119"/>
      <c r="F1068" s="119"/>
      <c r="I1068" s="119"/>
      <c r="L1068" s="119"/>
      <c r="O1068" s="119"/>
      <c r="R1068" s="119"/>
      <c r="U1068" s="119"/>
      <c r="X1068" s="119"/>
      <c r="AA1068" s="119"/>
      <c r="AD1068" s="119"/>
      <c r="AM1068"/>
    </row>
    <row r="1069" spans="1:39" ht="18" x14ac:dyDescent="0.45">
      <c r="A1069" s="143"/>
      <c r="B1069" s="252"/>
      <c r="C1069" s="119"/>
      <c r="F1069" s="119"/>
      <c r="I1069" s="119"/>
      <c r="L1069" s="119"/>
      <c r="O1069" s="119"/>
      <c r="R1069" s="119"/>
      <c r="U1069" s="119"/>
      <c r="X1069" s="119"/>
      <c r="AA1069" s="119"/>
      <c r="AD1069" s="119"/>
      <c r="AM1069"/>
    </row>
    <row r="1070" spans="1:39" ht="18" x14ac:dyDescent="0.45">
      <c r="A1070" s="143"/>
      <c r="B1070" s="252"/>
      <c r="C1070" s="119"/>
      <c r="F1070" s="119"/>
      <c r="I1070" s="119"/>
      <c r="L1070" s="119"/>
      <c r="O1070" s="119"/>
      <c r="R1070" s="119"/>
      <c r="U1070" s="119"/>
      <c r="X1070" s="119"/>
      <c r="AA1070" s="119"/>
      <c r="AD1070" s="119"/>
      <c r="AM1070"/>
    </row>
    <row r="1071" spans="1:39" ht="18" x14ac:dyDescent="0.45">
      <c r="A1071" s="143"/>
      <c r="B1071" s="252"/>
      <c r="C1071" s="119"/>
      <c r="F1071" s="119"/>
      <c r="I1071" s="119"/>
      <c r="L1071" s="119"/>
      <c r="O1071" s="119"/>
      <c r="R1071" s="119"/>
      <c r="U1071" s="119"/>
      <c r="X1071" s="119"/>
      <c r="AA1071" s="119"/>
      <c r="AD1071" s="119"/>
      <c r="AM1071"/>
    </row>
    <row r="1072" spans="1:39" ht="18" x14ac:dyDescent="0.45">
      <c r="A1072" s="143"/>
      <c r="B1072" s="252"/>
      <c r="C1072" s="119"/>
      <c r="F1072" s="119"/>
      <c r="I1072" s="119"/>
      <c r="L1072" s="119"/>
      <c r="O1072" s="119"/>
      <c r="R1072" s="119"/>
      <c r="U1072" s="119"/>
      <c r="X1072" s="119"/>
      <c r="AA1072" s="119"/>
      <c r="AD1072" s="119"/>
      <c r="AM1072"/>
    </row>
    <row r="1073" spans="1:39" ht="18" x14ac:dyDescent="0.45">
      <c r="A1073" s="143"/>
      <c r="B1073" s="252"/>
      <c r="C1073" s="119"/>
      <c r="F1073" s="119"/>
      <c r="I1073" s="119"/>
      <c r="L1073" s="119"/>
      <c r="O1073" s="119"/>
      <c r="R1073" s="119"/>
      <c r="U1073" s="119"/>
      <c r="X1073" s="119"/>
      <c r="AA1073" s="119"/>
      <c r="AD1073" s="119"/>
      <c r="AM1073"/>
    </row>
    <row r="1074" spans="1:39" ht="18" x14ac:dyDescent="0.45">
      <c r="A1074" s="143"/>
      <c r="B1074" s="252"/>
      <c r="C1074" s="119"/>
      <c r="F1074" s="119"/>
      <c r="I1074" s="119"/>
      <c r="L1074" s="119"/>
      <c r="O1074" s="119"/>
      <c r="R1074" s="119"/>
      <c r="U1074" s="119"/>
      <c r="X1074" s="119"/>
      <c r="AA1074" s="119"/>
      <c r="AD1074" s="119"/>
      <c r="AM1074"/>
    </row>
    <row r="1075" spans="1:39" ht="18" x14ac:dyDescent="0.45">
      <c r="A1075" s="143"/>
      <c r="B1075" s="252"/>
      <c r="C1075" s="119"/>
      <c r="F1075" s="119"/>
      <c r="I1075" s="119"/>
      <c r="L1075" s="119"/>
      <c r="O1075" s="119"/>
      <c r="R1075" s="119"/>
      <c r="U1075" s="119"/>
      <c r="X1075" s="119"/>
      <c r="AA1075" s="119"/>
      <c r="AD1075" s="119"/>
      <c r="AM1075"/>
    </row>
    <row r="1076" spans="1:39" ht="18" x14ac:dyDescent="0.45">
      <c r="A1076" s="143"/>
      <c r="B1076" s="252"/>
      <c r="C1076" s="119"/>
      <c r="F1076" s="119"/>
      <c r="I1076" s="119"/>
      <c r="L1076" s="119"/>
      <c r="O1076" s="119"/>
      <c r="R1076" s="119"/>
      <c r="U1076" s="119"/>
      <c r="X1076" s="119"/>
      <c r="AA1076" s="119"/>
      <c r="AD1076" s="119"/>
      <c r="AM1076"/>
    </row>
    <row r="1077" spans="1:39" ht="18" x14ac:dyDescent="0.45">
      <c r="A1077" s="143"/>
      <c r="B1077" s="252"/>
      <c r="C1077" s="119"/>
      <c r="F1077" s="119"/>
      <c r="I1077" s="119"/>
      <c r="L1077" s="119"/>
      <c r="O1077" s="119"/>
      <c r="R1077" s="119"/>
      <c r="U1077" s="119"/>
      <c r="X1077" s="119"/>
      <c r="AA1077" s="119"/>
      <c r="AD1077" s="119"/>
      <c r="AM1077"/>
    </row>
    <row r="1078" spans="1:39" ht="18" x14ac:dyDescent="0.45">
      <c r="A1078" s="143"/>
      <c r="B1078" s="252"/>
      <c r="C1078" s="119"/>
      <c r="F1078" s="119"/>
      <c r="I1078" s="119"/>
      <c r="L1078" s="119"/>
      <c r="O1078" s="119"/>
      <c r="R1078" s="119"/>
      <c r="U1078" s="119"/>
      <c r="X1078" s="119"/>
      <c r="AA1078" s="119"/>
      <c r="AD1078" s="119"/>
      <c r="AM1078"/>
    </row>
    <row r="1079" spans="1:39" ht="18" x14ac:dyDescent="0.45">
      <c r="A1079" s="143"/>
      <c r="B1079" s="252"/>
      <c r="C1079" s="119"/>
      <c r="F1079" s="119"/>
      <c r="I1079" s="119"/>
      <c r="L1079" s="119"/>
      <c r="O1079" s="119"/>
      <c r="R1079" s="119"/>
      <c r="U1079" s="119"/>
      <c r="X1079" s="119"/>
      <c r="AA1079" s="119"/>
      <c r="AD1079" s="119"/>
      <c r="AM1079"/>
    </row>
    <row r="1080" spans="1:39" ht="18" x14ac:dyDescent="0.45">
      <c r="A1080" s="143"/>
      <c r="B1080" s="252"/>
      <c r="C1080" s="119"/>
      <c r="F1080" s="119"/>
      <c r="I1080" s="119"/>
      <c r="L1080" s="119"/>
      <c r="O1080" s="119"/>
      <c r="R1080" s="119"/>
      <c r="U1080" s="119"/>
      <c r="X1080" s="119"/>
      <c r="AA1080" s="119"/>
      <c r="AD1080" s="119"/>
      <c r="AM1080"/>
    </row>
    <row r="1081" spans="1:39" ht="18" x14ac:dyDescent="0.45">
      <c r="A1081" s="143"/>
      <c r="B1081" s="252"/>
      <c r="C1081" s="119"/>
      <c r="F1081" s="119"/>
      <c r="I1081" s="119"/>
      <c r="L1081" s="119"/>
      <c r="O1081" s="119"/>
      <c r="R1081" s="119"/>
      <c r="U1081" s="119"/>
      <c r="X1081" s="119"/>
      <c r="AA1081" s="119"/>
      <c r="AD1081" s="119"/>
      <c r="AM1081"/>
    </row>
    <row r="1082" spans="1:39" ht="18" x14ac:dyDescent="0.45">
      <c r="A1082" s="143"/>
      <c r="B1082" s="252"/>
      <c r="C1082" s="119"/>
      <c r="F1082" s="119"/>
      <c r="I1082" s="119"/>
      <c r="L1082" s="119"/>
      <c r="O1082" s="119"/>
      <c r="R1082" s="119"/>
      <c r="U1082" s="119"/>
      <c r="X1082" s="119"/>
      <c r="AA1082" s="119"/>
      <c r="AD1082" s="119"/>
      <c r="AM1082"/>
    </row>
    <row r="1083" spans="1:39" ht="18" x14ac:dyDescent="0.45">
      <c r="A1083" s="143"/>
      <c r="B1083" s="252"/>
      <c r="C1083" s="119"/>
      <c r="F1083" s="119"/>
      <c r="I1083" s="119"/>
      <c r="L1083" s="119"/>
      <c r="O1083" s="119"/>
      <c r="R1083" s="119"/>
      <c r="U1083" s="119"/>
      <c r="X1083" s="119"/>
      <c r="AA1083" s="119"/>
      <c r="AD1083" s="119"/>
      <c r="AM1083"/>
    </row>
    <row r="1084" spans="1:39" ht="18" x14ac:dyDescent="0.45">
      <c r="A1084" s="143"/>
      <c r="B1084" s="252"/>
      <c r="C1084" s="119"/>
      <c r="F1084" s="119"/>
      <c r="I1084" s="119"/>
      <c r="L1084" s="119"/>
      <c r="O1084" s="119"/>
      <c r="R1084" s="119"/>
      <c r="U1084" s="119"/>
      <c r="X1084" s="119"/>
      <c r="AA1084" s="119"/>
      <c r="AD1084" s="119"/>
      <c r="AM1084"/>
    </row>
    <row r="1085" spans="1:39" ht="18" x14ac:dyDescent="0.45">
      <c r="A1085" s="143"/>
      <c r="B1085" s="252"/>
      <c r="C1085" s="119"/>
      <c r="F1085" s="119"/>
      <c r="I1085" s="119"/>
      <c r="L1085" s="119"/>
      <c r="O1085" s="119"/>
      <c r="R1085" s="119"/>
      <c r="U1085" s="119"/>
      <c r="X1085" s="119"/>
      <c r="AA1085" s="119"/>
      <c r="AD1085" s="119"/>
      <c r="AM1085"/>
    </row>
    <row r="1086" spans="1:39" ht="18" x14ac:dyDescent="0.45">
      <c r="A1086" s="143"/>
      <c r="B1086" s="252"/>
      <c r="C1086" s="119"/>
      <c r="F1086" s="119"/>
      <c r="I1086" s="119"/>
      <c r="L1086" s="119"/>
      <c r="O1086" s="119"/>
      <c r="R1086" s="119"/>
      <c r="U1086" s="119"/>
      <c r="X1086" s="119"/>
      <c r="AA1086" s="119"/>
      <c r="AD1086" s="119"/>
      <c r="AM1086"/>
    </row>
    <row r="1087" spans="1:39" ht="18" x14ac:dyDescent="0.45">
      <c r="A1087" s="143"/>
      <c r="B1087" s="252"/>
      <c r="C1087" s="119"/>
      <c r="F1087" s="119"/>
      <c r="I1087" s="119"/>
      <c r="L1087" s="119"/>
      <c r="O1087" s="119"/>
      <c r="R1087" s="119"/>
      <c r="U1087" s="119"/>
      <c r="X1087" s="119"/>
      <c r="AA1087" s="119"/>
      <c r="AD1087" s="119"/>
      <c r="AM1087"/>
    </row>
    <row r="1088" spans="1:39" ht="18" x14ac:dyDescent="0.45">
      <c r="A1088" s="143"/>
      <c r="B1088" s="252"/>
      <c r="C1088" s="119"/>
      <c r="F1088" s="119"/>
      <c r="I1088" s="119"/>
      <c r="L1088" s="119"/>
      <c r="O1088" s="119"/>
      <c r="R1088" s="119"/>
      <c r="U1088" s="119"/>
      <c r="X1088" s="119"/>
      <c r="AA1088" s="119"/>
      <c r="AD1088" s="119"/>
      <c r="AM1088"/>
    </row>
    <row r="1089" spans="1:39" ht="18" x14ac:dyDescent="0.45">
      <c r="A1089" s="143"/>
      <c r="B1089" s="252"/>
      <c r="C1089" s="119"/>
      <c r="F1089" s="119"/>
      <c r="I1089" s="119"/>
      <c r="L1089" s="119"/>
      <c r="O1089" s="119"/>
      <c r="R1089" s="119"/>
      <c r="U1089" s="119"/>
      <c r="X1089" s="119"/>
      <c r="AA1089" s="119"/>
      <c r="AD1089" s="119"/>
      <c r="AM1089"/>
    </row>
    <row r="1090" spans="1:39" ht="18" x14ac:dyDescent="0.45">
      <c r="A1090" s="143"/>
      <c r="B1090" s="252"/>
      <c r="C1090" s="119"/>
      <c r="F1090" s="119"/>
      <c r="I1090" s="119"/>
      <c r="L1090" s="119"/>
      <c r="O1090" s="119"/>
      <c r="R1090" s="119"/>
      <c r="U1090" s="119"/>
      <c r="X1090" s="119"/>
      <c r="AA1090" s="119"/>
      <c r="AD1090" s="119"/>
      <c r="AM1090"/>
    </row>
    <row r="1091" spans="1:39" ht="18" x14ac:dyDescent="0.45">
      <c r="A1091" s="143"/>
      <c r="B1091" s="252"/>
      <c r="C1091" s="119"/>
      <c r="F1091" s="119"/>
      <c r="I1091" s="119"/>
      <c r="L1091" s="119"/>
      <c r="O1091" s="119"/>
      <c r="R1091" s="119"/>
      <c r="U1091" s="119"/>
      <c r="X1091" s="119"/>
      <c r="AA1091" s="119"/>
      <c r="AD1091" s="119"/>
      <c r="AM1091"/>
    </row>
    <row r="1092" spans="1:39" ht="18" x14ac:dyDescent="0.45">
      <c r="A1092" s="143"/>
      <c r="B1092" s="252"/>
      <c r="C1092" s="119"/>
      <c r="F1092" s="119"/>
      <c r="I1092" s="119"/>
      <c r="L1092" s="119"/>
      <c r="O1092" s="119"/>
      <c r="R1092" s="119"/>
      <c r="U1092" s="119"/>
      <c r="X1092" s="119"/>
      <c r="AA1092" s="119"/>
      <c r="AD1092" s="119"/>
      <c r="AM1092"/>
    </row>
    <row r="1093" spans="1:39" ht="18" x14ac:dyDescent="0.45">
      <c r="A1093" s="143"/>
      <c r="B1093" s="252"/>
      <c r="C1093" s="119"/>
      <c r="F1093" s="119"/>
      <c r="I1093" s="119"/>
      <c r="L1093" s="119"/>
      <c r="O1093" s="119"/>
      <c r="R1093" s="119"/>
      <c r="U1093" s="119"/>
      <c r="X1093" s="119"/>
      <c r="AA1093" s="119"/>
      <c r="AD1093" s="119"/>
      <c r="AM1093"/>
    </row>
    <row r="1094" spans="1:39" ht="18" x14ac:dyDescent="0.45">
      <c r="A1094" s="143"/>
      <c r="B1094" s="252"/>
      <c r="C1094" s="119"/>
      <c r="F1094" s="119"/>
      <c r="I1094" s="119"/>
      <c r="L1094" s="119"/>
      <c r="O1094" s="119"/>
      <c r="R1094" s="119"/>
      <c r="U1094" s="119"/>
      <c r="X1094" s="119"/>
      <c r="AA1094" s="119"/>
      <c r="AD1094" s="119"/>
      <c r="AM1094"/>
    </row>
    <row r="1095" spans="1:39" ht="18" x14ac:dyDescent="0.45">
      <c r="A1095" s="143"/>
      <c r="B1095" s="252"/>
      <c r="C1095" s="119"/>
      <c r="F1095" s="119"/>
      <c r="I1095" s="119"/>
      <c r="L1095" s="119"/>
      <c r="O1095" s="119"/>
      <c r="R1095" s="119"/>
      <c r="U1095" s="119"/>
      <c r="X1095" s="119"/>
      <c r="AA1095" s="119"/>
      <c r="AD1095" s="119"/>
      <c r="AM1095"/>
    </row>
    <row r="1096" spans="1:39" ht="18" x14ac:dyDescent="0.45">
      <c r="A1096" s="143"/>
      <c r="B1096" s="252"/>
      <c r="C1096" s="119"/>
      <c r="F1096" s="119"/>
      <c r="I1096" s="119"/>
      <c r="L1096" s="119"/>
      <c r="O1096" s="119"/>
      <c r="R1096" s="119"/>
      <c r="U1096" s="119"/>
      <c r="X1096" s="119"/>
      <c r="AA1096" s="119"/>
      <c r="AD1096" s="119"/>
      <c r="AM1096"/>
    </row>
    <row r="1097" spans="1:39" ht="18" x14ac:dyDescent="0.45">
      <c r="A1097" s="143"/>
      <c r="B1097" s="252"/>
      <c r="C1097" s="119"/>
      <c r="F1097" s="119"/>
      <c r="I1097" s="119"/>
      <c r="L1097" s="119"/>
      <c r="O1097" s="119"/>
      <c r="R1097" s="119"/>
      <c r="U1097" s="119"/>
      <c r="X1097" s="119"/>
      <c r="AA1097" s="119"/>
      <c r="AD1097" s="119"/>
      <c r="AM1097"/>
    </row>
    <row r="1098" spans="1:39" ht="18" x14ac:dyDescent="0.45">
      <c r="A1098" s="143"/>
      <c r="B1098" s="252"/>
      <c r="C1098" s="119"/>
      <c r="F1098" s="119"/>
      <c r="I1098" s="119"/>
      <c r="L1098" s="119"/>
      <c r="O1098" s="119"/>
      <c r="R1098" s="119"/>
      <c r="U1098" s="119"/>
      <c r="X1098" s="119"/>
      <c r="AA1098" s="119"/>
      <c r="AD1098" s="119"/>
      <c r="AM1098"/>
    </row>
    <row r="1099" spans="1:39" ht="18" x14ac:dyDescent="0.45">
      <c r="A1099" s="143"/>
      <c r="B1099" s="252"/>
      <c r="C1099" s="119"/>
      <c r="F1099" s="119"/>
      <c r="I1099" s="119"/>
      <c r="L1099" s="119"/>
      <c r="O1099" s="119"/>
      <c r="R1099" s="119"/>
      <c r="U1099" s="119"/>
      <c r="X1099" s="119"/>
      <c r="AA1099" s="119"/>
      <c r="AD1099" s="119"/>
      <c r="AM1099"/>
    </row>
    <row r="1100" spans="1:39" ht="18" x14ac:dyDescent="0.45">
      <c r="A1100" s="143"/>
      <c r="B1100" s="252"/>
      <c r="C1100" s="119"/>
      <c r="F1100" s="119"/>
      <c r="I1100" s="119"/>
      <c r="L1100" s="119"/>
      <c r="O1100" s="119"/>
      <c r="R1100" s="119"/>
      <c r="U1100" s="119"/>
      <c r="X1100" s="119"/>
      <c r="AA1100" s="119"/>
      <c r="AD1100" s="119"/>
      <c r="AM1100"/>
    </row>
    <row r="1101" spans="1:39" ht="18" x14ac:dyDescent="0.45">
      <c r="A1101" s="143"/>
      <c r="B1101" s="252"/>
      <c r="C1101" s="119"/>
      <c r="F1101" s="119"/>
      <c r="I1101" s="119"/>
      <c r="L1101" s="119"/>
      <c r="O1101" s="119"/>
      <c r="R1101" s="119"/>
      <c r="U1101" s="119"/>
      <c r="X1101" s="119"/>
      <c r="AA1101" s="119"/>
      <c r="AD1101" s="119"/>
      <c r="AM1101"/>
    </row>
    <row r="1102" spans="1:39" ht="18" x14ac:dyDescent="0.45">
      <c r="A1102" s="143"/>
      <c r="B1102" s="252"/>
      <c r="C1102" s="119"/>
      <c r="F1102" s="119"/>
      <c r="I1102" s="119"/>
      <c r="L1102" s="119"/>
      <c r="O1102" s="119"/>
      <c r="R1102" s="119"/>
      <c r="U1102" s="119"/>
      <c r="X1102" s="119"/>
      <c r="AA1102" s="119"/>
      <c r="AD1102" s="119"/>
      <c r="AM1102"/>
    </row>
    <row r="1103" spans="1:39" ht="18" x14ac:dyDescent="0.45">
      <c r="A1103" s="143"/>
      <c r="B1103" s="252"/>
      <c r="C1103" s="119"/>
      <c r="F1103" s="119"/>
      <c r="I1103" s="119"/>
      <c r="L1103" s="119"/>
      <c r="O1103" s="119"/>
      <c r="R1103" s="119"/>
      <c r="U1103" s="119"/>
      <c r="X1103" s="119"/>
      <c r="AA1103" s="119"/>
      <c r="AD1103" s="119"/>
      <c r="AM1103"/>
    </row>
    <row r="1104" spans="1:39" ht="18" x14ac:dyDescent="0.45">
      <c r="A1104" s="143"/>
      <c r="B1104" s="252"/>
      <c r="C1104" s="119"/>
      <c r="F1104" s="119"/>
      <c r="I1104" s="119"/>
      <c r="L1104" s="119"/>
      <c r="O1104" s="119"/>
      <c r="R1104" s="119"/>
      <c r="U1104" s="119"/>
      <c r="X1104" s="119"/>
      <c r="AA1104" s="119"/>
      <c r="AD1104" s="119"/>
      <c r="AM1104"/>
    </row>
    <row r="1105" spans="1:39" ht="18" x14ac:dyDescent="0.45">
      <c r="A1105" s="143"/>
      <c r="B1105" s="252"/>
      <c r="C1105" s="119"/>
      <c r="F1105" s="119"/>
      <c r="I1105" s="119"/>
      <c r="L1105" s="119"/>
      <c r="O1105" s="119"/>
      <c r="R1105" s="119"/>
      <c r="U1105" s="119"/>
      <c r="X1105" s="119"/>
      <c r="AA1105" s="119"/>
      <c r="AD1105" s="119"/>
      <c r="AM1105"/>
    </row>
    <row r="1106" spans="1:39" ht="18" x14ac:dyDescent="0.45">
      <c r="A1106" s="143"/>
      <c r="B1106" s="252"/>
      <c r="C1106" s="119"/>
      <c r="F1106" s="119"/>
      <c r="I1106" s="119"/>
      <c r="L1106" s="119"/>
      <c r="O1106" s="119"/>
      <c r="R1106" s="119"/>
      <c r="U1106" s="119"/>
      <c r="X1106" s="119"/>
      <c r="AA1106" s="119"/>
      <c r="AD1106" s="119"/>
      <c r="AM1106"/>
    </row>
    <row r="1107" spans="1:39" ht="18" x14ac:dyDescent="0.45">
      <c r="A1107" s="143"/>
      <c r="B1107" s="252"/>
      <c r="C1107" s="119"/>
      <c r="F1107" s="119"/>
      <c r="I1107" s="119"/>
      <c r="L1107" s="119"/>
      <c r="O1107" s="119"/>
      <c r="R1107" s="119"/>
      <c r="U1107" s="119"/>
      <c r="X1107" s="119"/>
      <c r="AA1107" s="119"/>
      <c r="AD1107" s="119"/>
      <c r="AM1107"/>
    </row>
    <row r="1108" spans="1:39" ht="18" x14ac:dyDescent="0.45">
      <c r="A1108" s="143"/>
      <c r="B1108" s="252"/>
      <c r="C1108" s="119"/>
      <c r="F1108" s="119"/>
      <c r="I1108" s="119"/>
      <c r="L1108" s="119"/>
      <c r="O1108" s="119"/>
      <c r="R1108" s="119"/>
      <c r="U1108" s="119"/>
      <c r="X1108" s="119"/>
      <c r="AA1108" s="119"/>
      <c r="AD1108" s="119"/>
      <c r="AM1108"/>
    </row>
    <row r="1109" spans="1:39" ht="18" x14ac:dyDescent="0.45">
      <c r="A1109" s="143"/>
      <c r="B1109" s="252"/>
      <c r="C1109" s="119"/>
      <c r="F1109" s="119"/>
      <c r="I1109" s="119"/>
      <c r="L1109" s="119"/>
      <c r="O1109" s="119"/>
      <c r="R1109" s="119"/>
      <c r="U1109" s="119"/>
      <c r="X1109" s="119"/>
      <c r="AA1109" s="119"/>
      <c r="AD1109" s="119"/>
      <c r="AM1109"/>
    </row>
    <row r="1110" spans="1:39" ht="18" x14ac:dyDescent="0.45">
      <c r="A1110" s="143"/>
      <c r="B1110" s="252"/>
      <c r="C1110" s="119"/>
      <c r="F1110" s="119"/>
      <c r="I1110" s="119"/>
      <c r="L1110" s="119"/>
      <c r="O1110" s="119"/>
      <c r="R1110" s="119"/>
      <c r="U1110" s="119"/>
      <c r="X1110" s="119"/>
      <c r="AA1110" s="119"/>
      <c r="AD1110" s="119"/>
      <c r="AM1110"/>
    </row>
    <row r="1111" spans="1:39" ht="18" x14ac:dyDescent="0.45">
      <c r="A1111" s="143"/>
      <c r="B1111" s="252"/>
      <c r="C1111" s="119"/>
      <c r="F1111" s="119"/>
      <c r="I1111" s="119"/>
      <c r="L1111" s="119"/>
      <c r="O1111" s="119"/>
      <c r="R1111" s="119"/>
      <c r="U1111" s="119"/>
      <c r="X1111" s="119"/>
      <c r="AA1111" s="119"/>
      <c r="AD1111" s="119"/>
      <c r="AM1111"/>
    </row>
    <row r="1112" spans="1:39" ht="18" x14ac:dyDescent="0.45">
      <c r="A1112" s="143"/>
      <c r="B1112" s="252"/>
      <c r="C1112" s="119"/>
      <c r="F1112" s="119"/>
      <c r="I1112" s="119"/>
      <c r="L1112" s="119"/>
      <c r="O1112" s="119"/>
      <c r="R1112" s="119"/>
      <c r="U1112" s="119"/>
      <c r="X1112" s="119"/>
      <c r="AA1112" s="119"/>
      <c r="AD1112" s="119"/>
      <c r="AM1112"/>
    </row>
    <row r="1113" spans="1:39" ht="18" x14ac:dyDescent="0.45">
      <c r="A1113" s="143"/>
      <c r="B1113" s="252"/>
      <c r="C1113" s="119"/>
      <c r="F1113" s="119"/>
      <c r="I1113" s="119"/>
      <c r="L1113" s="119"/>
      <c r="O1113" s="119"/>
      <c r="R1113" s="119"/>
      <c r="U1113" s="119"/>
      <c r="X1113" s="119"/>
      <c r="AA1113" s="119"/>
      <c r="AD1113" s="119"/>
      <c r="AM1113"/>
    </row>
    <row r="1114" spans="1:39" ht="18" x14ac:dyDescent="0.45">
      <c r="A1114" s="143"/>
      <c r="B1114" s="252"/>
      <c r="C1114" s="119"/>
      <c r="F1114" s="119"/>
      <c r="I1114" s="119"/>
      <c r="L1114" s="119"/>
      <c r="O1114" s="119"/>
      <c r="R1114" s="119"/>
      <c r="U1114" s="119"/>
      <c r="X1114" s="119"/>
      <c r="AA1114" s="119"/>
      <c r="AD1114" s="119"/>
      <c r="AM1114"/>
    </row>
    <row r="1115" spans="1:39" ht="18" x14ac:dyDescent="0.45">
      <c r="A1115" s="143"/>
      <c r="B1115" s="252"/>
      <c r="C1115" s="119"/>
      <c r="F1115" s="119"/>
      <c r="I1115" s="119"/>
      <c r="L1115" s="119"/>
      <c r="O1115" s="119"/>
      <c r="R1115" s="119"/>
      <c r="U1115" s="119"/>
      <c r="X1115" s="119"/>
      <c r="AA1115" s="119"/>
      <c r="AD1115" s="119"/>
      <c r="AM1115"/>
    </row>
    <row r="1116" spans="1:39" ht="18" x14ac:dyDescent="0.45">
      <c r="A1116" s="143"/>
      <c r="B1116" s="252"/>
      <c r="C1116" s="119"/>
      <c r="F1116" s="119"/>
      <c r="I1116" s="119"/>
      <c r="L1116" s="119"/>
      <c r="O1116" s="119"/>
      <c r="R1116" s="119"/>
      <c r="U1116" s="119"/>
      <c r="X1116" s="119"/>
      <c r="AA1116" s="119"/>
      <c r="AD1116" s="119"/>
      <c r="AM1116"/>
    </row>
    <row r="1117" spans="1:39" ht="18" x14ac:dyDescent="0.45">
      <c r="A1117" s="143"/>
      <c r="B1117" s="252"/>
      <c r="C1117" s="119"/>
      <c r="F1117" s="119"/>
      <c r="I1117" s="119"/>
      <c r="L1117" s="119"/>
      <c r="O1117" s="119"/>
      <c r="R1117" s="119"/>
      <c r="U1117" s="119"/>
      <c r="X1117" s="119"/>
      <c r="AA1117" s="119"/>
      <c r="AD1117" s="119"/>
      <c r="AM1117"/>
    </row>
    <row r="1118" spans="1:39" ht="18" x14ac:dyDescent="0.45">
      <c r="A1118" s="143"/>
      <c r="B1118" s="252"/>
      <c r="C1118" s="119"/>
      <c r="F1118" s="119"/>
      <c r="I1118" s="119"/>
      <c r="L1118" s="119"/>
      <c r="O1118" s="119"/>
      <c r="R1118" s="119"/>
      <c r="U1118" s="119"/>
      <c r="X1118" s="119"/>
      <c r="AA1118" s="119"/>
      <c r="AD1118" s="119"/>
      <c r="AM1118"/>
    </row>
    <row r="1119" spans="1:39" ht="18" x14ac:dyDescent="0.45">
      <c r="A1119" s="143"/>
      <c r="B1119" s="252"/>
      <c r="C1119" s="119"/>
      <c r="F1119" s="119"/>
      <c r="I1119" s="119"/>
      <c r="L1119" s="119"/>
      <c r="O1119" s="119"/>
      <c r="R1119" s="119"/>
      <c r="U1119" s="119"/>
      <c r="X1119" s="119"/>
      <c r="AA1119" s="119"/>
      <c r="AD1119" s="119"/>
      <c r="AM1119"/>
    </row>
    <row r="1120" spans="1:39" x14ac:dyDescent="0.45">
      <c r="A1120" s="143"/>
      <c r="B1120" s="252"/>
      <c r="C1120" s="119"/>
      <c r="F1120" s="119"/>
      <c r="I1120" s="119"/>
      <c r="L1120" s="119"/>
      <c r="O1120" s="119"/>
      <c r="R1120" s="119"/>
      <c r="U1120" s="119"/>
      <c r="X1120" s="119"/>
      <c r="AA1120" s="119"/>
      <c r="AD1120" s="119"/>
    </row>
  </sheetData>
  <phoneticPr fontId="2"/>
  <pageMargins left="0.70866141732283472" right="0.70866141732283472" top="0.74803149606299213" bottom="0.74803149606299213" header="0.31496062992125984" footer="0.31496062992125984"/>
  <pageSetup paperSize="8" scale="50" fitToHeight="0" orientation="landscape" r:id="rId1"/>
  <rowBreaks count="2" manualBreakCount="2">
    <brk id="47" max="31" man="1"/>
    <brk id="111" max="3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C4AF-CA8E-4D95-AC8C-D90CC17E92D0}">
  <sheetPr codeName="Sheet10">
    <tabColor rgb="FFFFFF00"/>
  </sheetPr>
  <dimension ref="A1:H37"/>
  <sheetViews>
    <sheetView view="pageBreakPreview" zoomScaleNormal="100" zoomScaleSheetLayoutView="100" workbookViewId="0">
      <selection activeCell="B37" sqref="B2:B37"/>
    </sheetView>
  </sheetViews>
  <sheetFormatPr defaultRowHeight="18" x14ac:dyDescent="0.45"/>
  <cols>
    <col min="1" max="1" width="3.59765625" bestFit="1" customWidth="1"/>
    <col min="2" max="2" width="21.19921875" bestFit="1" customWidth="1"/>
    <col min="3" max="3" width="3.3984375" style="1" bestFit="1" customWidth="1"/>
    <col min="4" max="4" width="12.3984375" style="1" customWidth="1"/>
    <col min="5" max="5" width="8.69921875" style="1"/>
    <col min="6" max="6" width="6.09765625" bestFit="1" customWidth="1"/>
    <col min="7" max="7" width="14.09765625" bestFit="1" customWidth="1"/>
    <col min="8" max="8" width="11.59765625" bestFit="1" customWidth="1"/>
  </cols>
  <sheetData>
    <row r="1" spans="1:8" s="1" customFormat="1" x14ac:dyDescent="0.45">
      <c r="A1" s="5"/>
      <c r="B1" s="5" t="s">
        <v>0</v>
      </c>
      <c r="C1" s="5"/>
      <c r="D1" s="5" t="s">
        <v>1</v>
      </c>
      <c r="E1" s="5" t="s">
        <v>2</v>
      </c>
      <c r="F1" s="5" t="s">
        <v>3</v>
      </c>
      <c r="G1" s="5" t="s">
        <v>4</v>
      </c>
      <c r="H1" s="5" t="s">
        <v>5</v>
      </c>
    </row>
    <row r="2" spans="1:8" x14ac:dyDescent="0.45">
      <c r="A2" s="3">
        <f t="shared" ref="A2:A37" si="0">ROW()-1</f>
        <v>1</v>
      </c>
      <c r="B2" s="3" t="s">
        <v>6</v>
      </c>
      <c r="C2" s="2" t="s">
        <v>7</v>
      </c>
      <c r="D2" s="2"/>
      <c r="E2" s="2"/>
      <c r="F2" s="10">
        <v>170</v>
      </c>
      <c r="G2" s="3">
        <v>52</v>
      </c>
      <c r="H2" s="3">
        <v>84</v>
      </c>
    </row>
    <row r="3" spans="1:8" x14ac:dyDescent="0.45">
      <c r="A3" s="3">
        <f>ROW()-1</f>
        <v>2</v>
      </c>
      <c r="B3" s="3" t="s">
        <v>8</v>
      </c>
      <c r="C3" s="2" t="s">
        <v>9</v>
      </c>
      <c r="D3" s="9" t="s">
        <v>10</v>
      </c>
      <c r="E3" s="2" t="s">
        <v>11</v>
      </c>
      <c r="F3" s="7">
        <v>170</v>
      </c>
      <c r="G3" s="3">
        <v>50</v>
      </c>
      <c r="H3" s="3">
        <v>86</v>
      </c>
    </row>
    <row r="4" spans="1:8" x14ac:dyDescent="0.45">
      <c r="A4" s="3">
        <f t="shared" si="0"/>
        <v>3</v>
      </c>
      <c r="B4" s="3" t="s">
        <v>12</v>
      </c>
      <c r="C4" s="2" t="s">
        <v>9</v>
      </c>
      <c r="D4" s="2" t="s">
        <v>13</v>
      </c>
      <c r="E4" s="2" t="s">
        <v>14</v>
      </c>
      <c r="F4" s="7">
        <v>171</v>
      </c>
      <c r="G4" s="3">
        <v>58</v>
      </c>
      <c r="H4" s="3">
        <v>92</v>
      </c>
    </row>
    <row r="5" spans="1:8" x14ac:dyDescent="0.45">
      <c r="A5" s="3">
        <f t="shared" si="0"/>
        <v>4</v>
      </c>
      <c r="B5" s="3" t="s">
        <v>15</v>
      </c>
      <c r="C5" s="2" t="s">
        <v>9</v>
      </c>
      <c r="D5" s="2" t="s">
        <v>13</v>
      </c>
      <c r="E5" s="2" t="s">
        <v>14</v>
      </c>
      <c r="F5" s="7">
        <v>171</v>
      </c>
      <c r="G5" s="3"/>
      <c r="H5" s="3"/>
    </row>
    <row r="6" spans="1:8" x14ac:dyDescent="0.45">
      <c r="A6" s="3">
        <f t="shared" si="0"/>
        <v>5</v>
      </c>
      <c r="B6" s="3" t="s">
        <v>16</v>
      </c>
      <c r="C6" s="2" t="s">
        <v>7</v>
      </c>
      <c r="D6" s="2" t="s">
        <v>13</v>
      </c>
      <c r="E6" s="2" t="s">
        <v>14</v>
      </c>
      <c r="F6" s="7">
        <v>172</v>
      </c>
      <c r="G6" s="3"/>
      <c r="H6" s="3"/>
    </row>
    <row r="7" spans="1:8" x14ac:dyDescent="0.45">
      <c r="A7" s="3">
        <f t="shared" si="0"/>
        <v>6</v>
      </c>
      <c r="B7" s="3" t="s">
        <v>17</v>
      </c>
      <c r="C7" s="2" t="s">
        <v>7</v>
      </c>
      <c r="D7" s="2" t="s">
        <v>13</v>
      </c>
      <c r="E7" s="2" t="s">
        <v>14</v>
      </c>
      <c r="F7" s="7">
        <v>172</v>
      </c>
      <c r="G7" s="3">
        <v>56</v>
      </c>
      <c r="H7" s="3">
        <v>90</v>
      </c>
    </row>
    <row r="8" spans="1:8" x14ac:dyDescent="0.45">
      <c r="A8" s="3">
        <f t="shared" si="0"/>
        <v>7</v>
      </c>
      <c r="B8" s="7" t="s">
        <v>18</v>
      </c>
      <c r="C8" s="2" t="s">
        <v>19</v>
      </c>
      <c r="D8" s="2" t="s">
        <v>20</v>
      </c>
      <c r="E8" s="2" t="s">
        <v>21</v>
      </c>
      <c r="F8" s="7">
        <v>172</v>
      </c>
      <c r="G8" s="3"/>
      <c r="H8" s="3"/>
    </row>
    <row r="9" spans="1:8" x14ac:dyDescent="0.45">
      <c r="A9" s="3">
        <f t="shared" si="0"/>
        <v>8</v>
      </c>
      <c r="B9" s="3" t="s">
        <v>22</v>
      </c>
      <c r="C9" s="2" t="s">
        <v>19</v>
      </c>
      <c r="D9" s="2" t="s">
        <v>13</v>
      </c>
      <c r="E9" s="2" t="s">
        <v>21</v>
      </c>
      <c r="F9" s="7">
        <v>172</v>
      </c>
      <c r="G9" s="3"/>
      <c r="H9" s="3"/>
    </row>
    <row r="10" spans="1:8" x14ac:dyDescent="0.45">
      <c r="A10" s="3">
        <f t="shared" si="0"/>
        <v>9</v>
      </c>
      <c r="B10" s="7" t="s">
        <v>23</v>
      </c>
      <c r="C10" s="2" t="s">
        <v>19</v>
      </c>
      <c r="D10" s="2" t="s">
        <v>20</v>
      </c>
      <c r="E10" s="2" t="s">
        <v>21</v>
      </c>
      <c r="F10" s="7">
        <v>173</v>
      </c>
      <c r="G10" s="3"/>
      <c r="H10" s="3"/>
    </row>
    <row r="11" spans="1:8" x14ac:dyDescent="0.45">
      <c r="A11" s="3">
        <f t="shared" si="0"/>
        <v>10</v>
      </c>
      <c r="B11" s="7" t="s">
        <v>24</v>
      </c>
      <c r="C11" s="2" t="s">
        <v>19</v>
      </c>
      <c r="D11" s="2" t="s">
        <v>13</v>
      </c>
      <c r="E11" s="2" t="s">
        <v>21</v>
      </c>
      <c r="F11" s="7">
        <v>173</v>
      </c>
      <c r="G11" s="3"/>
      <c r="H11" s="3"/>
    </row>
    <row r="12" spans="1:8" x14ac:dyDescent="0.45">
      <c r="A12" s="3">
        <f t="shared" si="0"/>
        <v>11</v>
      </c>
      <c r="B12" s="3" t="s">
        <v>25</v>
      </c>
      <c r="C12" s="4" t="s">
        <v>26</v>
      </c>
      <c r="D12" s="2" t="s">
        <v>20</v>
      </c>
      <c r="E12" s="2" t="s">
        <v>21</v>
      </c>
      <c r="F12" s="7">
        <v>173</v>
      </c>
      <c r="G12" s="3"/>
      <c r="H12" s="3"/>
    </row>
    <row r="13" spans="1:8" x14ac:dyDescent="0.45">
      <c r="A13" s="3">
        <f t="shared" si="0"/>
        <v>12</v>
      </c>
      <c r="B13" s="3" t="s">
        <v>27</v>
      </c>
      <c r="C13" s="2" t="s">
        <v>9</v>
      </c>
      <c r="D13" s="2" t="s">
        <v>13</v>
      </c>
      <c r="E13" s="2" t="s">
        <v>21</v>
      </c>
      <c r="F13" s="7">
        <v>173</v>
      </c>
      <c r="G13" s="3">
        <v>54</v>
      </c>
      <c r="H13" s="3">
        <v>88</v>
      </c>
    </row>
    <row r="14" spans="1:8" x14ac:dyDescent="0.45">
      <c r="A14" s="3">
        <f t="shared" si="0"/>
        <v>13</v>
      </c>
      <c r="B14" s="3" t="s">
        <v>28</v>
      </c>
      <c r="C14" s="2" t="s">
        <v>29</v>
      </c>
      <c r="D14" s="2" t="s">
        <v>20</v>
      </c>
      <c r="E14" s="2" t="s">
        <v>21</v>
      </c>
      <c r="F14" s="7">
        <v>174</v>
      </c>
      <c r="G14" s="3">
        <v>68</v>
      </c>
      <c r="H14" s="3">
        <v>96</v>
      </c>
    </row>
    <row r="15" spans="1:8" x14ac:dyDescent="0.45">
      <c r="A15" s="3">
        <f t="shared" si="0"/>
        <v>14</v>
      </c>
      <c r="B15" s="3" t="s">
        <v>30</v>
      </c>
      <c r="C15" s="2" t="s">
        <v>29</v>
      </c>
      <c r="D15" s="2" t="s">
        <v>13</v>
      </c>
      <c r="E15" s="2" t="s">
        <v>21</v>
      </c>
      <c r="F15" s="7">
        <v>174</v>
      </c>
      <c r="G15" s="3"/>
      <c r="H15" s="3"/>
    </row>
    <row r="16" spans="1:8" x14ac:dyDescent="0.45">
      <c r="A16" s="3">
        <f t="shared" si="0"/>
        <v>15</v>
      </c>
      <c r="B16" s="3" t="s">
        <v>31</v>
      </c>
      <c r="C16" s="2" t="s">
        <v>19</v>
      </c>
      <c r="D16" s="2" t="s">
        <v>20</v>
      </c>
      <c r="E16" s="2" t="s">
        <v>21</v>
      </c>
      <c r="F16" s="7">
        <v>174</v>
      </c>
      <c r="G16" s="3"/>
      <c r="H16" s="3"/>
    </row>
    <row r="17" spans="1:8" x14ac:dyDescent="0.45">
      <c r="A17" s="3">
        <f t="shared" si="0"/>
        <v>16</v>
      </c>
      <c r="B17" s="3" t="s">
        <v>32</v>
      </c>
      <c r="C17" s="2" t="s">
        <v>19</v>
      </c>
      <c r="D17" s="2" t="s">
        <v>13</v>
      </c>
      <c r="E17" s="2" t="s">
        <v>21</v>
      </c>
      <c r="F17" s="7">
        <v>174</v>
      </c>
      <c r="G17" s="3">
        <v>80</v>
      </c>
      <c r="H17" s="3">
        <v>98</v>
      </c>
    </row>
    <row r="18" spans="1:8" x14ac:dyDescent="0.45">
      <c r="A18" s="3">
        <f t="shared" si="0"/>
        <v>17</v>
      </c>
      <c r="B18" s="3" t="s">
        <v>33</v>
      </c>
      <c r="C18" s="2" t="s">
        <v>19</v>
      </c>
      <c r="D18" s="2" t="s">
        <v>20</v>
      </c>
      <c r="E18" s="2" t="s">
        <v>21</v>
      </c>
      <c r="F18" s="7">
        <v>175</v>
      </c>
      <c r="G18" s="3"/>
      <c r="H18" s="3"/>
    </row>
    <row r="19" spans="1:8" x14ac:dyDescent="0.45">
      <c r="A19" s="3">
        <f t="shared" si="0"/>
        <v>18</v>
      </c>
      <c r="B19" s="3" t="s">
        <v>34</v>
      </c>
      <c r="C19" s="2" t="s">
        <v>19</v>
      </c>
      <c r="D19" s="2" t="s">
        <v>13</v>
      </c>
      <c r="E19" s="2" t="s">
        <v>21</v>
      </c>
      <c r="F19" s="7">
        <v>175</v>
      </c>
      <c r="G19" s="3">
        <v>81</v>
      </c>
      <c r="H19" s="3">
        <v>100</v>
      </c>
    </row>
    <row r="20" spans="1:8" x14ac:dyDescent="0.45">
      <c r="A20" s="3">
        <f t="shared" si="0"/>
        <v>19</v>
      </c>
      <c r="B20" s="3" t="s">
        <v>35</v>
      </c>
      <c r="C20" s="2" t="s">
        <v>29</v>
      </c>
      <c r="D20" s="2" t="s">
        <v>13</v>
      </c>
      <c r="E20" s="2" t="s">
        <v>36</v>
      </c>
      <c r="F20" s="7">
        <v>175</v>
      </c>
      <c r="G20" s="3">
        <v>82</v>
      </c>
      <c r="H20" s="3">
        <v>101</v>
      </c>
    </row>
    <row r="21" spans="1:8" x14ac:dyDescent="0.45">
      <c r="A21" s="3">
        <f t="shared" si="0"/>
        <v>20</v>
      </c>
      <c r="B21" s="7" t="s">
        <v>37</v>
      </c>
      <c r="C21" s="4" t="s">
        <v>26</v>
      </c>
      <c r="D21" s="2" t="s">
        <v>13</v>
      </c>
      <c r="E21" s="2" t="s">
        <v>36</v>
      </c>
      <c r="F21" s="7">
        <v>175</v>
      </c>
      <c r="G21" s="3"/>
      <c r="H21" s="3"/>
    </row>
    <row r="22" spans="1:8" x14ac:dyDescent="0.45">
      <c r="A22" s="3">
        <f t="shared" si="0"/>
        <v>21</v>
      </c>
      <c r="B22" s="3" t="s">
        <v>38</v>
      </c>
      <c r="C22" s="2" t="s">
        <v>29</v>
      </c>
      <c r="D22" s="2" t="s">
        <v>20</v>
      </c>
      <c r="E22" s="2" t="s">
        <v>36</v>
      </c>
      <c r="F22" s="7">
        <v>175</v>
      </c>
      <c r="G22" s="3"/>
      <c r="H22" s="3"/>
    </row>
    <row r="23" spans="1:8" x14ac:dyDescent="0.45">
      <c r="A23" s="3">
        <f t="shared" si="0"/>
        <v>22</v>
      </c>
      <c r="B23" s="7" t="s">
        <v>39</v>
      </c>
      <c r="C23" s="4" t="s">
        <v>26</v>
      </c>
      <c r="D23" s="2" t="s">
        <v>20</v>
      </c>
      <c r="E23" s="2" t="s">
        <v>36</v>
      </c>
      <c r="F23" s="3"/>
      <c r="G23" s="3"/>
      <c r="H23" s="3"/>
    </row>
    <row r="24" spans="1:8" x14ac:dyDescent="0.45">
      <c r="A24" s="3">
        <f t="shared" si="0"/>
        <v>23</v>
      </c>
      <c r="B24" s="7" t="s">
        <v>40</v>
      </c>
      <c r="C24" s="4" t="s">
        <v>41</v>
      </c>
      <c r="D24" s="4" t="s">
        <v>42</v>
      </c>
      <c r="E24" s="2" t="s">
        <v>43</v>
      </c>
      <c r="F24" s="7">
        <v>176</v>
      </c>
      <c r="G24" s="3"/>
      <c r="H24" s="3">
        <v>104</v>
      </c>
    </row>
    <row r="25" spans="1:8" x14ac:dyDescent="0.45">
      <c r="A25" s="3">
        <f t="shared" si="0"/>
        <v>24</v>
      </c>
      <c r="B25" s="7" t="s">
        <v>44</v>
      </c>
      <c r="C25" s="4" t="s">
        <v>41</v>
      </c>
      <c r="D25" s="4" t="s">
        <v>45</v>
      </c>
      <c r="E25" s="2" t="s">
        <v>43</v>
      </c>
      <c r="F25" s="7">
        <v>176</v>
      </c>
      <c r="G25" s="3"/>
      <c r="H25" s="3"/>
    </row>
    <row r="26" spans="1:8" x14ac:dyDescent="0.45">
      <c r="A26" s="3">
        <f t="shared" si="0"/>
        <v>25</v>
      </c>
      <c r="B26" s="3" t="s">
        <v>46</v>
      </c>
      <c r="C26" s="2" t="s">
        <v>9</v>
      </c>
      <c r="D26" s="9" t="s">
        <v>10</v>
      </c>
      <c r="E26" s="2" t="s">
        <v>21</v>
      </c>
      <c r="F26" s="7">
        <v>176</v>
      </c>
      <c r="G26" s="3">
        <v>66</v>
      </c>
      <c r="H26" s="3">
        <v>94</v>
      </c>
    </row>
    <row r="27" spans="1:8" x14ac:dyDescent="0.45">
      <c r="A27" s="3">
        <f t="shared" si="0"/>
        <v>26</v>
      </c>
      <c r="B27" s="3" t="s">
        <v>47</v>
      </c>
      <c r="C27" s="4" t="s">
        <v>26</v>
      </c>
      <c r="D27" s="2" t="s">
        <v>13</v>
      </c>
      <c r="E27" s="2" t="s">
        <v>36</v>
      </c>
      <c r="F27" s="7">
        <v>176</v>
      </c>
      <c r="G27" s="3">
        <v>84</v>
      </c>
      <c r="H27" s="3">
        <v>102</v>
      </c>
    </row>
    <row r="28" spans="1:8" x14ac:dyDescent="0.45">
      <c r="A28" s="3">
        <f t="shared" si="0"/>
        <v>27</v>
      </c>
      <c r="B28" s="3" t="s">
        <v>48</v>
      </c>
      <c r="C28" s="4" t="s">
        <v>26</v>
      </c>
      <c r="D28" s="2" t="s">
        <v>13</v>
      </c>
      <c r="E28" s="2" t="s">
        <v>36</v>
      </c>
      <c r="F28" s="7">
        <v>176</v>
      </c>
      <c r="G28" s="3">
        <v>84</v>
      </c>
      <c r="H28" s="3">
        <v>103</v>
      </c>
    </row>
    <row r="29" spans="1:8" x14ac:dyDescent="0.45">
      <c r="A29" s="3">
        <f t="shared" si="0"/>
        <v>28</v>
      </c>
      <c r="B29" s="3" t="s">
        <v>49</v>
      </c>
      <c r="C29" s="4" t="s">
        <v>26</v>
      </c>
      <c r="D29" s="2" t="s">
        <v>13</v>
      </c>
      <c r="E29" s="2" t="s">
        <v>36</v>
      </c>
      <c r="F29" s="3"/>
      <c r="G29" s="3"/>
      <c r="H29" s="3"/>
    </row>
    <row r="30" spans="1:8" x14ac:dyDescent="0.45">
      <c r="A30" s="3">
        <f t="shared" si="0"/>
        <v>29</v>
      </c>
      <c r="B30" s="7" t="s">
        <v>50</v>
      </c>
      <c r="C30" s="4" t="s">
        <v>41</v>
      </c>
      <c r="D30" s="4" t="s">
        <v>45</v>
      </c>
      <c r="E30" s="2" t="s">
        <v>43</v>
      </c>
      <c r="F30" s="7">
        <v>177</v>
      </c>
      <c r="G30" s="3"/>
      <c r="H30" s="3">
        <v>107</v>
      </c>
    </row>
    <row r="31" spans="1:8" x14ac:dyDescent="0.45">
      <c r="A31" s="3">
        <f t="shared" si="0"/>
        <v>30</v>
      </c>
      <c r="B31" s="3" t="s">
        <v>51</v>
      </c>
      <c r="C31" s="4" t="s">
        <v>52</v>
      </c>
      <c r="D31" s="4" t="s">
        <v>53</v>
      </c>
      <c r="E31" s="2" t="s">
        <v>54</v>
      </c>
      <c r="F31" s="7">
        <v>177</v>
      </c>
      <c r="G31" s="3"/>
      <c r="H31" s="3"/>
    </row>
    <row r="32" spans="1:8" x14ac:dyDescent="0.45">
      <c r="A32" s="3">
        <f t="shared" si="0"/>
        <v>31</v>
      </c>
      <c r="B32" s="7" t="s">
        <v>55</v>
      </c>
      <c r="C32" s="4" t="s">
        <v>52</v>
      </c>
      <c r="D32" s="4" t="s">
        <v>56</v>
      </c>
      <c r="E32" s="2" t="s">
        <v>57</v>
      </c>
      <c r="F32" s="7">
        <v>177</v>
      </c>
      <c r="G32" s="3">
        <v>58</v>
      </c>
      <c r="H32" s="3">
        <v>105</v>
      </c>
    </row>
    <row r="33" spans="1:8" x14ac:dyDescent="0.45">
      <c r="A33" s="3">
        <f t="shared" si="0"/>
        <v>32</v>
      </c>
      <c r="B33" s="7" t="s">
        <v>58</v>
      </c>
      <c r="C33" s="4" t="s">
        <v>52</v>
      </c>
      <c r="D33" s="4" t="s">
        <v>56</v>
      </c>
      <c r="E33" s="2" t="s">
        <v>57</v>
      </c>
      <c r="F33" s="7">
        <v>177</v>
      </c>
      <c r="G33" s="3"/>
      <c r="H33" s="3">
        <v>106</v>
      </c>
    </row>
    <row r="34" spans="1:8" x14ac:dyDescent="0.45">
      <c r="A34" s="3">
        <f t="shared" si="0"/>
        <v>33</v>
      </c>
      <c r="B34" s="7" t="s">
        <v>59</v>
      </c>
      <c r="C34" s="4" t="s">
        <v>52</v>
      </c>
      <c r="D34" s="4" t="s">
        <v>60</v>
      </c>
      <c r="E34" s="2" t="s">
        <v>54</v>
      </c>
      <c r="F34" s="7">
        <v>178</v>
      </c>
      <c r="G34" s="3"/>
      <c r="H34" s="3">
        <v>99</v>
      </c>
    </row>
    <row r="35" spans="1:8" x14ac:dyDescent="0.45">
      <c r="A35" s="3">
        <f t="shared" si="0"/>
        <v>34</v>
      </c>
      <c r="B35" s="7" t="s">
        <v>61</v>
      </c>
      <c r="C35" s="4" t="s">
        <v>52</v>
      </c>
      <c r="D35" s="4" t="s">
        <v>60</v>
      </c>
      <c r="E35" s="2" t="s">
        <v>54</v>
      </c>
      <c r="F35" s="7">
        <v>178</v>
      </c>
      <c r="G35" s="3"/>
      <c r="H35" s="3"/>
    </row>
    <row r="36" spans="1:8" x14ac:dyDescent="0.45">
      <c r="A36" s="3">
        <f t="shared" si="0"/>
        <v>35</v>
      </c>
      <c r="B36" s="7" t="s">
        <v>62</v>
      </c>
      <c r="C36" s="4" t="s">
        <v>52</v>
      </c>
      <c r="D36" s="4" t="s">
        <v>56</v>
      </c>
      <c r="E36" s="2" t="s">
        <v>63</v>
      </c>
      <c r="F36" s="7">
        <v>179</v>
      </c>
      <c r="G36" s="3"/>
      <c r="H36" s="3"/>
    </row>
    <row r="37" spans="1:8" x14ac:dyDescent="0.45">
      <c r="A37" s="3">
        <f t="shared" si="0"/>
        <v>36</v>
      </c>
      <c r="B37" s="7" t="s">
        <v>64</v>
      </c>
      <c r="C37" s="4" t="s">
        <v>52</v>
      </c>
      <c r="D37" s="4" t="s">
        <v>53</v>
      </c>
      <c r="E37" s="2" t="s">
        <v>65</v>
      </c>
      <c r="F37" s="3"/>
      <c r="G37" s="3"/>
      <c r="H37" s="3"/>
    </row>
  </sheetData>
  <autoFilter ref="A1:H37" xr:uid="{C9E9C4AF-CA8E-4D95-AC8C-D90CC17E92D0}"/>
  <phoneticPr fontId="2"/>
  <hyperlinks>
    <hyperlink ref="B24" r:id="rId1" xr:uid="{891F5376-61A3-4987-ACE2-BE113F7D3FCD}"/>
    <hyperlink ref="B25" r:id="rId2" xr:uid="{4AE73EFD-3A8C-46A7-91BC-4714DE902A87}"/>
    <hyperlink ref="B32" r:id="rId3" xr:uid="{316F1457-104C-4837-8FFD-B0D7E2E86CDC}"/>
    <hyperlink ref="B33" r:id="rId4" xr:uid="{8FF00752-4F24-4547-A4C9-B726C1C72789}"/>
    <hyperlink ref="B34" r:id="rId5" xr:uid="{96693EB9-B8AF-45A3-BA63-3827804E6E5A}"/>
    <hyperlink ref="B36" r:id="rId6" xr:uid="{6A52F4FC-9D73-4877-B49C-8A9802EE22EF}"/>
    <hyperlink ref="B37" r:id="rId7" xr:uid="{07E9C2BE-7905-481A-92A7-C6F5F967CC63}"/>
    <hyperlink ref="B35" r:id="rId8" xr:uid="{C192091D-8F5F-42AE-BBB0-7D6744529028}"/>
    <hyperlink ref="B23" r:id="rId9" xr:uid="{3187E5EB-48D5-42F7-8FD0-36146F053356}"/>
    <hyperlink ref="B21" r:id="rId10" xr:uid="{3B45A0F0-CEF4-438F-8C68-32DECE755EBB}"/>
    <hyperlink ref="B8" r:id="rId11" xr:uid="{F23FA609-3B5F-473C-A9FD-23A3669AE390}"/>
    <hyperlink ref="B11" r:id="rId12" xr:uid="{AA767125-33F3-439F-BE00-357A3C5B4444}"/>
    <hyperlink ref="B10" r:id="rId13" xr:uid="{AF0E35FA-96F8-47A2-8F84-C58F1731A359}"/>
    <hyperlink ref="B30" r:id="rId14" xr:uid="{A853937C-33B9-47E8-AC52-FEEE971B9131}"/>
    <hyperlink ref="F2" r:id="rId15" display="https://1drv.ms/b/c/a8f0902f6b5ae388/IQAoZaan3izxTLp1z6a5IfKCAXpdNt5erkYURfdLuxcTBqQ?e=0bGVKq" xr:uid="{B1A64EF0-8DC5-42ED-80B1-FB13104E5C7E}"/>
    <hyperlink ref="F3" r:id="rId16" display="https://1drv.ms/b/c/a8f0902f6b5ae388/IQAoZaan3izxTLp1z6a5IfKCAXpdNt5erkYURfdLuxcTBqQ?e=0bGVKq" xr:uid="{3EFC31FF-1684-4C92-A0E3-8FB16F8B1330}"/>
    <hyperlink ref="F4" r:id="rId17" display="https://1drv.ms/b/c/a8f0902f6b5ae388/IQAoZaan3izxTLp1z6a5IfKCAXpdNt5erkYURfdLuxcTBqQ?e=0bGVKq" xr:uid="{928E1CBD-FA97-4EF0-BAC6-DBB162E1F6EA}"/>
    <hyperlink ref="F5" r:id="rId18" display="https://1drv.ms/b/c/a8f0902f6b5ae388/IQAoZaan3izxTLp1z6a5IfKCAXpdNt5erkYURfdLuxcTBqQ?e=0bGVKq" xr:uid="{3F4981A3-A8F9-46EF-84C9-0DC1530E071D}"/>
    <hyperlink ref="F6" r:id="rId19" display="https://1drv.ms/b/c/a8f0902f6b5ae388/IQAcTj0H3N2mSKfibUFdAd4iAebB_vd9p__mi3BQp-UJeMk?e=xTvrRV" xr:uid="{3E5AC9D0-0B58-4800-9D02-37AB11F8AFB6}"/>
    <hyperlink ref="F7" r:id="rId20" display="https://1drv.ms/b/c/a8f0902f6b5ae388/IQAcTj0H3N2mSKfibUFdAd4iAebB_vd9p__mi3BQp-UJeMk?e=xTvrRV" xr:uid="{FDB10602-7C47-43BB-AE1E-2A97169F28E8}"/>
    <hyperlink ref="F8" r:id="rId21" display="https://1drv.ms/b/c/a8f0902f6b5ae388/IQAcTj0H3N2mSKfibUFdAd4iAebB_vd9p__mi3BQp-UJeMk?e=xTvrRV" xr:uid="{E69F5090-73E8-40E0-BC37-C3DF6FBAFA47}"/>
    <hyperlink ref="F9" r:id="rId22" display="https://1drv.ms/b/c/a8f0902f6b5ae388/IQAcTj0H3N2mSKfibUFdAd4iAebB_vd9p__mi3BQp-UJeMk?e=xTvrRV" xr:uid="{AD5D45C1-94D1-44A8-97F8-A0222E795CC8}"/>
    <hyperlink ref="F10" r:id="rId23" display="https://1drv.ms/b/c/a8f0902f6b5ae388/IQAcTj0H3N2mSKfibUFdAd4iAebB_vd9p__mi3BQp-UJeMk?e=xTvrRV" xr:uid="{351C07FC-380E-45BA-BF36-F078F8ADC9C8}"/>
    <hyperlink ref="F11" r:id="rId24" display="https://1drv.ms/b/c/a8f0902f6b5ae388/IQAcTj0H3N2mSKfibUFdAd4iAebB_vd9p__mi3BQp-UJeMk?e=xTvrRV" xr:uid="{4071CD4A-C7FE-4E17-9DB5-FD70F51132CF}"/>
    <hyperlink ref="F12" r:id="rId25" display="https://1drv.ms/b/c/a8f0902f6b5ae388/IQAcTj0H3N2mSKfibUFdAd4iAebB_vd9p__mi3BQp-UJeMk?e=xTvrRV" xr:uid="{89F666CC-2629-4EFF-A10F-C99506F6ED1D}"/>
    <hyperlink ref="F13" r:id="rId26" display="https://1drv.ms/b/c/a8f0902f6b5ae388/IQAcTj0H3N2mSKfibUFdAd4iAebB_vd9p__mi3BQp-UJeMk?e=xTvrRV" xr:uid="{D88C706A-2BC0-4645-B94D-0605B8D42BFE}"/>
    <hyperlink ref="F14" r:id="rId27" display="https://1drv.ms/b/c/a8f0902f6b5ae388/IQAfww5_u3A6TIF65QQ6J3LQAUcJR8MB1SZih1j5lJtL7aw?e=QaGbe7" xr:uid="{D6488B91-A430-48D6-8C0A-0F5CF8229E4E}"/>
    <hyperlink ref="F15" r:id="rId28" display="https://1drv.ms/b/c/a8f0902f6b5ae388/IQAfww5_u3A6TIF65QQ6J3LQAUcJR8MB1SZih1j5lJtL7aw?e=QaGbe7" xr:uid="{8AD6324D-A332-4FC5-8845-6CE1CEB320DB}"/>
    <hyperlink ref="F16" r:id="rId29" display="https://1drv.ms/b/c/a8f0902f6b5ae388/IQAfww5_u3A6TIF65QQ6J3LQAUcJR8MB1SZih1j5lJtL7aw?e=QaGbe7" xr:uid="{9308D76B-FBA6-4518-8232-76043F6F509F}"/>
    <hyperlink ref="F17" r:id="rId30" display="https://1drv.ms/b/c/a8f0902f6b5ae388/IQAfww5_u3A6TIF65QQ6J3LQAUcJR8MB1SZih1j5lJtL7aw?e=QaGbe7" xr:uid="{E9040D19-40D0-4DB9-BAFB-D5818CC519BE}"/>
    <hyperlink ref="F18" r:id="rId31" display="https://1drv.ms/b/c/a8f0902f6b5ae388/IQAfww5_u3A6TIF65QQ6J3LQAUcJR8MB1SZih1j5lJtL7aw?e=QaGbe7" xr:uid="{AA9EA982-889F-4E64-B0C9-0025FFDAF0AA}"/>
    <hyperlink ref="F19" r:id="rId32" display="https://1drv.ms/b/c/a8f0902f6b5ae388/IQAfww5_u3A6TIF65QQ6J3LQAUcJR8MB1SZih1j5lJtL7aw?e=QaGbe7" xr:uid="{36C81EF7-9802-4066-8FA0-FF01EFD14828}"/>
    <hyperlink ref="F20" r:id="rId33" display="https://1drv.ms/b/c/a8f0902f6b5ae388/IQAfww5_u3A6TIF65QQ6J3LQAUcJR8MB1SZih1j5lJtL7aw?e=QaGbe7" xr:uid="{933DEF2F-8C09-4AB4-8BF9-8E5347BCB962}"/>
    <hyperlink ref="F21" r:id="rId34" display="https://1drv.ms/b/c/a8f0902f6b5ae388/IQAfww5_u3A6TIF65QQ6J3LQAUcJR8MB1SZih1j5lJtL7aw?e=QaGbe7" xr:uid="{300338BF-BE19-4C74-8711-05E9B924CA2F}"/>
    <hyperlink ref="F22" r:id="rId35" display="https://1drv.ms/b/c/a8f0902f6b5ae388/IQAfww5_u3A6TIF65QQ6J3LQAUcJR8MB1SZih1j5lJtL7aw?e=QaGbe7" xr:uid="{E27B0BE2-2A2F-4877-801F-148EBD99C2BE}"/>
    <hyperlink ref="F24" r:id="rId36" display="https://1drv.ms/b/c/a8f0902f6b5ae388/IQB5VMhCWHpGTp2ZrRoF4RjkAe_5rGO2J4lHkPz7UJuR-Ro?e=3M7sSx" xr:uid="{89A931F5-F234-45DD-B6AB-3C06FFCBA968}"/>
    <hyperlink ref="F25" r:id="rId37" display="https://1drv.ms/b/c/a8f0902f6b5ae388/IQB5VMhCWHpGTp2ZrRoF4RjkAe_5rGO2J4lHkPz7UJuR-Ro?e=3M7sSx" xr:uid="{C4DECA99-5B4B-40A0-AEA1-374D3C48A857}"/>
    <hyperlink ref="F26" r:id="rId38" display="https://1drv.ms/b/c/a8f0902f6b5ae388/IQB5VMhCWHpGTp2ZrRoF4RjkAe_5rGO2J4lHkPz7UJuR-Ro?e=3M7sSx" xr:uid="{35C0B288-6CC0-4E4A-A6F7-7CFDC100F215}"/>
    <hyperlink ref="F27" r:id="rId39" display="https://1drv.ms/b/c/a8f0902f6b5ae388/IQB5VMhCWHpGTp2ZrRoF4RjkAe_5rGO2J4lHkPz7UJuR-Ro?e=3M7sSx" xr:uid="{C581C4A0-C045-48BC-9B9F-EB87BB87A35B}"/>
    <hyperlink ref="F28" r:id="rId40" display="https://1drv.ms/b/c/a8f0902f6b5ae388/IQB5VMhCWHpGTp2ZrRoF4RjkAe_5rGO2J4lHkPz7UJuR-Ro?e=3M7sSx" xr:uid="{1A2DFFC1-BAFD-4357-A2BC-0A2CA003FA09}"/>
    <hyperlink ref="F30" r:id="rId41" display="https://1drv.ms/b/c/a8f0902f6b5ae388/IQB5VMhCWHpGTp2ZrRoF4RjkAe_5rGO2J4lHkPz7UJuR-Ro?e=3M7sSx" xr:uid="{4825491D-E22D-458F-83AB-4E32ED521DC3}"/>
    <hyperlink ref="F31" r:id="rId42" display="https://1drv.ms/b/c/a8f0902f6b5ae388/IQB5VMhCWHpGTp2ZrRoF4RjkAe_5rGO2J4lHkPz7UJuR-Ro?e=3M7sSx" xr:uid="{2248A404-A0C0-4F1D-A688-6C3C33540C41}"/>
    <hyperlink ref="F32" r:id="rId43" display="https://1drv.ms/b/c/a8f0902f6b5ae388/IQB5VMhCWHpGTp2ZrRoF4RjkAe_5rGO2J4lHkPz7UJuR-Ro?e=3M7sSx" xr:uid="{D1EA7B64-7F63-41FE-82AE-93EC4DE2A1BA}"/>
    <hyperlink ref="F33" r:id="rId44" display="https://1drv.ms/b/c/a8f0902f6b5ae388/IQB5VMhCWHpGTp2ZrRoF4RjkAe_5rGO2J4lHkPz7UJuR-Ro?e=3M7sSx" xr:uid="{61F3EED8-C7AC-46C3-BA19-13DAF0FF54A3}"/>
    <hyperlink ref="F34" r:id="rId45" display="https://1drv.ms/b/c/a8f0902f6b5ae388/IQB-O4_Db34GTJZJ_TZ9UE1JAbTW8NgI6loTy4t5cciug6g?e=LX1QwN" xr:uid="{8B719B50-7DDD-47D6-B6D1-BF2016BA9639}"/>
    <hyperlink ref="F35" r:id="rId46" display="https://1drv.ms/b/c/a8f0902f6b5ae388/IQB-O4_Db34GTJZJ_TZ9UE1JAbTW8NgI6loTy4t5cciug6g?e=LX1QwN" xr:uid="{C65E3343-717D-41BC-8186-20A24567F7EF}"/>
    <hyperlink ref="F36" r:id="rId47" display="https://1drv.ms/b/c/a8f0902f6b5ae388/IQB-O4_Db34GTJZJ_TZ9UE1JAbTW8NgI6loTy4t5cciug6g?e=LX1QwN" xr:uid="{F827013C-74B9-4AB1-B94E-754C09673A52}"/>
  </hyperlinks>
  <pageMargins left="0.7" right="0.7" top="0.75" bottom="0.75" header="0.3" footer="0.3"/>
  <pageSetup paperSize="9" scale="98" orientation="portrait" r:id="rId4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FD4F-657E-4C67-9BD4-44893B222682}">
  <sheetPr codeName="Sheet11">
    <tabColor rgb="FFFFFF00"/>
  </sheetPr>
  <dimension ref="A1:H37"/>
  <sheetViews>
    <sheetView view="pageBreakPreview" zoomScaleNormal="100" zoomScaleSheetLayoutView="100" workbookViewId="0">
      <selection activeCell="B7" sqref="B7"/>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20.1992187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5"/>
      <c r="B1" s="5" t="s">
        <v>66</v>
      </c>
      <c r="C1" s="5"/>
      <c r="D1" s="5" t="s">
        <v>1</v>
      </c>
      <c r="E1" s="5" t="s">
        <v>2</v>
      </c>
      <c r="F1" s="5" t="s">
        <v>3</v>
      </c>
      <c r="G1" s="5" t="s">
        <v>4</v>
      </c>
      <c r="H1" s="5" t="s">
        <v>5</v>
      </c>
    </row>
    <row r="2" spans="1:8" x14ac:dyDescent="0.45">
      <c r="A2" s="3">
        <f t="shared" ref="A2:A10" si="0">ROW()-1</f>
        <v>1</v>
      </c>
      <c r="B2" s="3" t="s">
        <v>67</v>
      </c>
      <c r="C2" s="2" t="s">
        <v>68</v>
      </c>
      <c r="D2" s="2" t="s">
        <v>69</v>
      </c>
      <c r="E2" s="2" t="s">
        <v>70</v>
      </c>
      <c r="F2" s="7">
        <v>180</v>
      </c>
      <c r="G2" s="3"/>
      <c r="H2" s="3"/>
    </row>
    <row r="3" spans="1:8" x14ac:dyDescent="0.45">
      <c r="A3" s="3">
        <f t="shared" si="0"/>
        <v>2</v>
      </c>
      <c r="B3" s="7" t="s">
        <v>71</v>
      </c>
      <c r="C3" s="2" t="s">
        <v>72</v>
      </c>
      <c r="D3" s="2" t="s">
        <v>69</v>
      </c>
      <c r="E3" s="2" t="s">
        <v>70</v>
      </c>
      <c r="F3" s="7">
        <v>180</v>
      </c>
      <c r="G3" s="3"/>
      <c r="H3" s="3">
        <v>116</v>
      </c>
    </row>
    <row r="4" spans="1:8" x14ac:dyDescent="0.45">
      <c r="A4" s="3">
        <f t="shared" si="0"/>
        <v>3</v>
      </c>
      <c r="B4" s="7" t="s">
        <v>73</v>
      </c>
      <c r="C4" s="2" t="s">
        <v>52</v>
      </c>
      <c r="D4" s="2" t="s">
        <v>74</v>
      </c>
      <c r="E4" s="2" t="s">
        <v>70</v>
      </c>
      <c r="F4" s="7">
        <v>180</v>
      </c>
      <c r="G4" s="3"/>
      <c r="H4" s="3">
        <v>118</v>
      </c>
    </row>
    <row r="5" spans="1:8" x14ac:dyDescent="0.45">
      <c r="A5" s="3">
        <f t="shared" si="0"/>
        <v>4</v>
      </c>
      <c r="B5" s="3" t="s">
        <v>75</v>
      </c>
      <c r="C5" s="2" t="s">
        <v>7</v>
      </c>
      <c r="D5" s="4" t="s">
        <v>76</v>
      </c>
      <c r="E5" s="2" t="s">
        <v>77</v>
      </c>
      <c r="F5" s="7">
        <v>182</v>
      </c>
      <c r="G5" s="3">
        <v>60</v>
      </c>
      <c r="H5" s="3">
        <v>109</v>
      </c>
    </row>
    <row r="6" spans="1:8" x14ac:dyDescent="0.45">
      <c r="A6" s="3">
        <f>ROW()-1</f>
        <v>5</v>
      </c>
      <c r="B6" s="3" t="s">
        <v>78</v>
      </c>
      <c r="C6" s="2" t="s">
        <v>7</v>
      </c>
      <c r="D6" s="4" t="s">
        <v>76</v>
      </c>
      <c r="E6" s="2" t="s">
        <v>79</v>
      </c>
      <c r="F6" s="7">
        <v>182</v>
      </c>
      <c r="G6" s="3">
        <v>62</v>
      </c>
      <c r="H6" s="3">
        <v>110</v>
      </c>
    </row>
    <row r="7" spans="1:8" x14ac:dyDescent="0.45">
      <c r="A7" s="3">
        <f t="shared" si="0"/>
        <v>6</v>
      </c>
      <c r="B7" s="3" t="s">
        <v>80</v>
      </c>
      <c r="C7" s="2" t="s">
        <v>72</v>
      </c>
      <c r="D7" s="2" t="s">
        <v>745</v>
      </c>
      <c r="E7" s="2" t="s">
        <v>81</v>
      </c>
      <c r="F7" s="7">
        <v>183</v>
      </c>
      <c r="G7" s="3">
        <v>72</v>
      </c>
      <c r="H7" s="3"/>
    </row>
    <row r="8" spans="1:8" x14ac:dyDescent="0.45">
      <c r="A8" s="3">
        <f t="shared" si="0"/>
        <v>7</v>
      </c>
      <c r="B8" s="3" t="s">
        <v>82</v>
      </c>
      <c r="C8" s="2" t="s">
        <v>26</v>
      </c>
      <c r="D8" s="2" t="s">
        <v>83</v>
      </c>
      <c r="E8" s="2" t="s">
        <v>77</v>
      </c>
      <c r="F8" s="7">
        <v>183</v>
      </c>
      <c r="G8" s="3"/>
      <c r="H8" s="3">
        <v>114</v>
      </c>
    </row>
    <row r="9" spans="1:8" x14ac:dyDescent="0.45">
      <c r="A9" s="3">
        <f t="shared" si="0"/>
        <v>8</v>
      </c>
      <c r="B9" s="3" t="s">
        <v>84</v>
      </c>
      <c r="C9" s="2" t="s">
        <v>26</v>
      </c>
      <c r="D9" s="2" t="s">
        <v>85</v>
      </c>
      <c r="E9" s="2" t="s">
        <v>77</v>
      </c>
      <c r="F9" s="7">
        <v>183</v>
      </c>
      <c r="G9" s="3">
        <v>70</v>
      </c>
      <c r="H9" s="3">
        <v>112</v>
      </c>
    </row>
    <row r="10" spans="1:8" x14ac:dyDescent="0.45">
      <c r="A10" s="3">
        <f t="shared" si="0"/>
        <v>9</v>
      </c>
      <c r="B10" s="3" t="s">
        <v>86</v>
      </c>
      <c r="C10" s="2" t="s">
        <v>29</v>
      </c>
      <c r="D10" s="2" t="s">
        <v>87</v>
      </c>
      <c r="E10" s="2" t="s">
        <v>70</v>
      </c>
      <c r="F10" s="7">
        <v>183</v>
      </c>
      <c r="G10" s="3">
        <v>74</v>
      </c>
      <c r="H10" s="3">
        <v>108</v>
      </c>
    </row>
    <row r="12" spans="1:8" s="1" customFormat="1" x14ac:dyDescent="0.45">
      <c r="A12" s="6"/>
      <c r="B12" s="6" t="s">
        <v>88</v>
      </c>
      <c r="C12" s="6"/>
      <c r="D12" s="5" t="s">
        <v>1</v>
      </c>
      <c r="E12" s="5" t="s">
        <v>2</v>
      </c>
      <c r="F12" s="6" t="s">
        <v>3</v>
      </c>
      <c r="G12" s="6" t="s">
        <v>4</v>
      </c>
      <c r="H12" s="6" t="s">
        <v>5</v>
      </c>
    </row>
    <row r="13" spans="1:8" x14ac:dyDescent="0.45">
      <c r="A13" s="3">
        <f>ROW()-12</f>
        <v>1</v>
      </c>
      <c r="B13" s="3" t="s">
        <v>89</v>
      </c>
      <c r="C13" s="2" t="s">
        <v>29</v>
      </c>
      <c r="D13" s="2" t="s">
        <v>53</v>
      </c>
      <c r="E13" s="2" t="s">
        <v>90</v>
      </c>
      <c r="F13" s="7">
        <v>185</v>
      </c>
      <c r="G13" s="3">
        <v>64</v>
      </c>
      <c r="H13" s="3">
        <v>120</v>
      </c>
    </row>
    <row r="14" spans="1:8" x14ac:dyDescent="0.45">
      <c r="A14" s="3">
        <f t="shared" ref="A14:A21" si="1">ROW()-12</f>
        <v>2</v>
      </c>
      <c r="B14" s="7" t="s">
        <v>91</v>
      </c>
      <c r="C14" s="2" t="s">
        <v>52</v>
      </c>
      <c r="D14" s="2" t="s">
        <v>53</v>
      </c>
      <c r="E14" s="2" t="s">
        <v>43</v>
      </c>
      <c r="F14" s="7">
        <v>186</v>
      </c>
      <c r="G14" s="3"/>
      <c r="H14" s="3"/>
    </row>
    <row r="15" spans="1:8" x14ac:dyDescent="0.45">
      <c r="A15" s="3">
        <f t="shared" si="1"/>
        <v>3</v>
      </c>
      <c r="B15" s="7" t="s">
        <v>92</v>
      </c>
      <c r="C15" s="2" t="s">
        <v>41</v>
      </c>
      <c r="D15" s="2" t="s">
        <v>53</v>
      </c>
      <c r="E15" s="2" t="s">
        <v>43</v>
      </c>
      <c r="F15" s="7">
        <v>187</v>
      </c>
      <c r="G15" s="3"/>
      <c r="H15" s="3">
        <v>127</v>
      </c>
    </row>
    <row r="16" spans="1:8" x14ac:dyDescent="0.45">
      <c r="A16" s="3">
        <f t="shared" si="1"/>
        <v>4</v>
      </c>
      <c r="B16" s="3" t="s">
        <v>93</v>
      </c>
      <c r="C16" s="2" t="s">
        <v>68</v>
      </c>
      <c r="D16" s="2" t="s">
        <v>94</v>
      </c>
      <c r="E16" s="9" t="s">
        <v>95</v>
      </c>
      <c r="F16" s="7">
        <v>188</v>
      </c>
      <c r="G16" s="3"/>
      <c r="H16" s="3"/>
    </row>
    <row r="17" spans="1:8" x14ac:dyDescent="0.45">
      <c r="A17" s="3">
        <f t="shared" si="1"/>
        <v>5</v>
      </c>
      <c r="B17" s="3" t="s">
        <v>96</v>
      </c>
      <c r="C17" s="2" t="s">
        <v>68</v>
      </c>
      <c r="D17" s="2" t="s">
        <v>97</v>
      </c>
      <c r="E17" s="2" t="s">
        <v>90</v>
      </c>
      <c r="F17" s="7">
        <v>188</v>
      </c>
      <c r="G17" s="3"/>
      <c r="H17" s="3"/>
    </row>
    <row r="18" spans="1:8" x14ac:dyDescent="0.45">
      <c r="A18" s="3">
        <f t="shared" si="1"/>
        <v>6</v>
      </c>
      <c r="B18" s="3" t="s">
        <v>98</v>
      </c>
      <c r="C18" s="2" t="s">
        <v>68</v>
      </c>
      <c r="D18" s="2" t="s">
        <v>53</v>
      </c>
      <c r="E18" s="9" t="s">
        <v>99</v>
      </c>
      <c r="F18" s="7">
        <v>189</v>
      </c>
      <c r="G18" s="3"/>
      <c r="H18" s="3">
        <v>122</v>
      </c>
    </row>
    <row r="19" spans="1:8" x14ac:dyDescent="0.45">
      <c r="A19" s="3">
        <f t="shared" si="1"/>
        <v>7</v>
      </c>
      <c r="B19" s="3" t="s">
        <v>100</v>
      </c>
      <c r="C19" s="2" t="s">
        <v>68</v>
      </c>
      <c r="D19" s="2" t="s">
        <v>53</v>
      </c>
      <c r="E19" s="9" t="s">
        <v>101</v>
      </c>
      <c r="F19" s="7">
        <v>189</v>
      </c>
      <c r="G19" s="3"/>
      <c r="H19" s="3">
        <v>124</v>
      </c>
    </row>
    <row r="20" spans="1:8" x14ac:dyDescent="0.45">
      <c r="A20" s="3">
        <f t="shared" si="1"/>
        <v>8</v>
      </c>
      <c r="B20" s="3" t="s">
        <v>102</v>
      </c>
      <c r="C20" s="2" t="s">
        <v>26</v>
      </c>
      <c r="D20" s="2" t="s">
        <v>94</v>
      </c>
      <c r="E20" s="9" t="s">
        <v>103</v>
      </c>
      <c r="F20" s="7">
        <v>190</v>
      </c>
      <c r="G20" s="3"/>
      <c r="H20" s="3"/>
    </row>
    <row r="21" spans="1:8" x14ac:dyDescent="0.45">
      <c r="A21" s="3">
        <f t="shared" si="1"/>
        <v>9</v>
      </c>
      <c r="B21" s="7" t="s">
        <v>104</v>
      </c>
      <c r="C21" s="2" t="s">
        <v>41</v>
      </c>
      <c r="D21" s="2" t="s">
        <v>60</v>
      </c>
      <c r="E21" s="2" t="s">
        <v>105</v>
      </c>
      <c r="F21" s="7">
        <v>191</v>
      </c>
      <c r="G21" s="3"/>
      <c r="H21" s="3">
        <v>126</v>
      </c>
    </row>
    <row r="23" spans="1:8" s="1" customFormat="1" x14ac:dyDescent="0.45">
      <c r="A23" s="6"/>
      <c r="B23" s="6" t="s">
        <v>106</v>
      </c>
      <c r="C23" s="6"/>
      <c r="D23" s="5" t="s">
        <v>1</v>
      </c>
      <c r="E23" s="5" t="s">
        <v>2</v>
      </c>
      <c r="F23" s="6" t="s">
        <v>3</v>
      </c>
      <c r="G23" s="6" t="s">
        <v>4</v>
      </c>
      <c r="H23" s="6" t="s">
        <v>5</v>
      </c>
    </row>
    <row r="24" spans="1:8" x14ac:dyDescent="0.45">
      <c r="A24" s="3">
        <f>ROW()-23</f>
        <v>1</v>
      </c>
      <c r="B24" s="3" t="s">
        <v>107</v>
      </c>
      <c r="C24" s="2" t="s">
        <v>68</v>
      </c>
      <c r="D24" s="2" t="s">
        <v>108</v>
      </c>
      <c r="E24" s="9" t="s">
        <v>109</v>
      </c>
      <c r="F24" s="7">
        <v>193</v>
      </c>
      <c r="G24" s="3">
        <v>76</v>
      </c>
      <c r="H24" s="3">
        <v>130</v>
      </c>
    </row>
    <row r="25" spans="1:8" x14ac:dyDescent="0.45">
      <c r="A25" s="3">
        <f t="shared" ref="A25:A29" si="2">ROW()-23</f>
        <v>2</v>
      </c>
      <c r="B25" s="3" t="s">
        <v>110</v>
      </c>
      <c r="C25" s="2" t="s">
        <v>68</v>
      </c>
      <c r="D25" s="2" t="s">
        <v>111</v>
      </c>
      <c r="E25" s="9" t="s">
        <v>112</v>
      </c>
      <c r="F25" s="7">
        <v>193</v>
      </c>
      <c r="G25" s="3">
        <v>78</v>
      </c>
      <c r="H25" s="3">
        <v>128</v>
      </c>
    </row>
    <row r="26" spans="1:8" x14ac:dyDescent="0.45">
      <c r="A26" s="3">
        <f t="shared" si="2"/>
        <v>3</v>
      </c>
      <c r="B26" s="7" t="s">
        <v>113</v>
      </c>
      <c r="C26" s="2" t="s">
        <v>52</v>
      </c>
      <c r="D26" s="2" t="s">
        <v>45</v>
      </c>
      <c r="E26" s="2" t="s">
        <v>114</v>
      </c>
      <c r="F26" s="7">
        <v>194</v>
      </c>
      <c r="G26" s="3"/>
      <c r="H26" s="3">
        <v>131</v>
      </c>
    </row>
    <row r="27" spans="1:8" x14ac:dyDescent="0.45">
      <c r="A27" s="3">
        <f t="shared" si="2"/>
        <v>4</v>
      </c>
      <c r="B27" s="7" t="s">
        <v>115</v>
      </c>
      <c r="C27" s="2" t="s">
        <v>41</v>
      </c>
      <c r="D27" s="2" t="s">
        <v>116</v>
      </c>
      <c r="E27" s="2" t="s">
        <v>70</v>
      </c>
      <c r="F27" s="7">
        <v>194</v>
      </c>
      <c r="G27" s="3"/>
      <c r="H27" s="3">
        <v>132</v>
      </c>
    </row>
    <row r="28" spans="1:8" x14ac:dyDescent="0.45">
      <c r="A28" s="3">
        <f t="shared" si="2"/>
        <v>5</v>
      </c>
      <c r="B28" s="7" t="s">
        <v>117</v>
      </c>
      <c r="C28" s="2" t="s">
        <v>52</v>
      </c>
      <c r="D28" s="2" t="s">
        <v>118</v>
      </c>
      <c r="E28" s="2" t="s">
        <v>43</v>
      </c>
      <c r="F28" s="7">
        <v>194</v>
      </c>
      <c r="G28" s="3"/>
      <c r="H28" s="3">
        <v>136</v>
      </c>
    </row>
    <row r="29" spans="1:8" x14ac:dyDescent="0.45">
      <c r="A29" s="3">
        <f t="shared" si="2"/>
        <v>6</v>
      </c>
      <c r="B29" s="7" t="s">
        <v>119</v>
      </c>
      <c r="C29" s="2" t="s">
        <v>52</v>
      </c>
      <c r="D29" s="2" t="s">
        <v>118</v>
      </c>
      <c r="E29" s="2" t="s">
        <v>120</v>
      </c>
      <c r="F29" s="7">
        <v>194</v>
      </c>
      <c r="G29" s="3"/>
      <c r="H29" s="3">
        <v>134</v>
      </c>
    </row>
    <row r="31" spans="1:8" s="1" customFormat="1" x14ac:dyDescent="0.45">
      <c r="A31" s="6"/>
      <c r="B31" s="6" t="s">
        <v>121</v>
      </c>
      <c r="C31" s="6"/>
      <c r="D31" s="5" t="s">
        <v>1</v>
      </c>
      <c r="E31" s="5" t="s">
        <v>2</v>
      </c>
      <c r="F31" s="6" t="s">
        <v>3</v>
      </c>
      <c r="G31" s="6" t="s">
        <v>4</v>
      </c>
      <c r="H31" s="6" t="s">
        <v>5</v>
      </c>
    </row>
    <row r="32" spans="1:8" x14ac:dyDescent="0.45">
      <c r="A32" s="3">
        <f>ROW()-31</f>
        <v>1</v>
      </c>
      <c r="B32" s="7" t="s">
        <v>122</v>
      </c>
      <c r="C32" s="2" t="s">
        <v>41</v>
      </c>
      <c r="D32" s="2" t="s">
        <v>123</v>
      </c>
      <c r="E32" s="2" t="s">
        <v>124</v>
      </c>
      <c r="F32" s="7">
        <v>195</v>
      </c>
      <c r="G32" s="3"/>
      <c r="H32" s="3">
        <v>138</v>
      </c>
    </row>
    <row r="33" spans="1:8" x14ac:dyDescent="0.45">
      <c r="A33" s="3">
        <f t="shared" ref="A33:A37" si="3">ROW()-31</f>
        <v>2</v>
      </c>
      <c r="B33" s="7" t="s">
        <v>125</v>
      </c>
      <c r="C33" s="2" t="s">
        <v>41</v>
      </c>
      <c r="D33" s="2" t="s">
        <v>116</v>
      </c>
      <c r="E33" s="2" t="s">
        <v>124</v>
      </c>
      <c r="F33" s="7">
        <v>196</v>
      </c>
      <c r="G33" s="3"/>
      <c r="H33" s="3"/>
    </row>
    <row r="34" spans="1:8" x14ac:dyDescent="0.45">
      <c r="A34" s="3">
        <f t="shared" si="3"/>
        <v>3</v>
      </c>
      <c r="B34" s="3" t="s">
        <v>126</v>
      </c>
      <c r="C34" s="2" t="s">
        <v>52</v>
      </c>
      <c r="D34" s="2" t="s">
        <v>127</v>
      </c>
      <c r="E34" s="2" t="s">
        <v>70</v>
      </c>
      <c r="F34" s="7">
        <v>196</v>
      </c>
      <c r="G34" s="3"/>
      <c r="H34" s="3">
        <v>140</v>
      </c>
    </row>
    <row r="35" spans="1:8" x14ac:dyDescent="0.45">
      <c r="A35" s="3">
        <f t="shared" si="3"/>
        <v>4</v>
      </c>
      <c r="B35" s="7" t="s">
        <v>128</v>
      </c>
      <c r="C35" s="2" t="s">
        <v>41</v>
      </c>
      <c r="D35" s="2" t="s">
        <v>129</v>
      </c>
      <c r="E35" s="2" t="s">
        <v>70</v>
      </c>
      <c r="F35" s="7">
        <v>197</v>
      </c>
      <c r="G35" s="3"/>
      <c r="H35" s="3">
        <v>142</v>
      </c>
    </row>
    <row r="36" spans="1:8" x14ac:dyDescent="0.45">
      <c r="A36" s="3">
        <f t="shared" si="3"/>
        <v>5</v>
      </c>
      <c r="B36" s="7" t="s">
        <v>130</v>
      </c>
      <c r="C36" s="2" t="s">
        <v>41</v>
      </c>
      <c r="D36" s="2" t="s">
        <v>116</v>
      </c>
      <c r="E36" s="2" t="s">
        <v>70</v>
      </c>
      <c r="F36" s="7">
        <v>198</v>
      </c>
      <c r="G36" s="3"/>
      <c r="H36" s="3">
        <v>144</v>
      </c>
    </row>
    <row r="37" spans="1:8" x14ac:dyDescent="0.45">
      <c r="A37" s="3">
        <f t="shared" si="3"/>
        <v>6</v>
      </c>
      <c r="B37" s="7" t="s">
        <v>131</v>
      </c>
      <c r="C37" s="2" t="s">
        <v>41</v>
      </c>
      <c r="D37" s="2" t="s">
        <v>53</v>
      </c>
      <c r="E37" s="2" t="s">
        <v>132</v>
      </c>
      <c r="F37" s="7">
        <v>199</v>
      </c>
      <c r="G37" s="3"/>
      <c r="H37" s="3"/>
    </row>
  </sheetData>
  <phoneticPr fontId="2"/>
  <hyperlinks>
    <hyperlink ref="B4" r:id="rId1" xr:uid="{34FA1315-F5A8-4277-92AC-1ABE690A4624}"/>
    <hyperlink ref="B3" r:id="rId2" xr:uid="{660574F6-FFCC-4121-B016-65CED9B481C5}"/>
    <hyperlink ref="B15" r:id="rId3" xr:uid="{CF404AC3-C3BE-4011-977C-F1E9EC6B73FB}"/>
    <hyperlink ref="B21" r:id="rId4" xr:uid="{7DD0EFA8-C6E7-4B7F-938A-0B5684E94BA7}"/>
    <hyperlink ref="B14" r:id="rId5" xr:uid="{E2CC8520-02A6-4640-B6D4-775E2FF6884E}"/>
    <hyperlink ref="B27" r:id="rId6" xr:uid="{CEE5C662-2FF7-4784-AF15-8EA5848888BC}"/>
    <hyperlink ref="B26" r:id="rId7" display="半月返" xr:uid="{E7184496-797C-4A3F-94F6-C2C0B025844D}"/>
    <hyperlink ref="B28" r:id="rId8" xr:uid="{D8FDD07A-00FF-4363-AC60-1E8DF0F60F93}"/>
    <hyperlink ref="B29" r:id="rId9" display="三日月返" xr:uid="{A929D5E9-8771-4423-8185-C70F1F4E8535}"/>
    <hyperlink ref="B32" r:id="rId10" xr:uid="{0F9C2BB3-CCF1-4BE1-BFA0-B7AB5B0DC331}"/>
    <hyperlink ref="B33" r:id="rId11" xr:uid="{8581A0BC-7A13-4F87-B039-BE7A1AD6F05C}"/>
    <hyperlink ref="B35" r:id="rId12" xr:uid="{DC71918F-FE73-4D5D-987C-C6563AD36FF5}"/>
    <hyperlink ref="B36" r:id="rId13" xr:uid="{21A3E486-F7C0-4E69-90AE-4E92010007D7}"/>
    <hyperlink ref="B37" r:id="rId14" xr:uid="{55E700EB-1307-4C61-A227-A226EC72AD6D}"/>
    <hyperlink ref="F2" r:id="rId15" display="https://1drv.ms/b/c/a8f0902f6b5ae388/IQASq74qUrQDQJCOEBQqsgg_AabmYrP6fkoVyrcHT_fpp18?e=Tdogrx" xr:uid="{53BCDC4E-1E08-4DC3-A3A9-001B91B9E595}"/>
    <hyperlink ref="F3" r:id="rId16" display="https://1drv.ms/b/c/a8f0902f6b5ae388/IQASq74qUrQDQJCOEBQqsgg_AabmYrP6fkoVyrcHT_fpp18?e=Tdogrx" xr:uid="{5214D304-F3C7-4096-ABAF-CBB8FC953C38}"/>
    <hyperlink ref="F4" r:id="rId17" display="https://1drv.ms/b/c/a8f0902f6b5ae388/IQASq74qUrQDQJCOEBQqsgg_AabmYrP6fkoVyrcHT_fpp18?e=Tdogrx" xr:uid="{39C28266-5BBC-441A-964B-F15C3204A897}"/>
    <hyperlink ref="F5" r:id="rId18" display="https://1drv.ms/b/c/a8f0902f6b5ae388/IQDrF7mqLrahQoA27YjFwudrAaveozxiLuDYvYypS1shgqw?e=x2NtKp" xr:uid="{8028A28F-ED90-410E-9813-113D3D1F1717}"/>
    <hyperlink ref="F6" r:id="rId19" display="https://1drv.ms/b/c/a8f0902f6b5ae388/IQDrF7mqLrahQoA27YjFwudrAaveozxiLuDYvYypS1shgqw?e=x2NtKp" xr:uid="{B070BDC8-6B55-49F5-99CD-048A53447B52}"/>
    <hyperlink ref="F7" r:id="rId20" display="https://1drv.ms/b/c/a8f0902f6b5ae388/IQDrF7mqLrahQoA27YjFwudrAaveozxiLuDYvYypS1shgqw?e=x2NtKp" xr:uid="{DB5DB679-ECC5-4314-BB3D-28FFB012B75A}"/>
    <hyperlink ref="F8" r:id="rId21" display="https://1drv.ms/b/c/a8f0902f6b5ae388/IQDrF7mqLrahQoA27YjFwudrAaveozxiLuDYvYypS1shgqw?e=x2NtKp" xr:uid="{5C71FFDF-F6E7-46B9-9411-2FB904E7E45A}"/>
    <hyperlink ref="F9" r:id="rId22" display="https://1drv.ms/b/c/a8f0902f6b5ae388/IQDrF7mqLrahQoA27YjFwudrAaveozxiLuDYvYypS1shgqw?e=x2NtKp" xr:uid="{A807C579-92C1-4815-9B08-BBA77799EDCF}"/>
    <hyperlink ref="F10" r:id="rId23" display="https://1drv.ms/b/c/a8f0902f6b5ae388/IQDrF7mqLrahQoA27YjFwudrAaveozxiLuDYvYypS1shgqw?e=x2NtKp" xr:uid="{B5D0B078-3BC3-4FF7-B10B-AA9474BAA4A2}"/>
    <hyperlink ref="F13" r:id="rId24" display="https://1drv.ms/b/c/a8f0902f6b5ae388/IQDqc_SUTTrAQbzx_CA8bISpAYPht4Aw3tbxixvmkWZCI_0?e=HrrJOY" xr:uid="{89D0A16A-D11F-456B-A290-83B553B61164}"/>
    <hyperlink ref="F14" r:id="rId25" display="https://1drv.ms/b/c/a8f0902f6b5ae388/IQBmGjEjSFKdQp0hZMrteBPmAeXT7JqGwFU6s7XtSLAhWjk?e=fCaduj" xr:uid="{7837B0CA-B58C-4D76-8414-9C12834625C2}"/>
    <hyperlink ref="F15" r:id="rId26" display="https://1drv.ms/b/c/a8f0902f6b5ae388/IQBmGjEjSFKdQp0hZMrteBPmAeXT7JqGwFU6s7XtSLAhWjk?e=fCaduj" xr:uid="{868B7E5D-C519-4527-9A3D-F51389240B0C}"/>
    <hyperlink ref="F16" r:id="rId27" display="https://1drv.ms/b/c/a8f0902f6b5ae388/IQBxZQtB0wjNRozSCWBvZgsXAXea6oJtQ1zP2Y2VS4JuP8c?e=PVF2iN" xr:uid="{A0225E18-5035-4FB7-8A41-B322FF2B2749}"/>
    <hyperlink ref="F17" r:id="rId28" display="https://1drv.ms/b/c/a8f0902f6b5ae388/IQBxZQtB0wjNRozSCWBvZgsXAXea6oJtQ1zP2Y2VS4JuP8c?e=PVF2iN" xr:uid="{ED986448-6079-4870-AD1E-7BAC41447B60}"/>
    <hyperlink ref="F18" r:id="rId29" display="https://1drv.ms/b/c/a8f0902f6b5ae388/IQBxZQtB0wjNRozSCWBvZgsXAXea6oJtQ1zP2Y2VS4JuP8c?e=PVF2iN" xr:uid="{A3F2F00D-CAA1-42F9-AE1F-100E5A941CCF}"/>
    <hyperlink ref="F19" r:id="rId30" display="https://1drv.ms/b/c/a8f0902f6b5ae388/IQBxZQtB0wjNRozSCWBvZgsXAXea6oJtQ1zP2Y2VS4JuP8c?e=PVF2iN" xr:uid="{EC7A74F9-3090-437A-9110-242852753E6E}"/>
    <hyperlink ref="F20" r:id="rId31" display="https://1drv.ms/b/c/a8f0902f6b5ae388/IQAv9spTGTE-QpiLiY5Ik42tAXnkJIV2TET5z0wR4t9VnSQ?e=S7noyV" xr:uid="{B7FB4249-99D2-4941-8037-9B07DFCDC8C8}"/>
    <hyperlink ref="F21" r:id="rId32" display="https://1drv.ms/b/c/a8f0902f6b5ae388/IQAv9spTGTE-QpiLiY5Ik42tAXnkJIV2TET5z0wR4t9VnSQ?e=S7noyV" xr:uid="{0185B93D-6CBC-4FCF-8436-46667E552AD2}"/>
    <hyperlink ref="F24" r:id="rId33" display="https://1drv.ms/b/c/a8f0902f6b5ae388/IQD3Fx_jdbT6TaYgSu1H2jpnAd6nPowys4WiYV99yWcb65g?e=K5Isei" xr:uid="{8356DB16-9C1D-45BD-B7BC-31D1B7D04D7D}"/>
    <hyperlink ref="F25" r:id="rId34" display="https://1drv.ms/b/c/a8f0902f6b5ae388/IQD3Fx_jdbT6TaYgSu1H2jpnAd6nPowys4WiYV99yWcb65g?e=K5Isei" xr:uid="{BA5AAD76-8B4C-43C7-AB92-7417C1A76E7D}"/>
    <hyperlink ref="F26" r:id="rId35" display="https://1drv.ms/b/c/a8f0902f6b5ae388/IQCPPFW4Wm6cQ7Re38nF-N2JAaoges7gjp6gKheraPX3AMw?e=wDkvdm" xr:uid="{C6C9000E-B338-4F67-9B9B-99A9E2B221DF}"/>
    <hyperlink ref="F27" r:id="rId36" display="https://1drv.ms/b/c/a8f0902f6b5ae388/IQCPPFW4Wm6cQ7Re38nF-N2JAaoges7gjp6gKheraPX3AMw?e=wDkvdm" xr:uid="{99960DCE-7E37-47C1-8137-74BB4DCA6598}"/>
    <hyperlink ref="F28" r:id="rId37" display="https://1drv.ms/b/c/a8f0902f6b5ae388/IQCPPFW4Wm6cQ7Re38nF-N2JAaoges7gjp6gKheraPX3AMw?e=wDkvdm" xr:uid="{89FE2E7C-1437-4493-AAF2-E616BB58D398}"/>
    <hyperlink ref="F29" r:id="rId38" display="https://1drv.ms/b/c/a8f0902f6b5ae388/IQCPPFW4Wm6cQ7Re38nF-N2JAaoges7gjp6gKheraPX3AMw?e=wDkvdm" xr:uid="{9CCDCAE4-DC1B-411A-ADCF-0380E6162811}"/>
    <hyperlink ref="F33" r:id="rId39" display="https://1drv.ms/b/c/a8f0902f6b5ae388/IQAlQPGHVs6HQrUNVe7cLeL6ARQHXHFGLBRMwOv-HTR8mqU?e=xJsNDp" xr:uid="{745813B3-CE2A-4E26-A733-188F236DDAFB}"/>
    <hyperlink ref="F34" r:id="rId40" display="https://1drv.ms/b/c/a8f0902f6b5ae388/IQAlQPGHVs6HQrUNVe7cLeL6ARQHXHFGLBRMwOv-HTR8mqU?e=xJsNDp" xr:uid="{2F3F1DBA-1FF3-474E-AE5C-B0F3F14265C0}"/>
    <hyperlink ref="F35" r:id="rId41" display="https://1drv.ms/b/c/a8f0902f6b5ae388/IQAlQPGHVs6HQrUNVe7cLeL6ARQHXHFGLBRMwOv-HTR8mqU?e=xJsNDp" xr:uid="{ED414C4E-1CF6-4E50-A5DC-A91013E37A23}"/>
    <hyperlink ref="F32" r:id="rId42" display="https://1drv.ms/b/c/a8f0902f6b5ae388/IQCPPFW4Wm6cQ7Re38nF-N2JAaoges7gjp6gKheraPX3AMw?e=Vsc5l1" xr:uid="{BDA1E460-14AB-46FA-B0F4-890D4B88F5B6}"/>
    <hyperlink ref="F36" r:id="rId43" display="https://1drv.ms/b/c/a8f0902f6b5ae388/IQDmUdXfzjnBRZtXzvWtPFMSAYZDmhu8A51Vk3CLUfDMqDk?e=mJM0no" xr:uid="{B1CB8A49-8F13-433F-8425-1A167D5072F0}"/>
    <hyperlink ref="F37" r:id="rId44" display="https://1drv.ms/b/c/a8f0902f6b5ae388/IQDmUdXfzjnBRZtXzvWtPFMSAYZDmhu8A51Vk3CLUfDMqDk?e=mJM0no" xr:uid="{4CFCCC1B-BF16-4256-98FF-A16535E2D8F0}"/>
  </hyperlinks>
  <pageMargins left="0.7" right="0.7" top="0.75" bottom="0.75" header="0.3" footer="0.3"/>
  <pageSetup paperSize="9" scale="89" orientation="portrait" r:id="rId4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EA32-A3B6-4FD2-94EF-6ADD4B38B2E4}">
  <sheetPr codeName="Sheet12"/>
  <dimension ref="A1:H10"/>
  <sheetViews>
    <sheetView view="pageBreakPreview" zoomScaleNormal="100" zoomScaleSheetLayoutView="100" workbookViewId="0">
      <pane ySplit="1" topLeftCell="A2" activePane="bottomLeft" state="frozen"/>
      <selection pane="bottomLeft" activeCell="B2" sqref="B2:B10"/>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5"/>
      <c r="B1" s="5" t="s">
        <v>66</v>
      </c>
      <c r="C1" s="5"/>
      <c r="D1" s="5" t="s">
        <v>1</v>
      </c>
      <c r="E1" s="5" t="s">
        <v>2</v>
      </c>
      <c r="F1" s="5" t="s">
        <v>3</v>
      </c>
      <c r="G1" s="5" t="s">
        <v>4</v>
      </c>
      <c r="H1" s="5" t="s">
        <v>5</v>
      </c>
    </row>
    <row r="2" spans="1:8" x14ac:dyDescent="0.45">
      <c r="A2" s="3">
        <f t="shared" ref="A2:A10" si="0">ROW()-1</f>
        <v>1</v>
      </c>
      <c r="B2" s="3" t="s">
        <v>67</v>
      </c>
      <c r="C2" s="2" t="s">
        <v>68</v>
      </c>
      <c r="D2" s="2" t="s">
        <v>69</v>
      </c>
      <c r="E2" s="2" t="s">
        <v>70</v>
      </c>
      <c r="F2" s="7">
        <v>180</v>
      </c>
      <c r="G2" s="3"/>
      <c r="H2" s="3"/>
    </row>
    <row r="3" spans="1:8" x14ac:dyDescent="0.45">
      <c r="A3" s="3">
        <f t="shared" si="0"/>
        <v>2</v>
      </c>
      <c r="B3" s="7" t="s">
        <v>71</v>
      </c>
      <c r="C3" s="2" t="s">
        <v>72</v>
      </c>
      <c r="D3" s="2" t="s">
        <v>69</v>
      </c>
      <c r="E3" s="2" t="s">
        <v>70</v>
      </c>
      <c r="F3" s="7">
        <v>180</v>
      </c>
      <c r="G3" s="3"/>
      <c r="H3" s="3">
        <v>116</v>
      </c>
    </row>
    <row r="4" spans="1:8" x14ac:dyDescent="0.45">
      <c r="A4" s="3">
        <f t="shared" si="0"/>
        <v>3</v>
      </c>
      <c r="B4" s="7" t="s">
        <v>73</v>
      </c>
      <c r="C4" s="2" t="s">
        <v>52</v>
      </c>
      <c r="D4" s="2" t="s">
        <v>74</v>
      </c>
      <c r="E4" s="2" t="s">
        <v>70</v>
      </c>
      <c r="F4" s="7">
        <v>180</v>
      </c>
      <c r="G4" s="3"/>
      <c r="H4" s="3">
        <v>118</v>
      </c>
    </row>
    <row r="5" spans="1:8" x14ac:dyDescent="0.45">
      <c r="A5" s="3">
        <f t="shared" si="0"/>
        <v>4</v>
      </c>
      <c r="B5" s="3" t="s">
        <v>75</v>
      </c>
      <c r="C5" s="2" t="s">
        <v>7</v>
      </c>
      <c r="D5" s="4" t="s">
        <v>76</v>
      </c>
      <c r="E5" s="2" t="s">
        <v>77</v>
      </c>
      <c r="F5" s="7">
        <v>182</v>
      </c>
      <c r="G5" s="3">
        <v>60</v>
      </c>
      <c r="H5" s="3">
        <v>109</v>
      </c>
    </row>
    <row r="6" spans="1:8" x14ac:dyDescent="0.45">
      <c r="A6" s="3">
        <f>ROW()-1</f>
        <v>5</v>
      </c>
      <c r="B6" s="3" t="s">
        <v>78</v>
      </c>
      <c r="C6" s="2" t="s">
        <v>7</v>
      </c>
      <c r="D6" s="4" t="s">
        <v>76</v>
      </c>
      <c r="E6" s="2" t="s">
        <v>79</v>
      </c>
      <c r="F6" s="7">
        <v>182</v>
      </c>
      <c r="G6" s="3">
        <v>62</v>
      </c>
      <c r="H6" s="3">
        <v>110</v>
      </c>
    </row>
    <row r="7" spans="1:8" x14ac:dyDescent="0.45">
      <c r="A7" s="3">
        <f t="shared" si="0"/>
        <v>6</v>
      </c>
      <c r="B7" s="7" t="s">
        <v>80</v>
      </c>
      <c r="C7" s="2" t="s">
        <v>72</v>
      </c>
      <c r="D7" s="2" t="s">
        <v>430</v>
      </c>
      <c r="E7" s="2" t="s">
        <v>432</v>
      </c>
      <c r="F7" s="7">
        <v>183</v>
      </c>
      <c r="G7" s="3">
        <v>72</v>
      </c>
      <c r="H7" s="3"/>
    </row>
    <row r="8" spans="1:8" x14ac:dyDescent="0.45">
      <c r="A8" s="3">
        <f t="shared" si="0"/>
        <v>7</v>
      </c>
      <c r="B8" s="3" t="s">
        <v>82</v>
      </c>
      <c r="C8" s="2" t="s">
        <v>26</v>
      </c>
      <c r="D8" s="2" t="s">
        <v>83</v>
      </c>
      <c r="E8" s="2" t="s">
        <v>431</v>
      </c>
      <c r="F8" s="7">
        <v>183</v>
      </c>
      <c r="G8" s="3"/>
      <c r="H8" s="3">
        <v>114</v>
      </c>
    </row>
    <row r="9" spans="1:8" x14ac:dyDescent="0.45">
      <c r="A9" s="3">
        <f t="shared" si="0"/>
        <v>8</v>
      </c>
      <c r="B9" s="3" t="s">
        <v>84</v>
      </c>
      <c r="C9" s="2" t="s">
        <v>26</v>
      </c>
      <c r="D9" s="2" t="s">
        <v>85</v>
      </c>
      <c r="E9" s="2" t="s">
        <v>431</v>
      </c>
      <c r="F9" s="7">
        <v>183</v>
      </c>
      <c r="G9" s="3">
        <v>70</v>
      </c>
      <c r="H9" s="3">
        <v>112</v>
      </c>
    </row>
    <row r="10" spans="1:8" x14ac:dyDescent="0.45">
      <c r="A10" s="3">
        <f t="shared" si="0"/>
        <v>9</v>
      </c>
      <c r="B10" s="3" t="s">
        <v>86</v>
      </c>
      <c r="C10" s="2" t="s">
        <v>29</v>
      </c>
      <c r="D10" s="2" t="s">
        <v>87</v>
      </c>
      <c r="E10" s="2" t="s">
        <v>70</v>
      </c>
      <c r="F10" s="7">
        <v>183</v>
      </c>
      <c r="G10" s="3">
        <v>74</v>
      </c>
      <c r="H10" s="3">
        <v>108</v>
      </c>
    </row>
  </sheetData>
  <autoFilter ref="A1:H10" xr:uid="{ADB7EA32-A3B6-4FD2-94EF-6ADD4B38B2E4}"/>
  <phoneticPr fontId="2"/>
  <hyperlinks>
    <hyperlink ref="B4" r:id="rId1" xr:uid="{19FC76FC-6953-4E62-8D51-39F2FB284C83}"/>
    <hyperlink ref="B3" r:id="rId2" xr:uid="{F8FCBB0F-FFBE-4AE2-8D32-9D4E076FB046}"/>
    <hyperlink ref="B7" r:id="rId3" xr:uid="{6619891A-E616-4E8A-8B40-6A1BE673177F}"/>
    <hyperlink ref="F2" r:id="rId4" display="https://1drv.ms/b/c/a8f0902f6b5ae388/IQASq74qUrQDQJCOEBQqsgg_AabmYrP6fkoVyrcHT_fpp18?e=Tdogrx" xr:uid="{9FB738D0-1082-4B08-A94E-E08E4E0ACA7A}"/>
    <hyperlink ref="F3" r:id="rId5" display="https://1drv.ms/b/c/a8f0902f6b5ae388/IQASq74qUrQDQJCOEBQqsgg_AabmYrP6fkoVyrcHT_fpp18?e=Tdogrx" xr:uid="{AFAD928E-994C-46C5-B5BA-1FCBF233EBE1}"/>
    <hyperlink ref="F4" r:id="rId6" display="https://1drv.ms/b/c/a8f0902f6b5ae388/IQASq74qUrQDQJCOEBQqsgg_AabmYrP6fkoVyrcHT_fpp18?e=Tdogrx" xr:uid="{7295729C-122B-4767-861C-51426FA1D9B6}"/>
    <hyperlink ref="F5" r:id="rId7" display="https://1drv.ms/b/c/a8f0902f6b5ae388/IQDrF7mqLrahQoA27YjFwudrAaveozxiLuDYvYypS1shgqw?e=x2NtKp" xr:uid="{E6AD4162-5A71-409A-A289-43E0033642AE}"/>
    <hyperlink ref="F6" r:id="rId8" display="https://1drv.ms/b/c/a8f0902f6b5ae388/IQDrF7mqLrahQoA27YjFwudrAaveozxiLuDYvYypS1shgqw?e=x2NtKp" xr:uid="{6DB0FA3B-0AEC-48D9-848B-9028D711CA41}"/>
    <hyperlink ref="F7" r:id="rId9" display="https://1drv.ms/b/c/a8f0902f6b5ae388/IQDrF7mqLrahQoA27YjFwudrAaveozxiLuDYvYypS1shgqw?e=x2NtKp" xr:uid="{69AF0562-6BDA-4F89-AA8C-1901E6A0C3DF}"/>
    <hyperlink ref="F8" r:id="rId10" display="https://1drv.ms/b/c/a8f0902f6b5ae388/IQDrF7mqLrahQoA27YjFwudrAaveozxiLuDYvYypS1shgqw?e=x2NtKp" xr:uid="{F6156A4A-0D89-473B-B9DA-6EAB74298D96}"/>
    <hyperlink ref="F9" r:id="rId11" display="https://1drv.ms/b/c/a8f0902f6b5ae388/IQDrF7mqLrahQoA27YjFwudrAaveozxiLuDYvYypS1shgqw?e=x2NtKp" xr:uid="{042B77F7-4791-4E51-B3A1-7FD98A909667}"/>
    <hyperlink ref="F10" r:id="rId12" display="https://1drv.ms/b/c/a8f0902f6b5ae388/IQDrF7mqLrahQoA27YjFwudrAaveozxiLuDYvYypS1shgqw?e=x2NtKp" xr:uid="{3072B3A0-F94D-4656-A96F-7B6F5E9F1501}"/>
  </hyperlinks>
  <pageMargins left="0.7" right="0.7" top="0.75" bottom="0.75" header="0.3" footer="0.3"/>
  <pageSetup paperSize="9" orientation="portrait" r:id="rId1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9E7A-E5C1-4EBD-9035-AE07E9B47AB4}">
  <sheetPr codeName="Sheet13"/>
  <dimension ref="A1:H10"/>
  <sheetViews>
    <sheetView view="pageBreakPreview" zoomScaleNormal="100" zoomScaleSheetLayoutView="100" workbookViewId="0">
      <pane ySplit="1" topLeftCell="A2" activePane="bottomLeft" state="frozen"/>
      <selection pane="bottomLeft" activeCell="B2" sqref="B2:B10"/>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19.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88</v>
      </c>
      <c r="C1" s="6"/>
      <c r="D1" s="5" t="s">
        <v>1</v>
      </c>
      <c r="E1" s="5" t="s">
        <v>2</v>
      </c>
      <c r="F1" s="6" t="s">
        <v>3</v>
      </c>
      <c r="G1" s="6" t="s">
        <v>4</v>
      </c>
      <c r="H1" s="6" t="s">
        <v>5</v>
      </c>
    </row>
    <row r="2" spans="1:8" x14ac:dyDescent="0.45">
      <c r="A2" s="3">
        <f t="shared" ref="A2:A10" si="0">ROW()-1</f>
        <v>1</v>
      </c>
      <c r="B2" s="3" t="s">
        <v>89</v>
      </c>
      <c r="C2" s="2" t="s">
        <v>29</v>
      </c>
      <c r="D2" s="2" t="s">
        <v>53</v>
      </c>
      <c r="E2" s="2" t="s">
        <v>90</v>
      </c>
      <c r="F2" s="7">
        <v>185</v>
      </c>
      <c r="G2" s="3">
        <v>64</v>
      </c>
      <c r="H2" s="3">
        <v>120</v>
      </c>
    </row>
    <row r="3" spans="1:8" x14ac:dyDescent="0.45">
      <c r="A3" s="3">
        <f t="shared" si="0"/>
        <v>2</v>
      </c>
      <c r="B3" s="7" t="s">
        <v>91</v>
      </c>
      <c r="C3" s="2" t="s">
        <v>52</v>
      </c>
      <c r="D3" s="2" t="s">
        <v>433</v>
      </c>
      <c r="E3" s="2" t="s">
        <v>43</v>
      </c>
      <c r="F3" s="7">
        <v>186</v>
      </c>
      <c r="G3" s="3"/>
      <c r="H3" s="3"/>
    </row>
    <row r="4" spans="1:8" x14ac:dyDescent="0.45">
      <c r="A4" s="3">
        <f t="shared" si="0"/>
        <v>3</v>
      </c>
      <c r="B4" s="7" t="s">
        <v>92</v>
      </c>
      <c r="C4" s="2" t="s">
        <v>41</v>
      </c>
      <c r="D4" s="2" t="s">
        <v>53</v>
      </c>
      <c r="E4" s="2" t="s">
        <v>43</v>
      </c>
      <c r="F4" s="7">
        <v>187</v>
      </c>
      <c r="G4" s="3"/>
      <c r="H4" s="3">
        <v>127</v>
      </c>
    </row>
    <row r="5" spans="1:8" x14ac:dyDescent="0.45">
      <c r="A5" s="3">
        <f t="shared" si="0"/>
        <v>4</v>
      </c>
      <c r="B5" s="3" t="s">
        <v>93</v>
      </c>
      <c r="C5" s="2" t="s">
        <v>68</v>
      </c>
      <c r="D5" s="2" t="s">
        <v>94</v>
      </c>
      <c r="E5" s="9" t="s">
        <v>95</v>
      </c>
      <c r="F5" s="7">
        <v>188</v>
      </c>
      <c r="G5" s="3"/>
      <c r="H5" s="3"/>
    </row>
    <row r="6" spans="1:8" x14ac:dyDescent="0.45">
      <c r="A6" s="3">
        <f t="shared" si="0"/>
        <v>5</v>
      </c>
      <c r="B6" s="3" t="s">
        <v>96</v>
      </c>
      <c r="C6" s="2" t="s">
        <v>68</v>
      </c>
      <c r="D6" s="2" t="s">
        <v>97</v>
      </c>
      <c r="E6" s="2" t="s">
        <v>90</v>
      </c>
      <c r="F6" s="7">
        <v>188</v>
      </c>
      <c r="G6" s="3"/>
      <c r="H6" s="3"/>
    </row>
    <row r="7" spans="1:8" x14ac:dyDescent="0.45">
      <c r="A7" s="3">
        <f>ROW()-1</f>
        <v>6</v>
      </c>
      <c r="B7" s="3" t="s">
        <v>98</v>
      </c>
      <c r="C7" s="2" t="s">
        <v>68</v>
      </c>
      <c r="D7" s="2" t="s">
        <v>53</v>
      </c>
      <c r="E7" s="9" t="s">
        <v>99</v>
      </c>
      <c r="F7" s="7">
        <v>189</v>
      </c>
      <c r="G7" s="3"/>
      <c r="H7" s="3">
        <v>122</v>
      </c>
    </row>
    <row r="8" spans="1:8" x14ac:dyDescent="0.45">
      <c r="A8" s="3">
        <f t="shared" si="0"/>
        <v>7</v>
      </c>
      <c r="B8" s="3" t="s">
        <v>100</v>
      </c>
      <c r="C8" s="2" t="s">
        <v>68</v>
      </c>
      <c r="D8" s="2" t="s">
        <v>53</v>
      </c>
      <c r="E8" s="9" t="s">
        <v>101</v>
      </c>
      <c r="F8" s="7">
        <v>189</v>
      </c>
      <c r="G8" s="3"/>
      <c r="H8" s="3">
        <v>124</v>
      </c>
    </row>
    <row r="9" spans="1:8" x14ac:dyDescent="0.45">
      <c r="A9" s="3">
        <f t="shared" si="0"/>
        <v>8</v>
      </c>
      <c r="B9" s="3" t="s">
        <v>102</v>
      </c>
      <c r="C9" s="2" t="s">
        <v>26</v>
      </c>
      <c r="D9" s="2" t="s">
        <v>94</v>
      </c>
      <c r="E9" s="9" t="s">
        <v>103</v>
      </c>
      <c r="F9" s="7">
        <v>190</v>
      </c>
      <c r="G9" s="3"/>
      <c r="H9" s="3"/>
    </row>
    <row r="10" spans="1:8" x14ac:dyDescent="0.45">
      <c r="A10" s="3">
        <f t="shared" si="0"/>
        <v>9</v>
      </c>
      <c r="B10" s="7" t="s">
        <v>104</v>
      </c>
      <c r="C10" s="2" t="s">
        <v>41</v>
      </c>
      <c r="D10" s="2" t="s">
        <v>60</v>
      </c>
      <c r="E10" s="2" t="s">
        <v>105</v>
      </c>
      <c r="F10" s="7">
        <v>191</v>
      </c>
      <c r="G10" s="3"/>
      <c r="H10" s="3">
        <v>126</v>
      </c>
    </row>
  </sheetData>
  <autoFilter ref="A1:H10" xr:uid="{1D0E9E7A-E5C1-4EBD-9035-AE07E9B47AB4}"/>
  <phoneticPr fontId="2"/>
  <hyperlinks>
    <hyperlink ref="B4" r:id="rId1" xr:uid="{8A73BDB0-9E0C-4B8A-8498-1EC85B61F451}"/>
    <hyperlink ref="B10" r:id="rId2" xr:uid="{1C30B1B3-8B52-41DE-AFC8-7F14AF25368D}"/>
    <hyperlink ref="B3" r:id="rId3" xr:uid="{7BA88F8D-5E4F-4AD6-A49A-7AD657AFF1F0}"/>
    <hyperlink ref="F2" r:id="rId4" display="https://1drv.ms/b/c/a8f0902f6b5ae388/IQDqc_SUTTrAQbzx_CA8bISpAYPht4Aw3tbxixvmkWZCI_0?e=HrrJOY" xr:uid="{C2072CF3-A558-4EAC-8F5D-88EB23DA694B}"/>
    <hyperlink ref="F3" r:id="rId5" display="https://1drv.ms/b/c/a8f0902f6b5ae388/IQBmGjEjSFKdQp0hZMrteBPmAeXT7JqGwFU6s7XtSLAhWjk?e=fCaduj" xr:uid="{6EC3CF2F-E74A-462D-9917-7DD2F89C59B8}"/>
    <hyperlink ref="F4" r:id="rId6" display="https://1drv.ms/b/c/a8f0902f6b5ae388/IQBmGjEjSFKdQp0hZMrteBPmAeXT7JqGwFU6s7XtSLAhWjk?e=fCaduj" xr:uid="{63A27F28-A32D-4B50-B9AC-F52FEA593673}"/>
    <hyperlink ref="F5" r:id="rId7" display="https://1drv.ms/b/c/a8f0902f6b5ae388/IQBxZQtB0wjNRozSCWBvZgsXAXea6oJtQ1zP2Y2VS4JuP8c?e=PVF2iN" xr:uid="{F1821521-A037-4719-88E2-D785A4577092}"/>
    <hyperlink ref="F6" r:id="rId8" display="https://1drv.ms/b/c/a8f0902f6b5ae388/IQBxZQtB0wjNRozSCWBvZgsXAXea6oJtQ1zP2Y2VS4JuP8c?e=PVF2iN" xr:uid="{8EC0517B-6BD7-4A69-8569-2EF402FBCA95}"/>
    <hyperlink ref="F7" r:id="rId9" display="https://1drv.ms/b/c/a8f0902f6b5ae388/IQBxZQtB0wjNRozSCWBvZgsXAXea6oJtQ1zP2Y2VS4JuP8c?e=PVF2iN" xr:uid="{779316C1-A505-42DB-A0A6-668B65AE5E75}"/>
    <hyperlink ref="F8" r:id="rId10" display="https://1drv.ms/b/c/a8f0902f6b5ae388/IQBxZQtB0wjNRozSCWBvZgsXAXea6oJtQ1zP2Y2VS4JuP8c?e=PVF2iN" xr:uid="{91316497-3749-4C0A-8F79-368B53291C6D}"/>
    <hyperlink ref="F9" r:id="rId11" display="https://1drv.ms/b/c/a8f0902f6b5ae388/IQAv9spTGTE-QpiLiY5Ik42tAXnkJIV2TET5z0wR4t9VnSQ?e=S7noyV" xr:uid="{11184DD4-1B85-43F4-B887-C4CDED9583AC}"/>
    <hyperlink ref="F10" r:id="rId12" display="https://1drv.ms/b/c/a8f0902f6b5ae388/IQAv9spTGTE-QpiLiY5Ik42tAXnkJIV2TET5z0wR4t9VnSQ?e=S7noyV" xr:uid="{3A0B87BA-FF78-4998-9574-3934064C5FFE}"/>
  </hyperlinks>
  <pageMargins left="0.7" right="0.7" top="0.75" bottom="0.75" header="0.3" footer="0.3"/>
  <pageSetup paperSize="9" scale="90" orientation="portrait"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1059A-18DA-4C95-B77F-C80A43928B00}">
  <sheetPr codeName="Sheet14"/>
  <dimension ref="A1:H7"/>
  <sheetViews>
    <sheetView view="pageBreakPreview" zoomScaleNormal="100" zoomScaleSheetLayoutView="100" workbookViewId="0">
      <pane ySplit="1" topLeftCell="A2" activePane="bottomLeft" state="frozen"/>
      <selection pane="bottomLeft" activeCell="B2" sqref="B2:B7"/>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9.1992187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106</v>
      </c>
      <c r="C1" s="6"/>
      <c r="D1" s="5" t="s">
        <v>1</v>
      </c>
      <c r="E1" s="5" t="s">
        <v>2</v>
      </c>
      <c r="F1" s="6" t="s">
        <v>3</v>
      </c>
      <c r="G1" s="6" t="s">
        <v>4</v>
      </c>
      <c r="H1" s="6" t="s">
        <v>5</v>
      </c>
    </row>
    <row r="2" spans="1:8" x14ac:dyDescent="0.45">
      <c r="A2" s="3">
        <f t="shared" ref="A2:A6" si="0">ROW()-1</f>
        <v>1</v>
      </c>
      <c r="B2" s="3" t="s">
        <v>107</v>
      </c>
      <c r="C2" s="2" t="s">
        <v>68</v>
      </c>
      <c r="D2" s="2" t="s">
        <v>108</v>
      </c>
      <c r="E2" s="9" t="s">
        <v>109</v>
      </c>
      <c r="F2" s="7">
        <v>193</v>
      </c>
      <c r="G2" s="3">
        <v>76</v>
      </c>
      <c r="H2" s="3">
        <v>130</v>
      </c>
    </row>
    <row r="3" spans="1:8" x14ac:dyDescent="0.45">
      <c r="A3" s="3">
        <f t="shared" si="0"/>
        <v>2</v>
      </c>
      <c r="B3" s="3" t="s">
        <v>110</v>
      </c>
      <c r="C3" s="2" t="s">
        <v>68</v>
      </c>
      <c r="D3" s="2" t="s">
        <v>111</v>
      </c>
      <c r="E3" s="9" t="s">
        <v>112</v>
      </c>
      <c r="F3" s="7">
        <v>193</v>
      </c>
      <c r="G3" s="3">
        <v>78</v>
      </c>
      <c r="H3" s="3">
        <v>128</v>
      </c>
    </row>
    <row r="4" spans="1:8" x14ac:dyDescent="0.45">
      <c r="A4" s="3">
        <f t="shared" si="0"/>
        <v>3</v>
      </c>
      <c r="B4" s="7" t="s">
        <v>113</v>
      </c>
      <c r="C4" s="2" t="s">
        <v>52</v>
      </c>
      <c r="D4" s="2" t="s">
        <v>45</v>
      </c>
      <c r="E4" s="2" t="s">
        <v>114</v>
      </c>
      <c r="F4" s="7">
        <v>194</v>
      </c>
      <c r="G4" s="3"/>
      <c r="H4" s="3">
        <v>131</v>
      </c>
    </row>
    <row r="5" spans="1:8" x14ac:dyDescent="0.45">
      <c r="A5" s="3">
        <f t="shared" si="0"/>
        <v>4</v>
      </c>
      <c r="B5" s="7" t="s">
        <v>115</v>
      </c>
      <c r="C5" s="2" t="s">
        <v>41</v>
      </c>
      <c r="D5" s="2" t="s">
        <v>116</v>
      </c>
      <c r="E5" s="2" t="s">
        <v>70</v>
      </c>
      <c r="F5" s="7">
        <v>194</v>
      </c>
      <c r="G5" s="3"/>
      <c r="H5" s="3">
        <v>132</v>
      </c>
    </row>
    <row r="6" spans="1:8" x14ac:dyDescent="0.45">
      <c r="A6" s="3">
        <f t="shared" si="0"/>
        <v>5</v>
      </c>
      <c r="B6" s="7" t="s">
        <v>117</v>
      </c>
      <c r="C6" s="2" t="s">
        <v>52</v>
      </c>
      <c r="D6" s="2" t="s">
        <v>118</v>
      </c>
      <c r="E6" s="2" t="s">
        <v>43</v>
      </c>
      <c r="F6" s="7">
        <v>194</v>
      </c>
      <c r="G6" s="3"/>
      <c r="H6" s="3">
        <v>136</v>
      </c>
    </row>
    <row r="7" spans="1:8" x14ac:dyDescent="0.45">
      <c r="A7" s="3">
        <f>ROW()-1</f>
        <v>6</v>
      </c>
      <c r="B7" s="7" t="s">
        <v>119</v>
      </c>
      <c r="C7" s="2" t="s">
        <v>52</v>
      </c>
      <c r="D7" s="2" t="s">
        <v>118</v>
      </c>
      <c r="E7" s="2" t="s">
        <v>120</v>
      </c>
      <c r="F7" s="7">
        <v>194</v>
      </c>
      <c r="G7" s="3"/>
      <c r="H7" s="3">
        <v>134</v>
      </c>
    </row>
  </sheetData>
  <autoFilter ref="A1:H7" xr:uid="{2751059A-18DA-4C95-B77F-C80A43928B00}"/>
  <phoneticPr fontId="2"/>
  <hyperlinks>
    <hyperlink ref="B5" r:id="rId1" xr:uid="{458DE646-77B8-4232-808B-220BB6BC2023}"/>
    <hyperlink ref="B4" r:id="rId2" display="半月返" xr:uid="{9CC982CF-53DD-4267-99A8-D5458B7ABEB1}"/>
    <hyperlink ref="B6" r:id="rId3" xr:uid="{9525F0DB-10F4-47C2-BEC0-6C92E8A245E6}"/>
    <hyperlink ref="B7" r:id="rId4" display="三日月返" xr:uid="{1C3469D1-C0AF-4B37-91A9-8EA713DB99D4}"/>
    <hyperlink ref="F2" r:id="rId5" display="https://1drv.ms/b/c/a8f0902f6b5ae388/IQD3Fx_jdbT6TaYgSu1H2jpnAd6nPowys4WiYV99yWcb65g?e=K5Isei" xr:uid="{EB6F3C69-9D4F-4F41-8C54-02417E883629}"/>
    <hyperlink ref="F3" r:id="rId6" display="https://1drv.ms/b/c/a8f0902f6b5ae388/IQD3Fx_jdbT6TaYgSu1H2jpnAd6nPowys4WiYV99yWcb65g?e=K5Isei" xr:uid="{A3134564-3D2B-47B9-AE5D-B7E35820C527}"/>
    <hyperlink ref="F4" r:id="rId7" display="https://1drv.ms/b/c/a8f0902f6b5ae388/IQCPPFW4Wm6cQ7Re38nF-N2JAaoges7gjp6gKheraPX3AMw?e=wDkvdm" xr:uid="{D8747D84-C8F1-4B17-9DAE-238F78623989}"/>
    <hyperlink ref="F5" r:id="rId8" display="https://1drv.ms/b/c/a8f0902f6b5ae388/IQCPPFW4Wm6cQ7Re38nF-N2JAaoges7gjp6gKheraPX3AMw?e=wDkvdm" xr:uid="{AF955F18-9CC6-4AFD-8109-793E07E6AB19}"/>
    <hyperlink ref="F6" r:id="rId9" display="https://1drv.ms/b/c/a8f0902f6b5ae388/IQCPPFW4Wm6cQ7Re38nF-N2JAaoges7gjp6gKheraPX3AMw?e=wDkvdm" xr:uid="{379EE34D-DDC4-4607-BD7C-D14E894F591F}"/>
    <hyperlink ref="F7" r:id="rId10" display="https://1drv.ms/b/c/a8f0902f6b5ae388/IQCPPFW4Wm6cQ7Re38nF-N2JAaoges7gjp6gKheraPX3AMw?e=wDkvdm" xr:uid="{0C2CB7E4-931F-4B4D-B433-0B8E840336F7}"/>
  </hyperlinks>
  <pageMargins left="0.7" right="0.7" top="0.75" bottom="0.75" header="0.3" footer="0.3"/>
  <pageSetup paperSize="9" orientation="portrait" r:id="rId1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AAEE8-A250-4B42-9628-17F8CDA067C5}">
  <sheetPr codeName="Sheet15"/>
  <dimension ref="A1:H7"/>
  <sheetViews>
    <sheetView view="pageBreakPreview" zoomScaleNormal="100" zoomScaleSheetLayoutView="100" workbookViewId="0">
      <pane ySplit="1" topLeftCell="A2" activePane="bottomLeft" state="frozen"/>
      <selection pane="bottomLeft" activeCell="B2" sqref="B2:B7"/>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121</v>
      </c>
      <c r="C1" s="6"/>
      <c r="D1" s="5" t="s">
        <v>1</v>
      </c>
      <c r="E1" s="5" t="s">
        <v>2</v>
      </c>
      <c r="F1" s="6" t="s">
        <v>3</v>
      </c>
      <c r="G1" s="6" t="s">
        <v>4</v>
      </c>
      <c r="H1" s="6" t="s">
        <v>5</v>
      </c>
    </row>
    <row r="2" spans="1:8" x14ac:dyDescent="0.45">
      <c r="A2" s="3">
        <f t="shared" ref="A2:A7" si="0">ROW()-1</f>
        <v>1</v>
      </c>
      <c r="B2" s="7" t="s">
        <v>122</v>
      </c>
      <c r="C2" s="2" t="s">
        <v>41</v>
      </c>
      <c r="D2" s="2" t="s">
        <v>123</v>
      </c>
      <c r="E2" s="2" t="s">
        <v>124</v>
      </c>
      <c r="F2" s="7">
        <v>195</v>
      </c>
      <c r="G2" s="3"/>
      <c r="H2" s="3">
        <v>138</v>
      </c>
    </row>
    <row r="3" spans="1:8" x14ac:dyDescent="0.45">
      <c r="A3" s="3">
        <f t="shared" si="0"/>
        <v>2</v>
      </c>
      <c r="B3" s="7" t="s">
        <v>125</v>
      </c>
      <c r="C3" s="2" t="s">
        <v>41</v>
      </c>
      <c r="D3" s="2" t="s">
        <v>116</v>
      </c>
      <c r="E3" s="2" t="s">
        <v>124</v>
      </c>
      <c r="F3" s="7">
        <v>196</v>
      </c>
      <c r="G3" s="3"/>
      <c r="H3" s="3"/>
    </row>
    <row r="4" spans="1:8" x14ac:dyDescent="0.45">
      <c r="A4" s="3">
        <f>ROW()-1</f>
        <v>3</v>
      </c>
      <c r="B4" s="7" t="s">
        <v>126</v>
      </c>
      <c r="C4" s="2" t="s">
        <v>52</v>
      </c>
      <c r="D4" s="2" t="s">
        <v>127</v>
      </c>
      <c r="E4" s="2" t="s">
        <v>70</v>
      </c>
      <c r="F4" s="7">
        <v>196</v>
      </c>
      <c r="G4" s="3"/>
      <c r="H4" s="3">
        <v>140</v>
      </c>
    </row>
    <row r="5" spans="1:8" x14ac:dyDescent="0.45">
      <c r="A5" s="3">
        <f t="shared" si="0"/>
        <v>4</v>
      </c>
      <c r="B5" s="7" t="s">
        <v>128</v>
      </c>
      <c r="C5" s="2" t="s">
        <v>41</v>
      </c>
      <c r="D5" s="2" t="s">
        <v>129</v>
      </c>
      <c r="E5" s="2" t="s">
        <v>70</v>
      </c>
      <c r="F5" s="7">
        <v>197</v>
      </c>
      <c r="G5" s="3"/>
      <c r="H5" s="3">
        <v>142</v>
      </c>
    </row>
    <row r="6" spans="1:8" x14ac:dyDescent="0.45">
      <c r="A6" s="3">
        <f t="shared" si="0"/>
        <v>5</v>
      </c>
      <c r="B6" s="7" t="s">
        <v>130</v>
      </c>
      <c r="C6" s="2" t="s">
        <v>41</v>
      </c>
      <c r="D6" s="2" t="s">
        <v>116</v>
      </c>
      <c r="E6" s="2" t="s">
        <v>70</v>
      </c>
      <c r="F6" s="7">
        <v>198</v>
      </c>
      <c r="G6" s="3"/>
      <c r="H6" s="3">
        <v>144</v>
      </c>
    </row>
    <row r="7" spans="1:8" x14ac:dyDescent="0.45">
      <c r="A7" s="3">
        <f t="shared" si="0"/>
        <v>6</v>
      </c>
      <c r="B7" s="7" t="s">
        <v>131</v>
      </c>
      <c r="C7" s="2" t="s">
        <v>41</v>
      </c>
      <c r="D7" s="2" t="s">
        <v>53</v>
      </c>
      <c r="E7" s="2" t="s">
        <v>132</v>
      </c>
      <c r="F7" s="7">
        <v>199</v>
      </c>
      <c r="G7" s="3"/>
      <c r="H7" s="3"/>
    </row>
  </sheetData>
  <autoFilter ref="A1:H7" xr:uid="{729AAEE8-A250-4B42-9628-17F8CDA067C5}"/>
  <phoneticPr fontId="2"/>
  <hyperlinks>
    <hyperlink ref="B2" r:id="rId1" xr:uid="{8418F442-F25C-42ED-84F9-DBBAB24FCFD1}"/>
    <hyperlink ref="B3" r:id="rId2" xr:uid="{E8D3B2A3-2191-424C-BA97-86B844F2EBD4}"/>
    <hyperlink ref="B5" r:id="rId3" xr:uid="{13B74720-F16E-4259-84E3-81DF7A204483}"/>
    <hyperlink ref="B6" r:id="rId4" xr:uid="{C7972D7F-E4FC-41DC-B841-CE3582A861F8}"/>
    <hyperlink ref="B7" r:id="rId5" xr:uid="{62BF7809-B4B0-4311-9EF8-C6BACD38B40A}"/>
    <hyperlink ref="B4" r:id="rId6" xr:uid="{0C464053-1683-4480-A7CC-E950511528D8}"/>
    <hyperlink ref="F2" r:id="rId7" display="https://1drv.ms/b/c/a8f0902f6b5ae388/IQCPPFW4Wm6cQ7Re38nF-N2JAaoges7gjp6gKheraPX3AMw?e=wDkvdm" xr:uid="{201AEA64-2D2D-45F1-8663-3FDE506EF08A}"/>
    <hyperlink ref="F3" r:id="rId8" display="https://1drv.ms/b/c/a8f0902f6b5ae388/IQAlQPGHVs6HQrUNVe7cLeL6ARQHXHFGLBRMwOv-HTR8mqU?e=xJsNDp" xr:uid="{DEEB2058-7A37-430B-9242-365A0768A222}"/>
    <hyperlink ref="F4" r:id="rId9" display="https://1drv.ms/b/c/a8f0902f6b5ae388/IQAlQPGHVs6HQrUNVe7cLeL6ARQHXHFGLBRMwOv-HTR8mqU?e=xJsNDp" xr:uid="{0269E11D-3C64-4FB8-B7B0-F9B41446FD1F}"/>
    <hyperlink ref="F5" r:id="rId10" display="https://1drv.ms/b/c/a8f0902f6b5ae388/IQAlQPGHVs6HQrUNVe7cLeL6ARQHXHFGLBRMwOv-HTR8mqU?e=xJsNDp" xr:uid="{A988644E-4495-4FCD-92AD-C9FE2E88F566}"/>
    <hyperlink ref="F6" r:id="rId11" display="https://1drv.ms/b/c/a8f0902f6b5ae388/IQDmUdXfzjnBRZtXzvWtPFMSAYZDmhu8A51Vk3CLUfDMqDk?e=mJM0no" xr:uid="{EEF78BA6-1E61-41C9-BA98-93E6087F9196}"/>
    <hyperlink ref="F7" r:id="rId12" display="https://1drv.ms/b/c/a8f0902f6b5ae388/IQDmUdXfzjnBRZtXzvWtPFMSAYZDmhu8A51Vk3CLUfDMqDk?e=mJM0no" xr:uid="{8F20B172-8172-49BD-9204-2D9E7641F251}"/>
  </hyperlinks>
  <pageMargins left="0.7" right="0.7" top="0.75" bottom="0.75" header="0.3" footer="0.3"/>
  <pageSetup paperSize="9" orientation="portrait" r:id="rId1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376B-1E2D-490D-A7AB-BE4FA6CC872D}">
  <sheetPr codeName="Sheet16">
    <tabColor rgb="FFFFFF00"/>
  </sheetPr>
  <dimension ref="A1:H6"/>
  <sheetViews>
    <sheetView view="pageBreakPreview" zoomScaleNormal="100" zoomScaleSheetLayoutView="100" workbookViewId="0">
      <pane ySplit="1" topLeftCell="A2" activePane="bottomLeft" state="frozen"/>
      <selection pane="bottomLeft" activeCell="B2" sqref="B2:B6"/>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9.1992187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133</v>
      </c>
      <c r="C1" s="6"/>
      <c r="D1" s="5" t="s">
        <v>1</v>
      </c>
      <c r="E1" s="5" t="s">
        <v>2</v>
      </c>
      <c r="F1" s="6" t="s">
        <v>3</v>
      </c>
      <c r="G1" s="6" t="s">
        <v>4</v>
      </c>
      <c r="H1" s="6" t="s">
        <v>5</v>
      </c>
    </row>
    <row r="2" spans="1:8" x14ac:dyDescent="0.45">
      <c r="A2" s="3">
        <f t="shared" ref="A2:A6" si="0">ROW()-1</f>
        <v>1</v>
      </c>
      <c r="B2" s="7" t="s">
        <v>134</v>
      </c>
      <c r="C2" s="2" t="s">
        <v>72</v>
      </c>
      <c r="D2" s="2" t="s">
        <v>123</v>
      </c>
      <c r="E2" s="9" t="s">
        <v>135</v>
      </c>
      <c r="F2" s="7">
        <v>200</v>
      </c>
      <c r="G2" s="3"/>
      <c r="H2" s="3">
        <v>146</v>
      </c>
    </row>
    <row r="3" spans="1:8" x14ac:dyDescent="0.45">
      <c r="A3" s="3">
        <f t="shared" si="0"/>
        <v>2</v>
      </c>
      <c r="B3" s="7" t="s">
        <v>136</v>
      </c>
      <c r="C3" s="2" t="s">
        <v>72</v>
      </c>
      <c r="D3" s="2" t="s">
        <v>137</v>
      </c>
      <c r="E3" s="9" t="s">
        <v>138</v>
      </c>
      <c r="F3" s="7">
        <v>200</v>
      </c>
      <c r="G3" s="3"/>
      <c r="H3" s="3"/>
    </row>
    <row r="4" spans="1:8" x14ac:dyDescent="0.45">
      <c r="A4" s="3">
        <f>ROW()-1</f>
        <v>3</v>
      </c>
      <c r="B4" s="7" t="s">
        <v>139</v>
      </c>
      <c r="C4" s="2" t="s">
        <v>41</v>
      </c>
      <c r="D4" s="2" t="s">
        <v>123</v>
      </c>
      <c r="E4" s="2" t="s">
        <v>140</v>
      </c>
      <c r="F4" s="7">
        <v>200</v>
      </c>
      <c r="G4" s="3"/>
      <c r="H4" s="3">
        <v>148</v>
      </c>
    </row>
    <row r="5" spans="1:8" x14ac:dyDescent="0.45">
      <c r="A5" s="3">
        <f t="shared" si="0"/>
        <v>4</v>
      </c>
      <c r="B5" s="7" t="s">
        <v>141</v>
      </c>
      <c r="C5" s="2" t="s">
        <v>41</v>
      </c>
      <c r="D5" s="2" t="s">
        <v>123</v>
      </c>
      <c r="E5" s="2" t="s">
        <v>142</v>
      </c>
      <c r="F5" s="7">
        <v>200</v>
      </c>
      <c r="G5" s="3"/>
      <c r="H5" s="3">
        <v>147</v>
      </c>
    </row>
    <row r="6" spans="1:8" x14ac:dyDescent="0.45">
      <c r="A6" s="3">
        <f t="shared" si="0"/>
        <v>5</v>
      </c>
      <c r="B6" s="7" t="s">
        <v>143</v>
      </c>
      <c r="C6" s="2" t="s">
        <v>41</v>
      </c>
      <c r="D6" s="2" t="s">
        <v>123</v>
      </c>
      <c r="E6" s="2" t="s">
        <v>144</v>
      </c>
      <c r="F6" s="7">
        <v>201</v>
      </c>
      <c r="G6" s="3"/>
      <c r="H6" s="3">
        <v>150</v>
      </c>
    </row>
  </sheetData>
  <autoFilter ref="A1:H6" xr:uid="{D263376B-1E2D-490D-A7AB-BE4FA6CC872D}"/>
  <phoneticPr fontId="2"/>
  <hyperlinks>
    <hyperlink ref="B4" r:id="rId1" xr:uid="{0B407B9A-7087-4B9F-8B12-A05795F0BA5C}"/>
    <hyperlink ref="B5" r:id="rId2" xr:uid="{2D1BD92F-27C2-40B7-938C-62BD0F37CE69}"/>
    <hyperlink ref="B6" r:id="rId3" xr:uid="{161C64E0-9AC6-472B-A75B-B602215E32B7}"/>
    <hyperlink ref="B2" r:id="rId4" xr:uid="{B51593DD-60E8-4D51-933E-5BB7CE682D5E}"/>
    <hyperlink ref="B3" r:id="rId5" xr:uid="{8A92DCD6-6191-46E0-97FD-7F5E454B4DD6}"/>
    <hyperlink ref="F2" r:id="rId6" display="https://1drv.ms/b/c/a8f0902f6b5ae388/IQBmeLAqha30RIjTQbrEAsEtAatm8qvQk-lPz-a_rCiod0k?e=ecbX6X" xr:uid="{FA888B34-D804-4482-A8E2-414B1EE22B3B}"/>
    <hyperlink ref="F3" r:id="rId7" display="https://1drv.ms/b/c/a8f0902f6b5ae388/IQBmeLAqha30RIjTQbrEAsEtAatm8qvQk-lPz-a_rCiod0k?e=ecbX6X" xr:uid="{C5E9D34D-4B49-447D-8AB4-3677EF4E75FF}"/>
    <hyperlink ref="F4" r:id="rId8" display="https://1drv.ms/b/c/a8f0902f6b5ae388/IQBmeLAqha30RIjTQbrEAsEtAatm8qvQk-lPz-a_rCiod0k?e=ecbX6X" xr:uid="{D478F1F9-6B72-492B-A7D6-D073669B2D08}"/>
    <hyperlink ref="F5" r:id="rId9" display="https://1drv.ms/b/c/a8f0902f6b5ae388/IQBmeLAqha30RIjTQbrEAsEtAatm8qvQk-lPz-a_rCiod0k?e=ecbX6X" xr:uid="{EEAA5518-9DBF-452D-A588-DEDFFBC33C9E}"/>
    <hyperlink ref="F6" r:id="rId10" display="https://1drv.ms/b/c/a8f0902f6b5ae388/IQBmeLAqha30RIjTQbrEAsEtAatm8qvQk-lPz-a_rCiod0k?e=ecbX6X" xr:uid="{EC0D427A-8C0B-4E64-A619-BB3C03A867BC}"/>
  </hyperlinks>
  <pageMargins left="0.7" right="0.7" top="0.75" bottom="0.75" header="0.3" footer="0.3"/>
  <pageSetup paperSize="9" orientation="portrait" r:id="rId1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64B2-C322-4466-8D53-B30E9BB831EE}">
  <sheetPr codeName="Sheet17">
    <tabColor rgb="FFFFFF00"/>
  </sheetPr>
  <dimension ref="A1:H35"/>
  <sheetViews>
    <sheetView view="pageBreakPreview" zoomScaleNormal="100" zoomScaleSheetLayoutView="100" workbookViewId="0">
      <pane ySplit="1" topLeftCell="A24" activePane="bottomLeft" state="frozen"/>
      <selection pane="bottomLeft" activeCell="F2" sqref="F2:F35"/>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145</v>
      </c>
      <c r="C1" s="6"/>
      <c r="D1" s="5" t="s">
        <v>1</v>
      </c>
      <c r="E1" s="5" t="s">
        <v>2</v>
      </c>
      <c r="F1" s="6" t="s">
        <v>3</v>
      </c>
      <c r="G1" s="6" t="s">
        <v>4</v>
      </c>
      <c r="H1" s="6" t="s">
        <v>5</v>
      </c>
    </row>
    <row r="2" spans="1:8" x14ac:dyDescent="0.45">
      <c r="A2" s="3">
        <f t="shared" ref="A2:A35" si="0">ROW()-1</f>
        <v>1</v>
      </c>
      <c r="B2" s="3" t="s">
        <v>146</v>
      </c>
      <c r="C2" s="2" t="s">
        <v>147</v>
      </c>
      <c r="D2" s="2" t="s">
        <v>148</v>
      </c>
      <c r="E2" s="2"/>
      <c r="F2" s="7">
        <v>213</v>
      </c>
      <c r="G2" s="3">
        <v>88</v>
      </c>
      <c r="H2" s="3">
        <v>152</v>
      </c>
    </row>
    <row r="3" spans="1:8" x14ac:dyDescent="0.45">
      <c r="A3" s="3">
        <f t="shared" si="0"/>
        <v>2</v>
      </c>
      <c r="B3" s="3" t="s">
        <v>149</v>
      </c>
      <c r="C3" s="2" t="s">
        <v>150</v>
      </c>
      <c r="D3" s="2" t="s">
        <v>151</v>
      </c>
      <c r="E3" s="2"/>
      <c r="F3" s="3"/>
      <c r="G3" s="3"/>
      <c r="H3" s="3">
        <v>162</v>
      </c>
    </row>
    <row r="4" spans="1:8" x14ac:dyDescent="0.45">
      <c r="A4" s="3">
        <f t="shared" si="0"/>
        <v>3</v>
      </c>
      <c r="B4" s="3" t="s">
        <v>152</v>
      </c>
      <c r="C4" s="2" t="s">
        <v>153</v>
      </c>
      <c r="D4" s="2" t="s">
        <v>148</v>
      </c>
      <c r="E4" s="2"/>
      <c r="F4" s="7">
        <v>218</v>
      </c>
      <c r="G4" s="3">
        <v>94</v>
      </c>
      <c r="H4" s="3"/>
    </row>
    <row r="5" spans="1:8" x14ac:dyDescent="0.45">
      <c r="A5" s="3">
        <f t="shared" si="0"/>
        <v>4</v>
      </c>
      <c r="B5" s="3" t="s">
        <v>154</v>
      </c>
      <c r="C5" s="2" t="s">
        <v>153</v>
      </c>
      <c r="D5" s="2" t="s">
        <v>155</v>
      </c>
      <c r="E5" s="2"/>
      <c r="F5" s="7">
        <v>220</v>
      </c>
      <c r="G5" s="3"/>
      <c r="H5" s="3"/>
    </row>
    <row r="6" spans="1:8" x14ac:dyDescent="0.45">
      <c r="A6" s="3">
        <f t="shared" si="0"/>
        <v>5</v>
      </c>
      <c r="B6" s="3" t="s">
        <v>156</v>
      </c>
      <c r="C6" s="2" t="s">
        <v>157</v>
      </c>
      <c r="D6" s="2" t="s">
        <v>158</v>
      </c>
      <c r="E6" s="2"/>
      <c r="F6" s="3"/>
      <c r="G6" s="3"/>
      <c r="H6" s="3"/>
    </row>
    <row r="7" spans="1:8" x14ac:dyDescent="0.45">
      <c r="A7" s="3">
        <f t="shared" si="0"/>
        <v>6</v>
      </c>
      <c r="B7" s="3" t="s">
        <v>159</v>
      </c>
      <c r="C7" s="2" t="s">
        <v>157</v>
      </c>
      <c r="D7" s="2" t="s">
        <v>155</v>
      </c>
      <c r="E7" s="2"/>
      <c r="F7" s="3"/>
      <c r="G7" s="3"/>
      <c r="H7" s="3"/>
    </row>
    <row r="8" spans="1:8" x14ac:dyDescent="0.45">
      <c r="A8" s="3">
        <f t="shared" si="0"/>
        <v>7</v>
      </c>
      <c r="B8" s="3" t="s">
        <v>160</v>
      </c>
      <c r="C8" s="2" t="s">
        <v>161</v>
      </c>
      <c r="D8" s="2" t="s">
        <v>151</v>
      </c>
      <c r="E8" s="2"/>
      <c r="F8" s="7">
        <v>221</v>
      </c>
      <c r="G8" s="3"/>
      <c r="H8" s="3"/>
    </row>
    <row r="9" spans="1:8" x14ac:dyDescent="0.45">
      <c r="A9" s="3">
        <f t="shared" si="0"/>
        <v>8</v>
      </c>
      <c r="B9" s="3" t="s">
        <v>162</v>
      </c>
      <c r="C9" s="2" t="s">
        <v>153</v>
      </c>
      <c r="D9" s="2" t="s">
        <v>148</v>
      </c>
      <c r="E9" s="2"/>
      <c r="F9" s="7">
        <v>221</v>
      </c>
      <c r="G9" s="3"/>
      <c r="H9" s="3"/>
    </row>
    <row r="10" spans="1:8" x14ac:dyDescent="0.45">
      <c r="A10" s="3">
        <f t="shared" si="0"/>
        <v>9</v>
      </c>
      <c r="B10" s="3" t="s">
        <v>163</v>
      </c>
      <c r="C10" s="2" t="s">
        <v>150</v>
      </c>
      <c r="D10" s="2" t="s">
        <v>151</v>
      </c>
      <c r="E10" s="2"/>
      <c r="F10" s="3"/>
      <c r="G10" s="3">
        <v>96</v>
      </c>
      <c r="H10" s="3">
        <v>164</v>
      </c>
    </row>
    <row r="11" spans="1:8" x14ac:dyDescent="0.45">
      <c r="A11" s="3">
        <f t="shared" si="0"/>
        <v>10</v>
      </c>
      <c r="B11" s="7" t="s">
        <v>164</v>
      </c>
      <c r="C11" s="2" t="s">
        <v>72</v>
      </c>
      <c r="D11" s="2" t="s">
        <v>151</v>
      </c>
      <c r="E11" s="2"/>
      <c r="F11" s="7">
        <v>222</v>
      </c>
      <c r="G11" s="3"/>
      <c r="H11" s="3"/>
    </row>
    <row r="12" spans="1:8" x14ac:dyDescent="0.45">
      <c r="A12" s="3">
        <f t="shared" si="0"/>
        <v>11</v>
      </c>
      <c r="B12" s="7" t="s">
        <v>165</v>
      </c>
      <c r="C12" s="2" t="s">
        <v>52</v>
      </c>
      <c r="D12" s="2" t="s">
        <v>166</v>
      </c>
      <c r="E12" s="2"/>
      <c r="F12" s="7">
        <v>222</v>
      </c>
      <c r="G12" s="3"/>
      <c r="H12" s="3"/>
    </row>
    <row r="13" spans="1:8" x14ac:dyDescent="0.45">
      <c r="A13" s="3">
        <f t="shared" si="0"/>
        <v>12</v>
      </c>
      <c r="B13" s="3" t="s">
        <v>167</v>
      </c>
      <c r="C13" s="2" t="s">
        <v>161</v>
      </c>
      <c r="D13" s="2" t="s">
        <v>168</v>
      </c>
      <c r="E13" s="2"/>
      <c r="F13" s="7">
        <v>223</v>
      </c>
      <c r="G13" s="3"/>
      <c r="H13" s="3">
        <v>208</v>
      </c>
    </row>
    <row r="14" spans="1:8" x14ac:dyDescent="0.45">
      <c r="A14" s="3">
        <f t="shared" si="0"/>
        <v>13</v>
      </c>
      <c r="B14" s="7" t="s">
        <v>169</v>
      </c>
      <c r="C14" s="2" t="s">
        <v>72</v>
      </c>
      <c r="D14" s="2" t="s">
        <v>148</v>
      </c>
      <c r="E14" s="2"/>
      <c r="F14" s="7">
        <v>223</v>
      </c>
      <c r="G14" s="3"/>
      <c r="H14" s="3"/>
    </row>
    <row r="15" spans="1:8" x14ac:dyDescent="0.45">
      <c r="A15" s="3">
        <f t="shared" si="0"/>
        <v>14</v>
      </c>
      <c r="B15" s="3" t="s">
        <v>170</v>
      </c>
      <c r="C15" s="2" t="s">
        <v>157</v>
      </c>
      <c r="D15" s="2" t="s">
        <v>151</v>
      </c>
      <c r="E15" s="2"/>
      <c r="F15" s="7">
        <v>223</v>
      </c>
      <c r="G15" s="3">
        <v>140</v>
      </c>
      <c r="H15" s="3"/>
    </row>
    <row r="16" spans="1:8" x14ac:dyDescent="0.45">
      <c r="A16" s="3">
        <f t="shared" si="0"/>
        <v>15</v>
      </c>
      <c r="B16" s="3" t="s">
        <v>171</v>
      </c>
      <c r="C16" s="2" t="s">
        <v>157</v>
      </c>
      <c r="D16" s="2" t="s">
        <v>148</v>
      </c>
      <c r="E16" s="2"/>
      <c r="F16" s="3"/>
      <c r="G16" s="3"/>
      <c r="H16" s="3"/>
    </row>
    <row r="17" spans="1:8" x14ac:dyDescent="0.45">
      <c r="A17" s="3">
        <f t="shared" si="0"/>
        <v>16</v>
      </c>
      <c r="B17" s="3" t="s">
        <v>172</v>
      </c>
      <c r="C17" s="2" t="s">
        <v>153</v>
      </c>
      <c r="D17" s="2" t="s">
        <v>151</v>
      </c>
      <c r="E17" s="2"/>
      <c r="F17" s="7">
        <v>224</v>
      </c>
      <c r="G17" s="3"/>
      <c r="H17" s="3">
        <v>178</v>
      </c>
    </row>
    <row r="18" spans="1:8" x14ac:dyDescent="0.45">
      <c r="A18" s="3">
        <f t="shared" si="0"/>
        <v>17</v>
      </c>
      <c r="B18" s="3" t="s">
        <v>173</v>
      </c>
      <c r="C18" s="2" t="s">
        <v>174</v>
      </c>
      <c r="D18" s="2" t="s">
        <v>148</v>
      </c>
      <c r="E18" s="2"/>
      <c r="F18" s="3"/>
      <c r="G18" s="3">
        <v>104</v>
      </c>
      <c r="H18" s="3"/>
    </row>
    <row r="19" spans="1:8" x14ac:dyDescent="0.45">
      <c r="A19" s="3">
        <f t="shared" si="0"/>
        <v>18</v>
      </c>
      <c r="B19" s="3" t="s">
        <v>175</v>
      </c>
      <c r="C19" s="2" t="s">
        <v>161</v>
      </c>
      <c r="D19" s="2" t="s">
        <v>151</v>
      </c>
      <c r="E19" s="2"/>
      <c r="F19" s="7">
        <v>224</v>
      </c>
      <c r="G19" s="3"/>
      <c r="H19" s="3"/>
    </row>
    <row r="20" spans="1:8" x14ac:dyDescent="0.45">
      <c r="A20" s="3">
        <f t="shared" si="0"/>
        <v>19</v>
      </c>
      <c r="B20" s="3" t="s">
        <v>176</v>
      </c>
      <c r="C20" s="2" t="s">
        <v>174</v>
      </c>
      <c r="D20" s="2" t="s">
        <v>148</v>
      </c>
      <c r="E20" s="2"/>
      <c r="F20" s="7">
        <v>225</v>
      </c>
      <c r="G20" s="3">
        <v>106</v>
      </c>
      <c r="H20" s="3"/>
    </row>
    <row r="21" spans="1:8" x14ac:dyDescent="0.45">
      <c r="A21" s="3">
        <f t="shared" si="0"/>
        <v>20</v>
      </c>
      <c r="B21" s="3" t="s">
        <v>177</v>
      </c>
      <c r="C21" s="2" t="s">
        <v>153</v>
      </c>
      <c r="D21" s="2" t="s">
        <v>151</v>
      </c>
      <c r="E21" s="2"/>
      <c r="F21" s="7">
        <v>225</v>
      </c>
      <c r="G21" s="3"/>
      <c r="H21" s="3">
        <v>204</v>
      </c>
    </row>
    <row r="22" spans="1:8" x14ac:dyDescent="0.45">
      <c r="A22" s="3">
        <f t="shared" si="0"/>
        <v>21</v>
      </c>
      <c r="B22" s="3" t="s">
        <v>178</v>
      </c>
      <c r="C22" s="2" t="s">
        <v>153</v>
      </c>
      <c r="D22" s="2" t="s">
        <v>151</v>
      </c>
      <c r="E22" s="2"/>
      <c r="F22" s="7">
        <v>225</v>
      </c>
      <c r="G22" s="3"/>
      <c r="H22" s="3">
        <v>176</v>
      </c>
    </row>
    <row r="23" spans="1:8" x14ac:dyDescent="0.45">
      <c r="A23" s="3">
        <f t="shared" si="0"/>
        <v>22</v>
      </c>
      <c r="B23" s="3" t="s">
        <v>179</v>
      </c>
      <c r="C23" s="2" t="s">
        <v>161</v>
      </c>
      <c r="D23" s="2" t="s">
        <v>151</v>
      </c>
      <c r="E23" s="2"/>
      <c r="F23" s="7">
        <v>226</v>
      </c>
      <c r="G23" s="3"/>
      <c r="H23" s="3"/>
    </row>
    <row r="24" spans="1:8" x14ac:dyDescent="0.45">
      <c r="A24" s="3">
        <f t="shared" si="0"/>
        <v>23</v>
      </c>
      <c r="B24" s="7" t="s">
        <v>180</v>
      </c>
      <c r="C24" s="2" t="s">
        <v>72</v>
      </c>
      <c r="D24" s="2" t="s">
        <v>151</v>
      </c>
      <c r="E24" s="2"/>
      <c r="F24" s="7">
        <v>226</v>
      </c>
      <c r="G24" s="3"/>
      <c r="H24" s="3"/>
    </row>
    <row r="25" spans="1:8" x14ac:dyDescent="0.45">
      <c r="A25" s="3">
        <f t="shared" si="0"/>
        <v>24</v>
      </c>
      <c r="B25" s="3" t="s">
        <v>181</v>
      </c>
      <c r="C25" s="2" t="s">
        <v>174</v>
      </c>
      <c r="D25" s="2" t="s">
        <v>182</v>
      </c>
      <c r="E25" s="2"/>
      <c r="F25" s="7">
        <v>227</v>
      </c>
      <c r="G25" s="3">
        <v>118</v>
      </c>
      <c r="H25" s="3">
        <v>192</v>
      </c>
    </row>
    <row r="26" spans="1:8" x14ac:dyDescent="0.45">
      <c r="A26" s="3">
        <f t="shared" si="0"/>
        <v>25</v>
      </c>
      <c r="B26" s="3" t="s">
        <v>183</v>
      </c>
      <c r="C26" s="2" t="s">
        <v>174</v>
      </c>
      <c r="D26" s="2" t="s">
        <v>182</v>
      </c>
      <c r="E26" s="2"/>
      <c r="F26" s="3"/>
      <c r="G26" s="3"/>
      <c r="H26" s="3"/>
    </row>
    <row r="27" spans="1:8" x14ac:dyDescent="0.45">
      <c r="A27" s="3">
        <f t="shared" si="0"/>
        <v>26</v>
      </c>
      <c r="B27" s="3" t="s">
        <v>184</v>
      </c>
      <c r="C27" s="2" t="s">
        <v>174</v>
      </c>
      <c r="D27" s="2" t="s">
        <v>148</v>
      </c>
      <c r="E27" s="2"/>
      <c r="F27" s="7">
        <v>227</v>
      </c>
      <c r="G27" s="3">
        <v>120</v>
      </c>
      <c r="H27" s="3">
        <v>194</v>
      </c>
    </row>
    <row r="28" spans="1:8" x14ac:dyDescent="0.45">
      <c r="A28" s="3">
        <f t="shared" si="0"/>
        <v>27</v>
      </c>
      <c r="B28" s="3" t="s">
        <v>185</v>
      </c>
      <c r="C28" s="2" t="s">
        <v>174</v>
      </c>
      <c r="D28" s="2" t="s">
        <v>186</v>
      </c>
      <c r="E28" s="2"/>
      <c r="F28" s="3"/>
      <c r="G28" s="3"/>
      <c r="H28" s="3"/>
    </row>
    <row r="29" spans="1:8" x14ac:dyDescent="0.45">
      <c r="A29" s="3">
        <f t="shared" si="0"/>
        <v>28</v>
      </c>
      <c r="B29" s="3" t="s">
        <v>187</v>
      </c>
      <c r="C29" s="2" t="s">
        <v>174</v>
      </c>
      <c r="D29" s="2" t="s">
        <v>186</v>
      </c>
      <c r="E29" s="2"/>
      <c r="F29" s="7">
        <v>227</v>
      </c>
      <c r="G29" s="3">
        <v>112</v>
      </c>
      <c r="H29" s="3">
        <v>184</v>
      </c>
    </row>
    <row r="30" spans="1:8" x14ac:dyDescent="0.45">
      <c r="A30" s="3">
        <f t="shared" si="0"/>
        <v>29</v>
      </c>
      <c r="B30" s="7" t="s">
        <v>188</v>
      </c>
      <c r="C30" s="2" t="s">
        <v>41</v>
      </c>
      <c r="D30" s="2" t="s">
        <v>189</v>
      </c>
      <c r="E30" s="2" t="s">
        <v>190</v>
      </c>
      <c r="F30" s="7">
        <v>228</v>
      </c>
      <c r="G30" s="3"/>
      <c r="H30" s="3"/>
    </row>
    <row r="31" spans="1:8" x14ac:dyDescent="0.45">
      <c r="A31" s="3">
        <f t="shared" si="0"/>
        <v>30</v>
      </c>
      <c r="B31" s="7" t="s">
        <v>191</v>
      </c>
      <c r="C31" s="2" t="s">
        <v>41</v>
      </c>
      <c r="D31" s="2" t="s">
        <v>192</v>
      </c>
      <c r="E31" s="2" t="s">
        <v>190</v>
      </c>
      <c r="F31" s="7">
        <v>228</v>
      </c>
      <c r="G31" s="3"/>
      <c r="H31" s="3"/>
    </row>
    <row r="32" spans="1:8" x14ac:dyDescent="0.45">
      <c r="A32" s="3">
        <f t="shared" si="0"/>
        <v>31</v>
      </c>
      <c r="B32" s="3" t="s">
        <v>193</v>
      </c>
      <c r="C32" s="2" t="s">
        <v>174</v>
      </c>
      <c r="D32" s="2" t="s">
        <v>194</v>
      </c>
      <c r="E32" s="2"/>
      <c r="F32" s="7">
        <v>228</v>
      </c>
      <c r="G32" s="3">
        <v>114</v>
      </c>
      <c r="H32" s="3"/>
    </row>
    <row r="33" spans="1:8" x14ac:dyDescent="0.45">
      <c r="A33" s="3">
        <f t="shared" si="0"/>
        <v>32</v>
      </c>
      <c r="B33" s="3" t="s">
        <v>195</v>
      </c>
      <c r="C33" s="2" t="s">
        <v>161</v>
      </c>
      <c r="D33" s="2" t="s">
        <v>196</v>
      </c>
      <c r="E33" s="2"/>
      <c r="F33" s="7">
        <v>229</v>
      </c>
      <c r="G33" s="3">
        <v>124</v>
      </c>
      <c r="H33" s="3"/>
    </row>
    <row r="34" spans="1:8" x14ac:dyDescent="0.45">
      <c r="A34" s="3">
        <f t="shared" si="0"/>
        <v>33</v>
      </c>
      <c r="B34" s="3" t="s">
        <v>197</v>
      </c>
      <c r="C34" s="2" t="s">
        <v>161</v>
      </c>
      <c r="D34" s="2" t="s">
        <v>198</v>
      </c>
      <c r="E34" s="2"/>
      <c r="F34" s="7">
        <v>229</v>
      </c>
      <c r="G34" s="3">
        <v>132</v>
      </c>
      <c r="H34" s="3">
        <v>198</v>
      </c>
    </row>
    <row r="35" spans="1:8" x14ac:dyDescent="0.45">
      <c r="A35" s="3">
        <f t="shared" si="0"/>
        <v>34</v>
      </c>
      <c r="B35" s="7" t="s">
        <v>199</v>
      </c>
      <c r="C35" s="2" t="s">
        <v>200</v>
      </c>
      <c r="D35" s="2" t="s">
        <v>123</v>
      </c>
      <c r="E35" s="2" t="s">
        <v>201</v>
      </c>
      <c r="F35" s="7">
        <v>229</v>
      </c>
      <c r="G35" s="3"/>
      <c r="H35" s="3"/>
    </row>
  </sheetData>
  <autoFilter ref="A1:H35" xr:uid="{F69064B2-C322-4466-8D53-B30E9BB831EE}"/>
  <sortState xmlns:xlrd2="http://schemas.microsoft.com/office/spreadsheetml/2017/richdata2" ref="A2:H35">
    <sortCondition ref="F2:F35"/>
  </sortState>
  <phoneticPr fontId="2"/>
  <hyperlinks>
    <hyperlink ref="B30" r:id="rId1" xr:uid="{D6A1222D-4DE6-45A1-9419-808491F084C9}"/>
    <hyperlink ref="B31" r:id="rId2" xr:uid="{22CB2BDB-94B1-45EF-AE6F-2311DEA3A123}"/>
    <hyperlink ref="B35" r:id="rId3" xr:uid="{BB309276-2F54-4B88-8A2F-A13DB8BC358C}"/>
    <hyperlink ref="B12" r:id="rId4" xr:uid="{E591F6C5-C897-4DCF-8D5B-0667DD7B6528}"/>
    <hyperlink ref="B11" r:id="rId5" xr:uid="{C38A9725-BB7D-43AB-AC9E-E17FE47F5BAC}"/>
    <hyperlink ref="B14" r:id="rId6" xr:uid="{D96BC7C1-E9FD-4449-AA52-1305EC368288}"/>
    <hyperlink ref="B24" r:id="rId7" xr:uid="{924FB022-DE1B-469E-930B-8CE42AF26E0B}"/>
    <hyperlink ref="F2" r:id="rId8" display="https://1drv.ms/b/c/a8f0902f6b5ae388/IQDyCF3M6ZB5QLqMtTnu4cBxAUa2pW60kEn3c-NgIR9hEpc?e=7C6j2K" xr:uid="{4F85022A-82D5-4388-BB60-F28CA8C7A584}"/>
    <hyperlink ref="F4" r:id="rId9" display="https://1drv.ms/b/c/a8f0902f6b5ae388/IQDQzsgVBUlDRLjlWbMDya-8AVFCZCSZNKpsDexrlbA357A?e=KIeGHy" xr:uid="{E1E3E212-389B-4D7D-A5B0-2EF45F18FD1D}"/>
    <hyperlink ref="F5" r:id="rId10" display="https://1drv.ms/b/c/a8f0902f6b5ae388/IQBmpsInEaLTTY9-uoH8oBZfAfehxLzCtpf6DDIUoqvR1xE?e=W9jga3" xr:uid="{460BAFE9-EBFB-42B3-8BB5-29F9FD1269BB}"/>
    <hyperlink ref="F8" r:id="rId11" display="https://1drv.ms/b/c/a8f0902f6b5ae388/IQBmpsInEaLTTY9-uoH8oBZfAfehxLzCtpf6DDIUoqvR1xE?e=W9jga3" xr:uid="{1522D595-3B11-467D-BE2C-813A0D5639FF}"/>
    <hyperlink ref="F9" r:id="rId12" display="https://1drv.ms/b/c/a8f0902f6b5ae388/IQBmpsInEaLTTY9-uoH8oBZfAfehxLzCtpf6DDIUoqvR1xE?e=W9jga3" xr:uid="{F8ED9A5B-8AFA-479C-90BB-4FC4D7D05402}"/>
    <hyperlink ref="F11" r:id="rId13" display="https://1drv.ms/b/c/a8f0902f6b5ae388/IQBeIcbAKv6VT7m_VgLxjQfAAe4Hpe9J27oIOgAz1VHYZVI?e=556ooG" xr:uid="{69E0A0CA-1553-4C29-9E15-DD58F458AC1F}"/>
    <hyperlink ref="F12" r:id="rId14" display="https://1drv.ms/b/c/a8f0902f6b5ae388/IQBeIcbAKv6VT7m_VgLxjQfAAe4Hpe9J27oIOgAz1VHYZVI?e=556ooG" xr:uid="{9705D8AC-B18A-49DE-8250-C99DABE5ECF8}"/>
    <hyperlink ref="F13" r:id="rId15" display="https://1drv.ms/b/c/a8f0902f6b5ae388/IQBeIcbAKv6VT7m_VgLxjQfAAe4Hpe9J27oIOgAz1VHYZVI?e=556ooG" xr:uid="{8C41F755-0A80-45FB-AB22-7FB6AF27127A}"/>
    <hyperlink ref="F14" r:id="rId16" display="https://1drv.ms/b/c/a8f0902f6b5ae388/IQBeIcbAKv6VT7m_VgLxjQfAAe4Hpe9J27oIOgAz1VHYZVI?e=556ooG" xr:uid="{1FBB4632-B143-4CED-98E9-BA38E9A9D62D}"/>
    <hyperlink ref="F15" r:id="rId17" display="https://1drv.ms/b/c/a8f0902f6b5ae388/IQBeIcbAKv6VT7m_VgLxjQfAAe4Hpe9J27oIOgAz1VHYZVI?e=556ooG" xr:uid="{EB892A1A-B524-418F-BE33-8550AFAD9C17}"/>
    <hyperlink ref="F17" r:id="rId18" display="https://1drv.ms/b/c/a8f0902f6b5ae388/IQDrJQpl75RvQrtn28A_tg1vAYS-O5jFU0xJbdjVPdgH-wY?e=kXYsgr" xr:uid="{56FA0049-FFF6-4AD8-829B-737351A0BA13}"/>
    <hyperlink ref="F19" r:id="rId19" display="https://1drv.ms/b/c/a8f0902f6b5ae388/IQDrJQpl75RvQrtn28A_tg1vAYS-O5jFU0xJbdjVPdgH-wY?e=kXYsgr" xr:uid="{DE7A1220-BADB-4575-A264-145AF3EA20F2}"/>
    <hyperlink ref="F20" r:id="rId20" display="https://1drv.ms/b/c/a8f0902f6b5ae388/IQDrJQpl75RvQrtn28A_tg1vAYS-O5jFU0xJbdjVPdgH-wY?e=kXYsgr" xr:uid="{C98B8749-7EAE-40F8-8D4C-C441E85270A9}"/>
    <hyperlink ref="F21" r:id="rId21" display="https://1drv.ms/b/c/a8f0902f6b5ae388/IQDrJQpl75RvQrtn28A_tg1vAYS-O5jFU0xJbdjVPdgH-wY?e=kXYsgr" xr:uid="{2A277CA0-E154-427B-843C-437E04E7C6F2}"/>
    <hyperlink ref="F22" r:id="rId22" display="https://1drv.ms/b/c/a8f0902f6b5ae388/IQDrJQpl75RvQrtn28A_tg1vAYS-O5jFU0xJbdjVPdgH-wY?e=kXYsgr" xr:uid="{A30FB341-40D5-4910-9DAC-1C2904D67827}"/>
    <hyperlink ref="F23" r:id="rId23" display="https://1drv.ms/b/c/a8f0902f6b5ae388/IQCrG59sIiyRR5mViQZ9qz1KAYEOYoy1-eUDz6vve1IeoBM?e=YhZ1bh" xr:uid="{0F9AB5B8-AFBA-4B92-964A-483841B24E83}"/>
    <hyperlink ref="F24" r:id="rId24" display="https://1drv.ms/b/c/a8f0902f6b5ae388/IQCrG59sIiyRR5mViQZ9qz1KAYEOYoy1-eUDz6vve1IeoBM?e=YhZ1bh" xr:uid="{2B8CEAD3-2A8B-4781-8571-724F8B2B2408}"/>
    <hyperlink ref="F25" r:id="rId25" display="https://1drv.ms/b/c/a8f0902f6b5ae388/IQCrG59sIiyRR5mViQZ9qz1KAYEOYoy1-eUDz6vve1IeoBM?e=YhZ1bh" xr:uid="{5A746449-8E59-4689-AAD0-6B459F02936E}"/>
    <hyperlink ref="F27" r:id="rId26" display="https://1drv.ms/b/c/a8f0902f6b5ae388/IQCrG59sIiyRR5mViQZ9qz1KAYEOYoy1-eUDz6vve1IeoBM?e=YhZ1bh" xr:uid="{E9FAF9B2-D5B6-438A-B2BE-1DC0EAF973B4}"/>
    <hyperlink ref="F29" r:id="rId27" display="https://1drv.ms/b/c/a8f0902f6b5ae388/IQCrG59sIiyRR5mViQZ9qz1KAYEOYoy1-eUDz6vve1IeoBM?e=YhZ1bh" xr:uid="{D294F9F4-CE67-43E2-B34A-F7841BF993D9}"/>
    <hyperlink ref="F30" r:id="rId28" display="https://1drv.ms/b/c/a8f0902f6b5ae388/IQBlPkTqZuc8RJpVpa-IeRVPAXwsniFAOOTcH9y5svfpl-k?e=AEhbZu" xr:uid="{C5E50B5F-2C89-4759-935F-22CD744A6309}"/>
    <hyperlink ref="F31" r:id="rId29" display="https://1drv.ms/b/c/a8f0902f6b5ae388/IQBlPkTqZuc8RJpVpa-IeRVPAXwsniFAOOTcH9y5svfpl-k?e=AEhbZu" xr:uid="{CB989784-A1D1-446D-B7C0-220CBEA573C8}"/>
    <hyperlink ref="F32" r:id="rId30" display="https://1drv.ms/b/c/a8f0902f6b5ae388/IQBlPkTqZuc8RJpVpa-IeRVPAXwsniFAOOTcH9y5svfpl-k?e=AEhbZu" xr:uid="{FCC28B11-F49A-4479-8AA4-1B38B2FC0441}"/>
    <hyperlink ref="F33" r:id="rId31" display="https://1drv.ms/b/c/a8f0902f6b5ae388/IQBlPkTqZuc8RJpVpa-IeRVPAXwsniFAOOTcH9y5svfpl-k?e=AEhbZu" xr:uid="{17B2CD09-6179-469B-AE5E-8E4DB09F782C}"/>
    <hyperlink ref="F34" r:id="rId32" display="https://1drv.ms/b/c/a8f0902f6b5ae388/IQBlPkTqZuc8RJpVpa-IeRVPAXwsniFAOOTcH9y5svfpl-k?e=AEhbZu" xr:uid="{F89F86C8-59A2-4042-91CC-F13395C42188}"/>
    <hyperlink ref="F35" r:id="rId33" display="https://1drv.ms/b/c/a8f0902f6b5ae388/IQBlPkTqZuc8RJpVpa-IeRVPAXwsniFAOOTcH9y5svfpl-k?e=AEhbZu" xr:uid="{382A4C84-8808-4FCC-B1C5-2DCE32F23A28}"/>
  </hyperlinks>
  <pageMargins left="0.7" right="0.7" top="0.75" bottom="0.75" header="0.3" footer="0.3"/>
  <pageSetup paperSize="9" orientation="portrait" r:id="rId3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4929-0442-4656-9543-BD089CD20C91}">
  <sheetPr codeName="Sheet18">
    <tabColor rgb="FFFFFF00"/>
  </sheetPr>
  <dimension ref="A1:H62"/>
  <sheetViews>
    <sheetView view="pageBreakPreview" zoomScaleNormal="100" zoomScaleSheetLayoutView="100" workbookViewId="0">
      <pane ySplit="1" topLeftCell="A46" activePane="bottomLeft" state="frozen"/>
      <selection pane="bottomLeft" activeCell="F2" sqref="F2:F62"/>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202</v>
      </c>
      <c r="C1" s="6"/>
      <c r="D1" s="5" t="s">
        <v>1</v>
      </c>
      <c r="E1" s="5" t="s">
        <v>2</v>
      </c>
      <c r="F1" s="6" t="s">
        <v>3</v>
      </c>
      <c r="G1" s="6" t="s">
        <v>4</v>
      </c>
      <c r="H1" s="6" t="s">
        <v>5</v>
      </c>
    </row>
    <row r="2" spans="1:8" x14ac:dyDescent="0.45">
      <c r="A2" s="3">
        <f t="shared" ref="A2:A33" si="0">ROW()-1</f>
        <v>1</v>
      </c>
      <c r="B2" s="3" t="s">
        <v>203</v>
      </c>
      <c r="C2" s="2" t="s">
        <v>150</v>
      </c>
      <c r="D2" s="2" t="s">
        <v>192</v>
      </c>
      <c r="E2" s="2"/>
      <c r="F2" s="7">
        <v>239</v>
      </c>
      <c r="G2" s="3">
        <v>90</v>
      </c>
      <c r="H2" s="3">
        <v>156</v>
      </c>
    </row>
    <row r="3" spans="1:8" x14ac:dyDescent="0.45">
      <c r="A3" s="3">
        <f t="shared" si="0"/>
        <v>2</v>
      </c>
      <c r="B3" s="7" t="s">
        <v>204</v>
      </c>
      <c r="C3" s="2" t="s">
        <v>41</v>
      </c>
      <c r="D3" s="2" t="s">
        <v>189</v>
      </c>
      <c r="E3" s="2" t="s">
        <v>205</v>
      </c>
      <c r="F3" s="7">
        <v>241</v>
      </c>
      <c r="G3" s="3"/>
      <c r="H3" s="3"/>
    </row>
    <row r="4" spans="1:8" x14ac:dyDescent="0.45">
      <c r="A4" s="3">
        <f t="shared" si="0"/>
        <v>3</v>
      </c>
      <c r="B4" s="7" t="s">
        <v>206</v>
      </c>
      <c r="C4" s="2" t="s">
        <v>200</v>
      </c>
      <c r="D4" s="2" t="s">
        <v>192</v>
      </c>
      <c r="E4" s="2" t="s">
        <v>207</v>
      </c>
      <c r="F4" s="7">
        <v>241</v>
      </c>
      <c r="G4" s="3"/>
      <c r="H4" s="3"/>
    </row>
    <row r="5" spans="1:8" x14ac:dyDescent="0.45">
      <c r="A5" s="3">
        <f t="shared" si="0"/>
        <v>4</v>
      </c>
      <c r="B5" s="7" t="s">
        <v>208</v>
      </c>
      <c r="C5" s="2" t="s">
        <v>200</v>
      </c>
      <c r="D5" s="2" t="s">
        <v>209</v>
      </c>
      <c r="E5" s="2" t="s">
        <v>210</v>
      </c>
      <c r="F5" s="7">
        <v>242</v>
      </c>
      <c r="G5" s="3"/>
      <c r="H5" s="3"/>
    </row>
    <row r="6" spans="1:8" x14ac:dyDescent="0.45">
      <c r="A6" s="3">
        <f t="shared" si="0"/>
        <v>5</v>
      </c>
      <c r="B6" s="7" t="s">
        <v>211</v>
      </c>
      <c r="C6" s="2" t="s">
        <v>52</v>
      </c>
      <c r="D6" s="2" t="s">
        <v>212</v>
      </c>
      <c r="E6" s="2" t="s">
        <v>213</v>
      </c>
      <c r="F6" s="7">
        <v>242</v>
      </c>
      <c r="G6" s="3"/>
      <c r="H6" s="3"/>
    </row>
    <row r="7" spans="1:8" x14ac:dyDescent="0.45">
      <c r="A7" s="3">
        <f t="shared" si="0"/>
        <v>6</v>
      </c>
      <c r="B7" s="7" t="s">
        <v>214</v>
      </c>
      <c r="C7" s="2" t="s">
        <v>41</v>
      </c>
      <c r="D7" s="2" t="s">
        <v>189</v>
      </c>
      <c r="E7" s="2" t="s">
        <v>207</v>
      </c>
      <c r="F7" s="7">
        <v>242</v>
      </c>
      <c r="G7" s="3"/>
      <c r="H7" s="3"/>
    </row>
    <row r="8" spans="1:8" x14ac:dyDescent="0.45">
      <c r="A8" s="3">
        <f t="shared" si="0"/>
        <v>7</v>
      </c>
      <c r="B8" s="7" t="s">
        <v>215</v>
      </c>
      <c r="C8" s="2" t="s">
        <v>161</v>
      </c>
      <c r="D8" s="2" t="s">
        <v>192</v>
      </c>
      <c r="E8" s="2"/>
      <c r="F8" s="7">
        <v>242</v>
      </c>
      <c r="G8" s="3"/>
      <c r="H8" s="3"/>
    </row>
    <row r="9" spans="1:8" x14ac:dyDescent="0.45">
      <c r="A9" s="3">
        <f t="shared" si="0"/>
        <v>8</v>
      </c>
      <c r="B9" s="7" t="s">
        <v>216</v>
      </c>
      <c r="C9" s="2" t="s">
        <v>161</v>
      </c>
      <c r="D9" s="2" t="s">
        <v>192</v>
      </c>
      <c r="E9" s="2"/>
      <c r="F9" s="3"/>
      <c r="G9" s="3"/>
      <c r="H9" s="3">
        <v>212</v>
      </c>
    </row>
    <row r="10" spans="1:8" x14ac:dyDescent="0.45">
      <c r="A10" s="3">
        <f t="shared" si="0"/>
        <v>9</v>
      </c>
      <c r="B10" s="7" t="s">
        <v>217</v>
      </c>
      <c r="C10" s="2" t="s">
        <v>41</v>
      </c>
      <c r="D10" s="2" t="s">
        <v>56</v>
      </c>
      <c r="E10" s="2" t="s">
        <v>57</v>
      </c>
      <c r="F10" s="7">
        <v>243</v>
      </c>
      <c r="G10" s="3"/>
      <c r="H10" s="3">
        <v>214</v>
      </c>
    </row>
    <row r="11" spans="1:8" x14ac:dyDescent="0.45">
      <c r="A11" s="3">
        <f t="shared" si="0"/>
        <v>10</v>
      </c>
      <c r="B11" s="3" t="s">
        <v>218</v>
      </c>
      <c r="C11" s="2" t="s">
        <v>153</v>
      </c>
      <c r="D11" s="2" t="s">
        <v>192</v>
      </c>
      <c r="E11" s="2"/>
      <c r="F11" s="7">
        <v>243</v>
      </c>
      <c r="G11" s="3"/>
      <c r="H11" s="3"/>
    </row>
    <row r="12" spans="1:8" x14ac:dyDescent="0.45">
      <c r="A12" s="3">
        <f t="shared" si="0"/>
        <v>11</v>
      </c>
      <c r="B12" s="7" t="s">
        <v>219</v>
      </c>
      <c r="C12" s="2" t="s">
        <v>52</v>
      </c>
      <c r="D12" s="2" t="s">
        <v>220</v>
      </c>
      <c r="E12" s="2" t="s">
        <v>221</v>
      </c>
      <c r="F12" s="7">
        <v>244</v>
      </c>
      <c r="G12" s="3"/>
      <c r="H12" s="3"/>
    </row>
    <row r="13" spans="1:8" x14ac:dyDescent="0.45">
      <c r="A13" s="3">
        <f t="shared" si="0"/>
        <v>12</v>
      </c>
      <c r="B13" s="7" t="s">
        <v>222</v>
      </c>
      <c r="C13" s="2" t="s">
        <v>41</v>
      </c>
      <c r="D13" s="2" t="s">
        <v>189</v>
      </c>
      <c r="E13" s="2" t="s">
        <v>207</v>
      </c>
      <c r="F13" s="7">
        <v>244</v>
      </c>
      <c r="G13" s="3"/>
      <c r="H13" s="3"/>
    </row>
    <row r="14" spans="1:8" x14ac:dyDescent="0.45">
      <c r="A14" s="3">
        <f t="shared" si="0"/>
        <v>13</v>
      </c>
      <c r="B14" s="7" t="s">
        <v>223</v>
      </c>
      <c r="C14" s="2" t="s">
        <v>41</v>
      </c>
      <c r="D14" s="2" t="s">
        <v>189</v>
      </c>
      <c r="E14" s="2" t="s">
        <v>207</v>
      </c>
      <c r="F14" s="7">
        <v>245</v>
      </c>
      <c r="G14" s="3"/>
      <c r="H14" s="3"/>
    </row>
    <row r="15" spans="1:8" x14ac:dyDescent="0.45">
      <c r="A15" s="3">
        <f t="shared" si="0"/>
        <v>14</v>
      </c>
      <c r="B15" s="3" t="s">
        <v>224</v>
      </c>
      <c r="C15" s="2" t="s">
        <v>157</v>
      </c>
      <c r="D15" s="2" t="s">
        <v>189</v>
      </c>
      <c r="E15" s="2"/>
      <c r="F15" s="7">
        <v>245</v>
      </c>
      <c r="G15" s="3"/>
      <c r="H15" s="3">
        <v>166</v>
      </c>
    </row>
    <row r="16" spans="1:8" x14ac:dyDescent="0.45">
      <c r="A16" s="3">
        <f t="shared" si="0"/>
        <v>15</v>
      </c>
      <c r="B16" s="3" t="s">
        <v>225</v>
      </c>
      <c r="C16" s="2" t="s">
        <v>174</v>
      </c>
      <c r="D16" s="2" t="s">
        <v>192</v>
      </c>
      <c r="E16" s="2"/>
      <c r="F16" s="7">
        <v>246</v>
      </c>
      <c r="G16" s="3">
        <v>98</v>
      </c>
      <c r="H16" s="3">
        <v>174</v>
      </c>
    </row>
    <row r="17" spans="1:8" x14ac:dyDescent="0.45">
      <c r="A17" s="3">
        <f t="shared" si="0"/>
        <v>16</v>
      </c>
      <c r="B17" s="7" t="s">
        <v>226</v>
      </c>
      <c r="C17" s="2" t="s">
        <v>52</v>
      </c>
      <c r="D17" s="2" t="s">
        <v>189</v>
      </c>
      <c r="E17" s="2" t="s">
        <v>205</v>
      </c>
      <c r="F17" s="7">
        <v>247</v>
      </c>
      <c r="G17" s="3"/>
      <c r="H17" s="3"/>
    </row>
    <row r="18" spans="1:8" x14ac:dyDescent="0.45">
      <c r="A18" s="3">
        <f t="shared" si="0"/>
        <v>17</v>
      </c>
      <c r="B18" s="7" t="s">
        <v>227</v>
      </c>
      <c r="C18" s="2" t="s">
        <v>41</v>
      </c>
      <c r="D18" s="2" t="s">
        <v>189</v>
      </c>
      <c r="E18" s="2" t="s">
        <v>205</v>
      </c>
      <c r="F18" s="3"/>
      <c r="G18" s="3"/>
      <c r="H18" s="3"/>
    </row>
    <row r="19" spans="1:8" x14ac:dyDescent="0.45">
      <c r="A19" s="3">
        <f t="shared" si="0"/>
        <v>18</v>
      </c>
      <c r="B19" s="3" t="s">
        <v>228</v>
      </c>
      <c r="C19" s="2" t="s">
        <v>174</v>
      </c>
      <c r="D19" s="2" t="s">
        <v>229</v>
      </c>
      <c r="E19" s="2"/>
      <c r="F19" s="7">
        <v>248</v>
      </c>
      <c r="G19" s="3"/>
      <c r="H19" s="3"/>
    </row>
    <row r="20" spans="1:8" x14ac:dyDescent="0.45">
      <c r="A20" s="3">
        <f t="shared" si="0"/>
        <v>19</v>
      </c>
      <c r="B20" s="7" t="s">
        <v>230</v>
      </c>
      <c r="C20" s="2" t="s">
        <v>52</v>
      </c>
      <c r="D20" s="2" t="s">
        <v>231</v>
      </c>
      <c r="E20" s="2" t="s">
        <v>232</v>
      </c>
      <c r="F20" s="7">
        <v>248</v>
      </c>
      <c r="G20" s="3"/>
      <c r="H20" s="3">
        <v>218</v>
      </c>
    </row>
    <row r="21" spans="1:8" x14ac:dyDescent="0.45">
      <c r="A21" s="3">
        <f t="shared" si="0"/>
        <v>20</v>
      </c>
      <c r="B21" s="7" t="s">
        <v>233</v>
      </c>
      <c r="C21" s="2" t="s">
        <v>200</v>
      </c>
      <c r="D21" s="2" t="s">
        <v>234</v>
      </c>
      <c r="E21" s="2" t="s">
        <v>210</v>
      </c>
      <c r="F21" s="7">
        <v>248</v>
      </c>
      <c r="G21" s="3"/>
      <c r="H21" s="3"/>
    </row>
    <row r="22" spans="1:8" x14ac:dyDescent="0.45">
      <c r="A22" s="3">
        <f t="shared" si="0"/>
        <v>21</v>
      </c>
      <c r="B22" s="7" t="s">
        <v>235</v>
      </c>
      <c r="C22" s="2" t="s">
        <v>200</v>
      </c>
      <c r="D22" s="2" t="s">
        <v>236</v>
      </c>
      <c r="E22" s="2" t="s">
        <v>237</v>
      </c>
      <c r="F22" s="7">
        <v>248</v>
      </c>
      <c r="G22" s="3"/>
      <c r="H22" s="3"/>
    </row>
    <row r="23" spans="1:8" x14ac:dyDescent="0.45">
      <c r="A23" s="3">
        <f t="shared" si="0"/>
        <v>22</v>
      </c>
      <c r="B23" s="7" t="s">
        <v>238</v>
      </c>
      <c r="C23" s="2" t="s">
        <v>200</v>
      </c>
      <c r="D23" s="2" t="s">
        <v>236</v>
      </c>
      <c r="E23" s="2" t="s">
        <v>237</v>
      </c>
      <c r="F23" s="3"/>
      <c r="G23" s="3"/>
      <c r="H23" s="3"/>
    </row>
    <row r="24" spans="1:8" x14ac:dyDescent="0.45">
      <c r="A24" s="3">
        <f t="shared" si="0"/>
        <v>23</v>
      </c>
      <c r="B24" s="7" t="s">
        <v>239</v>
      </c>
      <c r="C24" s="2" t="s">
        <v>41</v>
      </c>
      <c r="D24" s="2" t="s">
        <v>189</v>
      </c>
      <c r="E24" s="2" t="s">
        <v>190</v>
      </c>
      <c r="F24" s="7">
        <v>249</v>
      </c>
      <c r="G24" s="3"/>
      <c r="H24" s="3"/>
    </row>
    <row r="25" spans="1:8" x14ac:dyDescent="0.45">
      <c r="A25" s="3">
        <f t="shared" si="0"/>
        <v>24</v>
      </c>
      <c r="B25" s="3" t="s">
        <v>240</v>
      </c>
      <c r="C25" s="2" t="s">
        <v>157</v>
      </c>
      <c r="D25" s="2" t="s">
        <v>189</v>
      </c>
      <c r="E25" s="2"/>
      <c r="F25" s="7">
        <v>249</v>
      </c>
      <c r="G25" s="3">
        <v>100</v>
      </c>
      <c r="H25" s="3">
        <v>170</v>
      </c>
    </row>
    <row r="26" spans="1:8" x14ac:dyDescent="0.45">
      <c r="A26" s="3">
        <f t="shared" si="0"/>
        <v>25</v>
      </c>
      <c r="B26" s="7" t="s">
        <v>241</v>
      </c>
      <c r="C26" s="2" t="s">
        <v>41</v>
      </c>
      <c r="D26" s="2" t="s">
        <v>189</v>
      </c>
      <c r="E26" s="2" t="s">
        <v>190</v>
      </c>
      <c r="F26" s="7">
        <v>249</v>
      </c>
      <c r="G26" s="3"/>
      <c r="H26" s="3">
        <v>172</v>
      </c>
    </row>
    <row r="27" spans="1:8" x14ac:dyDescent="0.45">
      <c r="A27" s="3">
        <f t="shared" si="0"/>
        <v>26</v>
      </c>
      <c r="B27" s="7" t="s">
        <v>242</v>
      </c>
      <c r="C27" s="2" t="s">
        <v>52</v>
      </c>
      <c r="D27" s="2" t="s">
        <v>231</v>
      </c>
      <c r="E27" s="2" t="s">
        <v>243</v>
      </c>
      <c r="F27" s="7">
        <v>249</v>
      </c>
      <c r="G27" s="3"/>
      <c r="H27" s="3"/>
    </row>
    <row r="28" spans="1:8" x14ac:dyDescent="0.45">
      <c r="A28" s="3">
        <f t="shared" si="0"/>
        <v>27</v>
      </c>
      <c r="B28" s="3" t="s">
        <v>244</v>
      </c>
      <c r="C28" s="2" t="s">
        <v>174</v>
      </c>
      <c r="D28" s="2"/>
      <c r="E28" s="2"/>
      <c r="F28" s="7">
        <v>250</v>
      </c>
      <c r="G28" s="3"/>
      <c r="H28" s="3"/>
    </row>
    <row r="29" spans="1:8" x14ac:dyDescent="0.45">
      <c r="A29" s="3">
        <f t="shared" si="0"/>
        <v>28</v>
      </c>
      <c r="B29" s="7" t="s">
        <v>245</v>
      </c>
      <c r="C29" s="2" t="s">
        <v>52</v>
      </c>
      <c r="D29" s="2" t="s">
        <v>189</v>
      </c>
      <c r="E29" s="2" t="s">
        <v>205</v>
      </c>
      <c r="F29" s="7">
        <v>250</v>
      </c>
      <c r="G29" s="3"/>
      <c r="H29" s="3">
        <v>222</v>
      </c>
    </row>
    <row r="30" spans="1:8" x14ac:dyDescent="0.45">
      <c r="A30" s="3">
        <f t="shared" si="0"/>
        <v>29</v>
      </c>
      <c r="B30" s="7" t="s">
        <v>246</v>
      </c>
      <c r="C30" s="2" t="s">
        <v>52</v>
      </c>
      <c r="D30" s="2" t="s">
        <v>189</v>
      </c>
      <c r="E30" s="2" t="s">
        <v>190</v>
      </c>
      <c r="F30" s="7">
        <v>251</v>
      </c>
      <c r="G30" s="3"/>
      <c r="H30" s="3"/>
    </row>
    <row r="31" spans="1:8" x14ac:dyDescent="0.45">
      <c r="A31" s="3">
        <f t="shared" si="0"/>
        <v>30</v>
      </c>
      <c r="B31" s="7" t="s">
        <v>247</v>
      </c>
      <c r="C31" s="2" t="s">
        <v>248</v>
      </c>
      <c r="D31" s="2" t="s">
        <v>189</v>
      </c>
      <c r="E31" s="2" t="s">
        <v>190</v>
      </c>
      <c r="F31" s="7">
        <v>251</v>
      </c>
      <c r="G31" s="3"/>
      <c r="H31" s="3"/>
    </row>
    <row r="32" spans="1:8" x14ac:dyDescent="0.45">
      <c r="A32" s="3">
        <f t="shared" si="0"/>
        <v>31</v>
      </c>
      <c r="B32" s="7" t="s">
        <v>249</v>
      </c>
      <c r="C32" s="2" t="s">
        <v>248</v>
      </c>
      <c r="D32" s="2"/>
      <c r="E32" s="2"/>
      <c r="F32" s="7">
        <v>251</v>
      </c>
      <c r="G32" s="3"/>
      <c r="H32" s="3"/>
    </row>
    <row r="33" spans="1:8" x14ac:dyDescent="0.45">
      <c r="A33" s="3">
        <f t="shared" si="0"/>
        <v>32</v>
      </c>
      <c r="B33" s="7" t="s">
        <v>250</v>
      </c>
      <c r="C33" s="2" t="s">
        <v>248</v>
      </c>
      <c r="D33" s="2"/>
      <c r="E33" s="2"/>
      <c r="F33" s="7">
        <v>252</v>
      </c>
      <c r="G33" s="3"/>
      <c r="H33" s="3"/>
    </row>
    <row r="34" spans="1:8" x14ac:dyDescent="0.45">
      <c r="A34" s="3">
        <f t="shared" ref="A34:A62" si="1">ROW()-1</f>
        <v>33</v>
      </c>
      <c r="B34" s="7" t="s">
        <v>251</v>
      </c>
      <c r="C34" s="2" t="s">
        <v>52</v>
      </c>
      <c r="D34" s="2" t="s">
        <v>189</v>
      </c>
      <c r="E34" s="2" t="s">
        <v>205</v>
      </c>
      <c r="F34" s="7">
        <v>252</v>
      </c>
      <c r="G34" s="3"/>
      <c r="H34" s="3">
        <v>220</v>
      </c>
    </row>
    <row r="35" spans="1:8" x14ac:dyDescent="0.45">
      <c r="A35" s="3">
        <f t="shared" si="1"/>
        <v>34</v>
      </c>
      <c r="B35" s="7" t="s">
        <v>252</v>
      </c>
      <c r="C35" s="2" t="s">
        <v>52</v>
      </c>
      <c r="D35" s="2" t="s">
        <v>189</v>
      </c>
      <c r="E35" s="2" t="s">
        <v>205</v>
      </c>
      <c r="F35" s="7">
        <v>252</v>
      </c>
      <c r="G35" s="3"/>
      <c r="H35" s="3">
        <v>224</v>
      </c>
    </row>
    <row r="36" spans="1:8" x14ac:dyDescent="0.45">
      <c r="A36" s="3">
        <f t="shared" si="1"/>
        <v>35</v>
      </c>
      <c r="B36" s="7" t="s">
        <v>253</v>
      </c>
      <c r="C36" s="2" t="s">
        <v>72</v>
      </c>
      <c r="D36" s="2" t="s">
        <v>254</v>
      </c>
      <c r="E36" s="2"/>
      <c r="F36" s="7">
        <v>253</v>
      </c>
      <c r="G36" s="3"/>
      <c r="H36" s="3"/>
    </row>
    <row r="37" spans="1:8" x14ac:dyDescent="0.45">
      <c r="A37" s="3">
        <f t="shared" si="1"/>
        <v>36</v>
      </c>
      <c r="B37" s="7" t="s">
        <v>255</v>
      </c>
      <c r="C37" s="2" t="s">
        <v>72</v>
      </c>
      <c r="D37" s="2" t="s">
        <v>747</v>
      </c>
      <c r="E37" s="2"/>
      <c r="F37" s="7">
        <v>254</v>
      </c>
      <c r="G37" s="3"/>
      <c r="H37" s="3">
        <v>206</v>
      </c>
    </row>
    <row r="38" spans="1:8" x14ac:dyDescent="0.45">
      <c r="A38" s="3">
        <f t="shared" si="1"/>
        <v>37</v>
      </c>
      <c r="B38" s="7" t="s">
        <v>256</v>
      </c>
      <c r="C38" s="2" t="s">
        <v>72</v>
      </c>
      <c r="D38" s="2" t="s">
        <v>257</v>
      </c>
      <c r="E38" s="2"/>
      <c r="F38" s="7">
        <v>254</v>
      </c>
      <c r="G38" s="3"/>
      <c r="H38" s="3">
        <v>210</v>
      </c>
    </row>
    <row r="39" spans="1:8" x14ac:dyDescent="0.45">
      <c r="A39" s="3">
        <f t="shared" si="1"/>
        <v>38</v>
      </c>
      <c r="B39" s="7" t="s">
        <v>258</v>
      </c>
      <c r="C39" s="2" t="s">
        <v>41</v>
      </c>
      <c r="D39" s="2" t="s">
        <v>192</v>
      </c>
      <c r="E39" s="2" t="s">
        <v>190</v>
      </c>
      <c r="F39" s="7">
        <v>254</v>
      </c>
      <c r="G39" s="3"/>
      <c r="H39" s="3"/>
    </row>
    <row r="40" spans="1:8" x14ac:dyDescent="0.45">
      <c r="A40" s="3">
        <f t="shared" si="1"/>
        <v>39</v>
      </c>
      <c r="B40" s="3" t="s">
        <v>259</v>
      </c>
      <c r="C40" s="2" t="s">
        <v>153</v>
      </c>
      <c r="D40" s="2" t="s">
        <v>189</v>
      </c>
      <c r="E40" s="2"/>
      <c r="F40" s="7">
        <v>257</v>
      </c>
      <c r="G40" s="3">
        <v>108</v>
      </c>
      <c r="H40" s="3">
        <v>180</v>
      </c>
    </row>
    <row r="41" spans="1:8" x14ac:dyDescent="0.45">
      <c r="A41" s="3">
        <f t="shared" si="1"/>
        <v>40</v>
      </c>
      <c r="B41" s="3" t="s">
        <v>260</v>
      </c>
      <c r="C41" s="2" t="s">
        <v>174</v>
      </c>
      <c r="D41" s="2"/>
      <c r="E41" s="2"/>
      <c r="F41" s="7">
        <v>257</v>
      </c>
      <c r="G41" s="3">
        <v>110</v>
      </c>
      <c r="H41" s="3">
        <v>182</v>
      </c>
    </row>
    <row r="42" spans="1:8" x14ac:dyDescent="0.45">
      <c r="A42" s="3">
        <f t="shared" si="1"/>
        <v>41</v>
      </c>
      <c r="B42" s="3" t="s">
        <v>261</v>
      </c>
      <c r="C42" s="2" t="s">
        <v>174</v>
      </c>
      <c r="D42" s="2" t="s">
        <v>192</v>
      </c>
      <c r="E42" s="2"/>
      <c r="F42" s="7">
        <v>257</v>
      </c>
      <c r="G42" s="3"/>
      <c r="H42" s="3"/>
    </row>
    <row r="43" spans="1:8" x14ac:dyDescent="0.45">
      <c r="A43" s="3">
        <f t="shared" si="1"/>
        <v>42</v>
      </c>
      <c r="B43" s="7" t="s">
        <v>262</v>
      </c>
      <c r="C43" s="2" t="s">
        <v>161</v>
      </c>
      <c r="D43" s="2" t="s">
        <v>192</v>
      </c>
      <c r="E43" s="2"/>
      <c r="F43" s="7">
        <v>258</v>
      </c>
      <c r="G43" s="3"/>
      <c r="H43" s="3"/>
    </row>
    <row r="44" spans="1:8" x14ac:dyDescent="0.45">
      <c r="A44" s="3">
        <f t="shared" si="1"/>
        <v>43</v>
      </c>
      <c r="B44" s="3" t="s">
        <v>263</v>
      </c>
      <c r="C44" s="2" t="s">
        <v>174</v>
      </c>
      <c r="D44" s="2"/>
      <c r="E44" s="2"/>
      <c r="F44" s="7">
        <v>258</v>
      </c>
      <c r="G44" s="3"/>
      <c r="H44" s="3"/>
    </row>
    <row r="45" spans="1:8" x14ac:dyDescent="0.45">
      <c r="A45" s="3">
        <f t="shared" si="1"/>
        <v>44</v>
      </c>
      <c r="B45" s="3" t="s">
        <v>264</v>
      </c>
      <c r="C45" s="2" t="s">
        <v>174</v>
      </c>
      <c r="D45" s="2" t="s">
        <v>265</v>
      </c>
      <c r="E45" s="2"/>
      <c r="F45" s="7">
        <v>258</v>
      </c>
      <c r="G45" s="3">
        <v>116</v>
      </c>
      <c r="H45" s="3">
        <v>186</v>
      </c>
    </row>
    <row r="46" spans="1:8" x14ac:dyDescent="0.45">
      <c r="A46" s="3">
        <f t="shared" si="1"/>
        <v>45</v>
      </c>
      <c r="B46" s="3" t="s">
        <v>266</v>
      </c>
      <c r="C46" s="2" t="s">
        <v>174</v>
      </c>
      <c r="D46" s="2" t="s">
        <v>265</v>
      </c>
      <c r="E46" s="2"/>
      <c r="F46" s="3"/>
      <c r="G46" s="3"/>
      <c r="H46" s="3"/>
    </row>
    <row r="47" spans="1:8" x14ac:dyDescent="0.45">
      <c r="A47" s="3">
        <f t="shared" si="1"/>
        <v>46</v>
      </c>
      <c r="B47" s="7" t="s">
        <v>267</v>
      </c>
      <c r="C47" s="2" t="s">
        <v>52</v>
      </c>
      <c r="D47" s="2" t="s">
        <v>220</v>
      </c>
      <c r="E47" s="2" t="s">
        <v>221</v>
      </c>
      <c r="F47" s="7">
        <v>259</v>
      </c>
      <c r="G47" s="3"/>
      <c r="H47" s="3">
        <v>188</v>
      </c>
    </row>
    <row r="48" spans="1:8" x14ac:dyDescent="0.45">
      <c r="A48" s="3">
        <f t="shared" si="1"/>
        <v>47</v>
      </c>
      <c r="B48" s="7" t="s">
        <v>268</v>
      </c>
      <c r="C48" s="2" t="s">
        <v>41</v>
      </c>
      <c r="D48" s="2" t="s">
        <v>269</v>
      </c>
      <c r="E48" s="2" t="s">
        <v>221</v>
      </c>
      <c r="F48" s="7">
        <v>259</v>
      </c>
      <c r="G48" s="3"/>
      <c r="H48" s="3"/>
    </row>
    <row r="49" spans="1:8" x14ac:dyDescent="0.45">
      <c r="A49" s="3">
        <f t="shared" si="1"/>
        <v>48</v>
      </c>
      <c r="B49" s="7" t="s">
        <v>270</v>
      </c>
      <c r="C49" s="2" t="s">
        <v>41</v>
      </c>
      <c r="D49" s="2" t="s">
        <v>269</v>
      </c>
      <c r="E49" s="2" t="s">
        <v>221</v>
      </c>
      <c r="F49" s="7">
        <v>259</v>
      </c>
      <c r="G49" s="3"/>
      <c r="H49" s="3"/>
    </row>
    <row r="50" spans="1:8" x14ac:dyDescent="0.45">
      <c r="A50" s="3">
        <f t="shared" si="1"/>
        <v>49</v>
      </c>
      <c r="B50" s="7" t="s">
        <v>271</v>
      </c>
      <c r="C50" s="2" t="s">
        <v>52</v>
      </c>
      <c r="D50" s="2" t="s">
        <v>220</v>
      </c>
      <c r="E50" s="2" t="s">
        <v>221</v>
      </c>
      <c r="F50" s="7">
        <v>260</v>
      </c>
      <c r="G50" s="3"/>
      <c r="H50" s="3">
        <v>190</v>
      </c>
    </row>
    <row r="51" spans="1:8" x14ac:dyDescent="0.45">
      <c r="A51" s="3">
        <f t="shared" si="1"/>
        <v>50</v>
      </c>
      <c r="B51" s="7" t="s">
        <v>272</v>
      </c>
      <c r="C51" s="2" t="s">
        <v>200</v>
      </c>
      <c r="D51" s="2" t="s">
        <v>192</v>
      </c>
      <c r="E51" s="2" t="s">
        <v>273</v>
      </c>
      <c r="F51" s="7">
        <v>260</v>
      </c>
      <c r="G51" s="3"/>
      <c r="H51" s="3"/>
    </row>
    <row r="52" spans="1:8" x14ac:dyDescent="0.45">
      <c r="A52" s="3">
        <f t="shared" si="1"/>
        <v>51</v>
      </c>
      <c r="B52" s="7" t="s">
        <v>274</v>
      </c>
      <c r="C52" s="2" t="s">
        <v>52</v>
      </c>
      <c r="D52" s="2" t="s">
        <v>220</v>
      </c>
      <c r="E52" s="2" t="s">
        <v>221</v>
      </c>
      <c r="F52" s="7">
        <v>261</v>
      </c>
      <c r="G52" s="3"/>
      <c r="H52" s="3"/>
    </row>
    <row r="53" spans="1:8" x14ac:dyDescent="0.45">
      <c r="A53" s="3">
        <f t="shared" si="1"/>
        <v>52</v>
      </c>
      <c r="B53" s="7" t="s">
        <v>275</v>
      </c>
      <c r="C53" s="2" t="s">
        <v>52</v>
      </c>
      <c r="D53" s="2" t="s">
        <v>231</v>
      </c>
      <c r="E53" s="2" t="s">
        <v>232</v>
      </c>
      <c r="F53" s="7">
        <v>261</v>
      </c>
      <c r="G53" s="3"/>
      <c r="H53" s="3">
        <v>216</v>
      </c>
    </row>
    <row r="54" spans="1:8" x14ac:dyDescent="0.45">
      <c r="A54" s="3">
        <f t="shared" si="1"/>
        <v>53</v>
      </c>
      <c r="B54" s="7" t="s">
        <v>276</v>
      </c>
      <c r="C54" s="2" t="s">
        <v>248</v>
      </c>
      <c r="D54" s="2" t="s">
        <v>277</v>
      </c>
      <c r="E54" s="2" t="s">
        <v>232</v>
      </c>
      <c r="F54" s="7">
        <v>261</v>
      </c>
      <c r="G54" s="3"/>
      <c r="H54" s="3"/>
    </row>
    <row r="55" spans="1:8" x14ac:dyDescent="0.45">
      <c r="A55" s="3">
        <f t="shared" si="1"/>
        <v>54</v>
      </c>
      <c r="B55" s="7" t="s">
        <v>278</v>
      </c>
      <c r="C55" s="2" t="s">
        <v>200</v>
      </c>
      <c r="D55" s="2" t="s">
        <v>212</v>
      </c>
      <c r="E55" s="2" t="s">
        <v>213</v>
      </c>
      <c r="F55" s="7">
        <v>262</v>
      </c>
      <c r="G55" s="3"/>
      <c r="H55" s="3"/>
    </row>
    <row r="56" spans="1:8" x14ac:dyDescent="0.45">
      <c r="A56" s="3">
        <f t="shared" si="1"/>
        <v>55</v>
      </c>
      <c r="B56" s="7" t="s">
        <v>279</v>
      </c>
      <c r="C56" s="2" t="s">
        <v>200</v>
      </c>
      <c r="D56" s="2" t="s">
        <v>212</v>
      </c>
      <c r="E56" s="2" t="s">
        <v>213</v>
      </c>
      <c r="F56" s="7">
        <v>262</v>
      </c>
      <c r="G56" s="3"/>
      <c r="H56" s="3"/>
    </row>
    <row r="57" spans="1:8" x14ac:dyDescent="0.45">
      <c r="A57" s="3">
        <f t="shared" si="1"/>
        <v>56</v>
      </c>
      <c r="B57" s="7" t="s">
        <v>280</v>
      </c>
      <c r="C57" s="2" t="s">
        <v>248</v>
      </c>
      <c r="D57" s="2" t="s">
        <v>281</v>
      </c>
      <c r="E57" s="2" t="s">
        <v>213</v>
      </c>
      <c r="F57" s="7">
        <v>262</v>
      </c>
      <c r="G57" s="3"/>
      <c r="H57" s="3"/>
    </row>
    <row r="58" spans="1:8" x14ac:dyDescent="0.45">
      <c r="A58" s="3">
        <f t="shared" si="1"/>
        <v>57</v>
      </c>
      <c r="B58" s="7" t="s">
        <v>282</v>
      </c>
      <c r="C58" s="2" t="s">
        <v>248</v>
      </c>
      <c r="D58" s="2"/>
      <c r="E58" s="2"/>
      <c r="F58" s="7">
        <v>262</v>
      </c>
      <c r="G58" s="3"/>
      <c r="H58" s="3"/>
    </row>
    <row r="59" spans="1:8" x14ac:dyDescent="0.45">
      <c r="A59" s="3">
        <f t="shared" si="1"/>
        <v>58</v>
      </c>
      <c r="B59" s="7" t="s">
        <v>283</v>
      </c>
      <c r="C59" s="2" t="s">
        <v>248</v>
      </c>
      <c r="D59" s="2"/>
      <c r="E59" s="2"/>
      <c r="F59" s="7">
        <v>263</v>
      </c>
      <c r="G59" s="3"/>
      <c r="H59" s="3"/>
    </row>
    <row r="60" spans="1:8" x14ac:dyDescent="0.45">
      <c r="A60" s="3">
        <f t="shared" si="1"/>
        <v>59</v>
      </c>
      <c r="B60" s="7" t="s">
        <v>284</v>
      </c>
      <c r="C60" s="2" t="s">
        <v>52</v>
      </c>
      <c r="D60" s="2" t="s">
        <v>285</v>
      </c>
      <c r="E60" s="2" t="s">
        <v>190</v>
      </c>
      <c r="F60" s="3"/>
      <c r="G60" s="3"/>
      <c r="H60" s="3">
        <v>168</v>
      </c>
    </row>
    <row r="61" spans="1:8" x14ac:dyDescent="0.45">
      <c r="A61" s="3">
        <f t="shared" si="1"/>
        <v>60</v>
      </c>
      <c r="B61" s="7" t="s">
        <v>286</v>
      </c>
      <c r="C61" s="2" t="s">
        <v>52</v>
      </c>
      <c r="D61" s="2" t="s">
        <v>285</v>
      </c>
      <c r="E61" s="2" t="s">
        <v>207</v>
      </c>
      <c r="F61" s="3"/>
      <c r="G61" s="3"/>
      <c r="H61" s="3">
        <v>160</v>
      </c>
    </row>
    <row r="62" spans="1:8" x14ac:dyDescent="0.45">
      <c r="A62" s="3">
        <f t="shared" si="1"/>
        <v>61</v>
      </c>
      <c r="B62" s="7" t="s">
        <v>287</v>
      </c>
      <c r="C62" s="2" t="s">
        <v>52</v>
      </c>
      <c r="D62" s="2" t="s">
        <v>288</v>
      </c>
      <c r="E62" s="2" t="s">
        <v>190</v>
      </c>
      <c r="F62" s="3"/>
      <c r="G62" s="3"/>
      <c r="H62" s="3"/>
    </row>
  </sheetData>
  <autoFilter ref="A1:H62" xr:uid="{A4234929-0442-4656-9543-BD089CD20C91}"/>
  <sortState xmlns:xlrd2="http://schemas.microsoft.com/office/spreadsheetml/2017/richdata2" ref="A2:H62">
    <sortCondition ref="F2:F62"/>
  </sortState>
  <phoneticPr fontId="2"/>
  <hyperlinks>
    <hyperlink ref="B3" r:id="rId1" xr:uid="{B95AE94E-64C5-4E81-B1CF-7EEEE89A406D}"/>
    <hyperlink ref="B7" r:id="rId2" xr:uid="{A6A2595D-A3AD-4172-97ED-EC8DD179ABDF}"/>
    <hyperlink ref="B10" r:id="rId3" xr:uid="{8CD359B3-A3D4-4D85-82DC-F8EA840A9DF5}"/>
    <hyperlink ref="B13" r:id="rId4" xr:uid="{B4584885-C35F-4943-B8D1-1E3741647AB9}"/>
    <hyperlink ref="B14" r:id="rId5" xr:uid="{56120668-1BA6-4844-A504-4E4DE17E92AB}"/>
    <hyperlink ref="B18" r:id="rId6" xr:uid="{17C10F51-D1B4-48C7-8F7F-936FB2707354}"/>
    <hyperlink ref="B24" r:id="rId7" xr:uid="{0C5D086C-443C-414E-A230-7363630D20C1}"/>
    <hyperlink ref="B26" r:id="rId8" xr:uid="{C8BA9CD7-4889-48FA-8CB8-16A8BE31B3B8}"/>
    <hyperlink ref="B39" r:id="rId9" xr:uid="{3E2259A1-4776-47E9-B32C-BB3541991927}"/>
    <hyperlink ref="B48" r:id="rId10" xr:uid="{AC8D71FB-B6D4-4BF5-9C14-B7AF3F578C51}"/>
    <hyperlink ref="B49" r:id="rId11" xr:uid="{B616485E-8DB5-4FE2-98F4-984C64677F3F}"/>
    <hyperlink ref="B6" r:id="rId12" xr:uid="{AF946FB1-C94B-42D0-A431-D2CE81ECF955}"/>
    <hyperlink ref="B17" r:id="rId13" xr:uid="{68E31EFA-0A25-4F30-A53A-29EBD5D2668B}"/>
    <hyperlink ref="B20" r:id="rId14" xr:uid="{9088FCCA-2170-4955-A996-124A9730653F}"/>
    <hyperlink ref="B27" r:id="rId15" xr:uid="{46996AC4-2DC5-4965-B55A-646869DF7A88}"/>
    <hyperlink ref="B29" r:id="rId16" xr:uid="{10153057-8BD3-44CA-BB27-674BEA660AF0}"/>
    <hyperlink ref="B30" r:id="rId17" xr:uid="{E4F014B6-D165-46EA-AD09-7FFC3D74B51D}"/>
    <hyperlink ref="B34" r:id="rId18" xr:uid="{E98899FD-8231-4956-9AEE-54A57655455F}"/>
    <hyperlink ref="B35" r:id="rId19" xr:uid="{20C293D3-5CFE-41A3-A219-04E84F70B6DB}"/>
    <hyperlink ref="B47" r:id="rId20" xr:uid="{771FB72D-9948-4A01-97EC-D73F8DEC7B7B}"/>
    <hyperlink ref="B50" r:id="rId21" xr:uid="{061A7BBC-A11D-4530-8849-C758E2B3C4D4}"/>
    <hyperlink ref="B52" r:id="rId22" xr:uid="{493AFA83-B03A-4CF0-BBC6-030917E42FA0}"/>
    <hyperlink ref="B53" r:id="rId23" xr:uid="{C5B463D5-DC47-423B-BD96-4BCDB9347422}"/>
    <hyperlink ref="B60" r:id="rId24" xr:uid="{5CAD6164-8F4B-410A-AC72-95980298B6C6}"/>
    <hyperlink ref="B61" r:id="rId25" xr:uid="{C323A8A6-4C29-4404-8667-231900DBFC1D}"/>
    <hyperlink ref="B62" r:id="rId26" xr:uid="{78011FA8-D8A1-4298-AC84-670699B4392F}"/>
    <hyperlink ref="B4" r:id="rId27" xr:uid="{F1D37F1F-0FF0-415B-B77B-41F92C0CCD18}"/>
    <hyperlink ref="B5" r:id="rId28" xr:uid="{D4948E6E-AE4E-4AFA-8A75-C7EE5FCC543B}"/>
    <hyperlink ref="B21" r:id="rId29" xr:uid="{69985C4F-4310-4D9C-ADCF-FA8021DF7791}"/>
    <hyperlink ref="B22" r:id="rId30" xr:uid="{051DAC5D-F969-4521-82F1-883A40A9DF63}"/>
    <hyperlink ref="B23" r:id="rId31" xr:uid="{E8E40ABC-1FC1-4999-A8F2-5D7EFDED8B77}"/>
    <hyperlink ref="B51" r:id="rId32" xr:uid="{A7CBD2C1-3E53-4013-B708-68ABD93A13EC}"/>
    <hyperlink ref="B55" r:id="rId33" xr:uid="{F63FB8BA-B367-486E-9116-A98E369622AB}"/>
    <hyperlink ref="B56" r:id="rId34" xr:uid="{DE7D3EC2-B284-45AB-B9BE-589F3AD24861}"/>
    <hyperlink ref="B31" r:id="rId35" xr:uid="{30BA8018-2053-463F-B1A0-439CAC80848A}"/>
    <hyperlink ref="B32" r:id="rId36" xr:uid="{FF1B10F9-9579-4476-98FE-26D63D4F81C2}"/>
    <hyperlink ref="B33" r:id="rId37" xr:uid="{FF1E9173-A30A-4A55-A141-BB93D38C4F1B}"/>
    <hyperlink ref="B54" r:id="rId38" xr:uid="{7DCB1018-449E-4D1F-8071-01B76CD7F43D}"/>
    <hyperlink ref="B57" r:id="rId39" xr:uid="{45C07B41-9751-4655-8F5B-6905EB841A23}"/>
    <hyperlink ref="B58" r:id="rId40" xr:uid="{02AB6B67-9B68-4F7C-9E82-3EB2C63F4279}"/>
    <hyperlink ref="B59" r:id="rId41" xr:uid="{B1781E32-0E11-4ECE-A35C-0F434EB48602}"/>
    <hyperlink ref="B12" r:id="rId42" xr:uid="{45DC157C-995D-45F7-A44F-6E6B764F8288}"/>
    <hyperlink ref="B36" r:id="rId43" xr:uid="{916AEB4E-CDC0-4F50-8F18-63EB5195412E}"/>
    <hyperlink ref="B37" r:id="rId44" xr:uid="{0C521536-C7B1-4E52-BEA5-0984F0BD2F32}"/>
    <hyperlink ref="B38" r:id="rId45" xr:uid="{D9BDCA07-58DC-41BB-99D2-34191885D71C}"/>
    <hyperlink ref="B8" r:id="rId46" xr:uid="{1404DBEB-FE1D-4E69-9D13-77243ADEC444}"/>
    <hyperlink ref="B9" r:id="rId47" xr:uid="{00F125F2-A888-4C00-B25B-A80533651463}"/>
    <hyperlink ref="B43" r:id="rId48" xr:uid="{F4A68C81-83AD-4B81-8051-6620B06C1E1B}"/>
    <hyperlink ref="F2" r:id="rId49" display="https://1drv.ms/b/c/a8f0902f6b5ae388/IQAUdLowiMrtTYFkRz1bda6-AS4Ou7s1HtEa9GoAgDPW20Y?e=nXvcFQ" xr:uid="{F138FE3B-4A11-4E92-A32A-1D973B2EF611}"/>
    <hyperlink ref="F3" r:id="rId50" display="https://1drv.ms/b/c/a8f0902f6b5ae388/IQD7mPaFOrdRT5THNIteXShWAW4Gr0lG1noMQ34e1Ufff6Q?e=thWg2N" xr:uid="{29BD1C83-4F80-4E1E-B45B-7FCCED980A60}"/>
    <hyperlink ref="F4" r:id="rId51" display="https://1drv.ms/b/c/a8f0902f6b5ae388/IQD7mPaFOrdRT5THNIteXShWAW4Gr0lG1noMQ34e1Ufff6Q?e=thWg2N" xr:uid="{75287028-AF7F-42F2-AF75-F437F248D5DB}"/>
    <hyperlink ref="F5" r:id="rId52" display="https://1drv.ms/b/c/a8f0902f6b5ae388/IQDJwiU8EXngSZLeVRwFI1nnAdGXlsL-Xccljt2eWfIY0dQ?e=e50GFK" xr:uid="{96CF3D5C-BDEC-480D-8317-65AF3DD42471}"/>
    <hyperlink ref="F6" r:id="rId53" display="https://1drv.ms/b/c/a8f0902f6b5ae388/IQDJwiU8EXngSZLeVRwFI1nnAdGXlsL-Xccljt2eWfIY0dQ?e=e50GFK" xr:uid="{55DBFCFE-044F-4A53-B00D-78DA8F193ADB}"/>
    <hyperlink ref="F7" r:id="rId54" display="https://1drv.ms/b/c/a8f0902f6b5ae388/IQDJwiU8EXngSZLeVRwFI1nnAdGXlsL-Xccljt2eWfIY0dQ?e=e50GFK" xr:uid="{C5B7D834-331C-4671-A479-9863F53913C9}"/>
    <hyperlink ref="F8" r:id="rId55" display="https://1drv.ms/b/c/a8f0902f6b5ae388/IQDJwiU8EXngSZLeVRwFI1nnAdGXlsL-Xccljt2eWfIY0dQ?e=e50GFK" xr:uid="{9C15A010-ABDF-4453-9D55-C25EC2FF30C0}"/>
    <hyperlink ref="F10" r:id="rId56" display="https://1drv.ms/b/c/a8f0902f6b5ae388/IQDJwiU8EXngSZLeVRwFI1nnAdGXlsL-Xccljt2eWfIY0dQ?e=e50GFK" xr:uid="{69C72CE5-4CE5-472C-B68F-B947837F06C1}"/>
    <hyperlink ref="F11" r:id="rId57" display="https://1drv.ms/b/c/a8f0902f6b5ae388/IQDJwiU8EXngSZLeVRwFI1nnAdGXlsL-Xccljt2eWfIY0dQ?e=e50GFK" xr:uid="{2AC253F7-1052-4BB7-91E4-C91E0C25C0B8}"/>
    <hyperlink ref="F12" r:id="rId58" display="https://1drv.ms/b/c/a8f0902f6b5ae388/IQDCimVxtuBBTrn2NqPqoQLlAeP49ZWG1dhh28R4iIxwpZk?e=iyzVYv" xr:uid="{7887382B-2BB2-4FE0-817E-F29F9B580231}"/>
    <hyperlink ref="F13" r:id="rId59" display="https://1drv.ms/b/c/a8f0902f6b5ae388/IQDCimVxtuBBTrn2NqPqoQLlAeP49ZWG1dhh28R4iIxwpZk?e=iyzVYv" xr:uid="{91A9C5C2-FF5A-49DE-B66D-74947A70E894}"/>
    <hyperlink ref="F14" r:id="rId60" display="https://1drv.ms/b/c/a8f0902f6b5ae388/IQDCimVxtuBBTrn2NqPqoQLlAeP49ZWG1dhh28R4iIxwpZk?e=iyzVYv" xr:uid="{753A2F6E-E348-4407-8F1E-83B60BE15639}"/>
    <hyperlink ref="F15" r:id="rId61" display="https://1drv.ms/b/c/a8f0902f6b5ae388/IQDCimVxtuBBTrn2NqPqoQLlAeP49ZWG1dhh28R4iIxwpZk?e=iyzVYv" xr:uid="{A500A2BD-6FB8-46F1-9328-3CBD79432670}"/>
    <hyperlink ref="F16" r:id="rId62" display="https://1drv.ms/b/c/a8f0902f6b5ae388/IQA4goP1LZ9ARaSfQ5MVIaNqAQWfG8TyzlWnNVLQVOxf43g?e=Xfk5xB" xr:uid="{A668374F-21E9-4AA3-94A7-99AE01FB8468}"/>
    <hyperlink ref="F17" r:id="rId63" display="https://1drv.ms/b/c/a8f0902f6b5ae388/IQA4goP1LZ9ARaSfQ5MVIaNqAQWfG8TyzlWnNVLQVOxf43g?e=Xfk5xB" xr:uid="{AED11FB4-9E40-4B26-82E6-1940DDCA83FB}"/>
    <hyperlink ref="F19" r:id="rId64" display="https://1drv.ms/b/c/a8f0902f6b5ae388/IQDk6i2jAKrzRIoVYomJJZ3NAYaGTyuRQB9JMJ5z-XI_0og?e=j0fcB4" xr:uid="{7F8B6279-2F61-4FBD-9D09-A563FFFC9936}"/>
    <hyperlink ref="F20" r:id="rId65" display="https://1drv.ms/b/c/a8f0902f6b5ae388/IQDk6i2jAKrzRIoVYomJJZ3NAYaGTyuRQB9JMJ5z-XI_0og?e=j0fcB4" xr:uid="{6BFC89E7-877A-4E1C-9D29-6215D28A0654}"/>
    <hyperlink ref="F21" r:id="rId66" display="https://1drv.ms/b/c/a8f0902f6b5ae388/IQDk6i2jAKrzRIoVYomJJZ3NAYaGTyuRQB9JMJ5z-XI_0og?e=j0fcB4" xr:uid="{82B3E576-077A-40D4-935A-969DBC0DDF6C}"/>
    <hyperlink ref="F22" r:id="rId67" display="https://1drv.ms/b/c/a8f0902f6b5ae388/IQDk6i2jAKrzRIoVYomJJZ3NAYaGTyuRQB9JMJ5z-XI_0og?e=j0fcB4" xr:uid="{AFD77B20-DAE6-4C3D-B0DF-C4F09A15BF88}"/>
    <hyperlink ref="F24" r:id="rId68" display="https://1drv.ms/b/c/a8f0902f6b5ae388/IQDk6i2jAKrzRIoVYomJJZ3NAYaGTyuRQB9JMJ5z-XI_0og?e=j0fcB4" xr:uid="{FDAAFD60-E1B4-426C-8290-B3D751CC76A0}"/>
    <hyperlink ref="F25" r:id="rId69" display="https://1drv.ms/b/c/a8f0902f6b5ae388/IQDk6i2jAKrzRIoVYomJJZ3NAYaGTyuRQB9JMJ5z-XI_0og?e=j0fcB4" xr:uid="{64C0C41B-6522-4111-AF6B-CF6481FB3F4C}"/>
    <hyperlink ref="F26" r:id="rId70" display="https://1drv.ms/b/c/a8f0902f6b5ae388/IQDk6i2jAKrzRIoVYomJJZ3NAYaGTyuRQB9JMJ5z-XI_0og?e=j0fcB4" xr:uid="{943E4332-6C80-4715-8076-19F91B98490E}"/>
    <hyperlink ref="F27" r:id="rId71" display="https://1drv.ms/b/c/a8f0902f6b5ae388/IQDk6i2jAKrzRIoVYomJJZ3NAYaGTyuRQB9JMJ5z-XI_0og?e=j0fcB4" xr:uid="{10C54513-5445-47BB-B4E5-54A75628A8B5}"/>
    <hyperlink ref="F28" r:id="rId72" display="https://1drv.ms/b/c/a8f0902f6b5ae388/IQC--d01tQ-KTJBYFh7QJ03hAbnX2t6obNG0HKKFq6JayHQ?e=QXpFXV" xr:uid="{F4041E4A-7539-4159-89EF-E55FCACF9560}"/>
    <hyperlink ref="F29" r:id="rId73" display="https://1drv.ms/b/c/a8f0902f6b5ae388/IQC--d01tQ-KTJBYFh7QJ03hAbnX2t6obNG0HKKFq6JayHQ?e=QXpFXV" xr:uid="{F4D63ED4-A92C-43C3-89D6-1F0D19B48933}"/>
    <hyperlink ref="F30" r:id="rId74" display="https://1drv.ms/b/c/a8f0902f6b5ae388/IQC--d01tQ-KTJBYFh7QJ03hAbnX2t6obNG0HKKFq6JayHQ?e=QXpFXV" xr:uid="{C03CAFE4-2EF0-47DA-88E9-705B0CB29EC1}"/>
    <hyperlink ref="F31" r:id="rId75" display="https://1drv.ms/b/c/a8f0902f6b5ae388/IQC--d01tQ-KTJBYFh7QJ03hAbnX2t6obNG0HKKFq6JayHQ?e=QXpFXV" xr:uid="{313AABB9-2428-405B-9251-57D2750E39A5}"/>
    <hyperlink ref="F32" r:id="rId76" display="https://1drv.ms/b/c/a8f0902f6b5ae388/IQC--d01tQ-KTJBYFh7QJ03hAbnX2t6obNG0HKKFq6JayHQ?e=QXpFXV" xr:uid="{284029FA-7243-42B6-A12A-85F4B4C3416A}"/>
    <hyperlink ref="F33" r:id="rId77" display="https://1drv.ms/b/c/a8f0902f6b5ae388/IQBrYvsfhyODR7EpKcgzOjBuAdF5mnWq5OLOMj-UI6vVWZM?e=buZGYe" xr:uid="{960C16C3-52BE-42B4-8F0D-2CED0205A6A7}"/>
    <hyperlink ref="F34" r:id="rId78" display="https://1drv.ms/b/c/a8f0902f6b5ae388/IQBrYvsfhyODR7EpKcgzOjBuAdF5mnWq5OLOMj-UI6vVWZM?e=buZGYe" xr:uid="{C65C81BC-8BF8-44B9-961F-2613539A5BBE}"/>
    <hyperlink ref="F35" r:id="rId79" display="https://1drv.ms/b/c/a8f0902f6b5ae388/IQBrYvsfhyODR7EpKcgzOjBuAdF5mnWq5OLOMj-UI6vVWZM?e=buZGYe" xr:uid="{42DDF303-45E1-4D49-A556-68CD007A04B8}"/>
    <hyperlink ref="F36" r:id="rId80" display="https://1drv.ms/b/c/a8f0902f6b5ae388/IQBrYvsfhyODR7EpKcgzOjBuAdF5mnWq5OLOMj-UI6vVWZM?e=buZGYe" xr:uid="{7C6C6592-DF2D-41CF-AD4B-AB695F66FB12}"/>
    <hyperlink ref="F37" r:id="rId81" display="https://1drv.ms/b/c/a8f0902f6b5ae388/IQB78FZq8e42T60KxZhblWzQATNV_tauTrZTdJHGnsR_D0I?e=Dmg30B" xr:uid="{631E3D26-89FC-4EA4-B844-092432C05D73}"/>
    <hyperlink ref="F38" r:id="rId82" display="https://1drv.ms/b/c/a8f0902f6b5ae388/IQB78FZq8e42T60KxZhblWzQATNV_tauTrZTdJHGnsR_D0I?e=Dmg30B" xr:uid="{D65CDA52-7881-44CC-8575-787C30FA4E01}"/>
    <hyperlink ref="F39" r:id="rId83" display="https://1drv.ms/b/c/a8f0902f6b5ae388/IQB78FZq8e42T60KxZhblWzQATNV_tauTrZTdJHGnsR_D0I?e=Dmg30B" xr:uid="{3EF30DE9-2826-42CB-AEC6-274FFCC7A037}"/>
    <hyperlink ref="F40" r:id="rId84" display="https://1drv.ms/b/c/a8f0902f6b5ae388/IQDde1dB9Lm7TpwSW5nFXuirAfHVbfY2sc-hHWv-a3Z06KM?e=DJfsuM" xr:uid="{08EB50ED-CA6B-4ADE-AFF6-B4E72F57D603}"/>
    <hyperlink ref="F41" r:id="rId85" display="https://1drv.ms/b/c/a8f0902f6b5ae388/IQDde1dB9Lm7TpwSW5nFXuirAfHVbfY2sc-hHWv-a3Z06KM?e=DJfsuM" xr:uid="{8AD52CC6-AD25-4ADA-AB6D-FCCE4E01F850}"/>
    <hyperlink ref="F42" r:id="rId86" display="https://1drv.ms/b/c/a8f0902f6b5ae388/IQDde1dB9Lm7TpwSW5nFXuirAfHVbfY2sc-hHWv-a3Z06KM?e=DJfsuM" xr:uid="{811668E4-F4FB-4A13-AFF9-BB76438F1397}"/>
    <hyperlink ref="F43" r:id="rId87" display="https://1drv.ms/b/c/a8f0902f6b5ae388/IQDLWIxtgMQiSomYtX1cavYuAUOL36gSmWjxNgkiftdRQBg?e=KiLE5h" xr:uid="{120F7F64-378E-4997-B119-A0F98FB1CBD2}"/>
    <hyperlink ref="F44" r:id="rId88" display="https://1drv.ms/b/c/a8f0902f6b5ae388/IQDLWIxtgMQiSomYtX1cavYuAUOL36gSmWjxNgkiftdRQBg?e=KiLE5h" xr:uid="{91331E18-3691-40B2-A356-F079FB20837E}"/>
    <hyperlink ref="F45" r:id="rId89" display="https://1drv.ms/b/c/a8f0902f6b5ae388/IQDLWIxtgMQiSomYtX1cavYuAUOL36gSmWjxNgkiftdRQBg?e=KiLE5h" xr:uid="{E581F3F8-440C-4677-A22A-F5A580BFAA1D}"/>
    <hyperlink ref="F47" r:id="rId90" display="https://1drv.ms/b/c/a8f0902f6b5ae388/IQDLWIxtgMQiSomYtX1cavYuAUOL36gSmWjxNgkiftdRQBg?e=KiLE5h" xr:uid="{1DBC9B19-F1C4-48C2-A710-562484818286}"/>
    <hyperlink ref="F48" r:id="rId91" display="https://1drv.ms/b/c/a8f0902f6b5ae388/IQDLWIxtgMQiSomYtX1cavYuAUOL36gSmWjxNgkiftdRQBg?e=KiLE5h" xr:uid="{A3DCACC1-4CDE-4AED-9FED-206BEC516188}"/>
    <hyperlink ref="F49" r:id="rId92" display="https://1drv.ms/b/c/a8f0902f6b5ae388/IQDLWIxtgMQiSomYtX1cavYuAUOL36gSmWjxNgkiftdRQBg?e=KiLE5h" xr:uid="{5DC39EE8-8B16-43D4-A5B5-404450BB311D}"/>
    <hyperlink ref="F50" r:id="rId93" display="https://1drv.ms/b/c/a8f0902f6b5ae388/IQDm7AGABlj3Rq_YRNuPPNcoAaizC_gkqWoKi8ze-kmTcsU?e=fTcxPr" xr:uid="{B70D7547-5BDD-4731-BBBC-4BAA4184517A}"/>
    <hyperlink ref="F51" r:id="rId94" display="https://1drv.ms/b/c/a8f0902f6b5ae388/IQDm7AGABlj3Rq_YRNuPPNcoAaizC_gkqWoKi8ze-kmTcsU?e=fTcxPr" xr:uid="{B4046D7A-97DB-4650-83EF-7F668A65588C}"/>
    <hyperlink ref="F52" r:id="rId95" display="https://1drv.ms/b/c/a8f0902f6b5ae388/IQDm7AGABlj3Rq_YRNuPPNcoAaizC_gkqWoKi8ze-kmTcsU?e=fTcxPr" xr:uid="{FA3231F7-44B3-4F3B-A987-78FAA7905463}"/>
    <hyperlink ref="F53" r:id="rId96" display="https://1drv.ms/b/c/a8f0902f6b5ae388/IQDm7AGABlj3Rq_YRNuPPNcoAaizC_gkqWoKi8ze-kmTcsU?e=fTcxPr" xr:uid="{40CB5A72-8E8D-4E13-A313-629CFFC5D2B3}"/>
    <hyperlink ref="F54" r:id="rId97" display="https://1drv.ms/b/c/a8f0902f6b5ae388/IQDm7AGABlj3Rq_YRNuPPNcoAaizC_gkqWoKi8ze-kmTcsU?e=fTcxPr" xr:uid="{9895ADF4-CCD8-4D4B-93DC-BF5FF2244984}"/>
    <hyperlink ref="F55" r:id="rId98" display="https://1drv.ms/b/c/a8f0902f6b5ae388/IQDeSDV4bSWEQ6n91g_449XhAfBXPCSlvB-guhhsBtVlH2g?e=1w6ok3" xr:uid="{1A96BFFA-5D0B-47E5-9C09-138E5DF6C1C1}"/>
    <hyperlink ref="F56" r:id="rId99" display="https://1drv.ms/b/c/a8f0902f6b5ae388/IQDeSDV4bSWEQ6n91g_449XhAfBXPCSlvB-guhhsBtVlH2g?e=1w6ok3" xr:uid="{314AE628-FA02-4EE5-9BAE-C6EE35978E17}"/>
    <hyperlink ref="F57" r:id="rId100" display="https://1drv.ms/b/c/a8f0902f6b5ae388/IQDeSDV4bSWEQ6n91g_449XhAfBXPCSlvB-guhhsBtVlH2g?e=1w6ok3" xr:uid="{22E8149E-A17A-45F1-A444-8E51A33A7D66}"/>
    <hyperlink ref="F58" r:id="rId101" display="https://1drv.ms/b/c/a8f0902f6b5ae388/IQDeSDV4bSWEQ6n91g_449XhAfBXPCSlvB-guhhsBtVlH2g?e=1w6ok3" xr:uid="{725264EA-5730-462B-B470-45A6EF58D555}"/>
    <hyperlink ref="F59" r:id="rId102" display="https://1drv.ms/b/c/a8f0902f6b5ae388/IQDeSDV4bSWEQ6n91g_449XhAfBXPCSlvB-guhhsBtVlH2g?e=1w6ok3" xr:uid="{34F3BF13-F606-46E7-8934-7627D0102519}"/>
  </hyperlinks>
  <pageMargins left="0.70866141732283472" right="0.70866141732283472" top="0.74803149606299213" bottom="0.74803149606299213" header="0.31496062992125984" footer="0.31496062992125984"/>
  <pageSetup paperSize="9" orientation="portrait" r:id="rId1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ADA9-156A-4DC4-8DBF-E08E225A3129}">
  <sheetPr codeName="Sheet19">
    <tabColor rgb="FFFFFF00"/>
  </sheetPr>
  <dimension ref="A1:H27"/>
  <sheetViews>
    <sheetView view="pageBreakPreview" zoomScaleNormal="100" zoomScaleSheetLayoutView="100" workbookViewId="0">
      <pane ySplit="1" topLeftCell="A13" activePane="bottomLeft" state="frozen"/>
      <selection pane="bottomLeft" activeCell="F2" sqref="F2:F27"/>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289</v>
      </c>
      <c r="C1" s="6"/>
      <c r="D1" s="5" t="s">
        <v>1</v>
      </c>
      <c r="E1" s="5" t="s">
        <v>2</v>
      </c>
      <c r="F1" s="6" t="s">
        <v>3</v>
      </c>
      <c r="G1" s="6" t="s">
        <v>4</v>
      </c>
      <c r="H1" s="6" t="s">
        <v>5</v>
      </c>
    </row>
    <row r="2" spans="1:8" x14ac:dyDescent="0.45">
      <c r="A2" s="3">
        <f t="shared" ref="A2:A27" si="0">ROW()-1</f>
        <v>1</v>
      </c>
      <c r="B2" s="7" t="s">
        <v>290</v>
      </c>
      <c r="C2" s="2" t="s">
        <v>291</v>
      </c>
      <c r="D2" s="2" t="s">
        <v>60</v>
      </c>
      <c r="E2" s="2" t="s">
        <v>292</v>
      </c>
      <c r="F2" s="7">
        <v>268</v>
      </c>
      <c r="G2" s="3"/>
      <c r="H2" s="3">
        <v>226</v>
      </c>
    </row>
    <row r="3" spans="1:8" x14ac:dyDescent="0.45">
      <c r="A3" s="3">
        <f t="shared" si="0"/>
        <v>2</v>
      </c>
      <c r="B3" s="7" t="s">
        <v>293</v>
      </c>
      <c r="C3" s="2" t="s">
        <v>291</v>
      </c>
      <c r="D3" s="2" t="s">
        <v>60</v>
      </c>
      <c r="E3" s="2" t="s">
        <v>294</v>
      </c>
      <c r="F3" s="7">
        <v>269</v>
      </c>
      <c r="G3" s="3"/>
      <c r="H3" s="3"/>
    </row>
    <row r="4" spans="1:8" x14ac:dyDescent="0.45">
      <c r="A4" s="3">
        <f t="shared" si="0"/>
        <v>3</v>
      </c>
      <c r="B4" s="3" t="s">
        <v>295</v>
      </c>
      <c r="C4" s="2" t="s">
        <v>52</v>
      </c>
      <c r="D4" s="2" t="s">
        <v>60</v>
      </c>
      <c r="E4" s="2" t="s">
        <v>296</v>
      </c>
      <c r="F4" s="7">
        <v>269</v>
      </c>
      <c r="G4" s="3"/>
      <c r="H4" s="3"/>
    </row>
    <row r="5" spans="1:8" x14ac:dyDescent="0.45">
      <c r="A5" s="3">
        <f t="shared" si="0"/>
        <v>4</v>
      </c>
      <c r="B5" s="7" t="s">
        <v>297</v>
      </c>
      <c r="C5" s="2" t="s">
        <v>200</v>
      </c>
      <c r="D5" s="2" t="s">
        <v>60</v>
      </c>
      <c r="E5" s="2" t="s">
        <v>298</v>
      </c>
      <c r="F5" s="7">
        <v>270</v>
      </c>
      <c r="G5" s="3"/>
      <c r="H5" s="3">
        <v>240</v>
      </c>
    </row>
    <row r="6" spans="1:8" x14ac:dyDescent="0.45">
      <c r="A6" s="3">
        <f t="shared" si="0"/>
        <v>5</v>
      </c>
      <c r="B6" s="7" t="s">
        <v>299</v>
      </c>
      <c r="C6" s="2" t="s">
        <v>200</v>
      </c>
      <c r="D6" s="2" t="s">
        <v>60</v>
      </c>
      <c r="E6" s="2" t="s">
        <v>298</v>
      </c>
      <c r="F6" s="7">
        <v>270</v>
      </c>
      <c r="G6" s="3"/>
      <c r="H6" s="3"/>
    </row>
    <row r="7" spans="1:8" x14ac:dyDescent="0.45">
      <c r="A7" s="3">
        <f t="shared" si="0"/>
        <v>6</v>
      </c>
      <c r="B7" s="7" t="s">
        <v>300</v>
      </c>
      <c r="C7" s="2" t="s">
        <v>52</v>
      </c>
      <c r="D7" s="2" t="s">
        <v>192</v>
      </c>
      <c r="E7" s="2" t="s">
        <v>232</v>
      </c>
      <c r="F7" s="7">
        <v>271</v>
      </c>
      <c r="G7" s="3"/>
      <c r="H7" s="3">
        <v>228</v>
      </c>
    </row>
    <row r="8" spans="1:8" x14ac:dyDescent="0.45">
      <c r="A8" s="3">
        <f t="shared" si="0"/>
        <v>7</v>
      </c>
      <c r="B8" s="7" t="s">
        <v>301</v>
      </c>
      <c r="C8" s="2" t="s">
        <v>52</v>
      </c>
      <c r="D8" s="2" t="s">
        <v>189</v>
      </c>
      <c r="E8" s="2" t="s">
        <v>190</v>
      </c>
      <c r="F8" s="7">
        <v>272</v>
      </c>
      <c r="G8" s="3"/>
      <c r="H8" s="3">
        <v>230</v>
      </c>
    </row>
    <row r="9" spans="1:8" x14ac:dyDescent="0.45">
      <c r="A9" s="3">
        <f t="shared" si="0"/>
        <v>8</v>
      </c>
      <c r="B9" s="7" t="s">
        <v>302</v>
      </c>
      <c r="C9" s="2" t="s">
        <v>52</v>
      </c>
      <c r="D9" s="2" t="s">
        <v>192</v>
      </c>
      <c r="E9" s="2" t="s">
        <v>207</v>
      </c>
      <c r="F9" s="7">
        <v>272</v>
      </c>
      <c r="G9" s="3"/>
      <c r="H9" s="3"/>
    </row>
    <row r="10" spans="1:8" x14ac:dyDescent="0.45">
      <c r="A10" s="3">
        <f t="shared" si="0"/>
        <v>9</v>
      </c>
      <c r="B10" s="7" t="s">
        <v>303</v>
      </c>
      <c r="C10" s="2" t="s">
        <v>52</v>
      </c>
      <c r="D10" s="2" t="s">
        <v>192</v>
      </c>
      <c r="E10" s="2" t="s">
        <v>190</v>
      </c>
      <c r="F10" s="7">
        <v>273</v>
      </c>
      <c r="G10" s="3"/>
      <c r="H10" s="3"/>
    </row>
    <row r="11" spans="1:8" x14ac:dyDescent="0.45">
      <c r="A11" s="3">
        <f t="shared" si="0"/>
        <v>10</v>
      </c>
      <c r="B11" s="7" t="s">
        <v>304</v>
      </c>
      <c r="C11" s="2" t="s">
        <v>52</v>
      </c>
      <c r="D11" s="2" t="s">
        <v>189</v>
      </c>
      <c r="E11" s="2" t="s">
        <v>205</v>
      </c>
      <c r="F11" s="7">
        <v>273</v>
      </c>
      <c r="G11" s="3"/>
      <c r="H11" s="3">
        <v>232</v>
      </c>
    </row>
    <row r="12" spans="1:8" x14ac:dyDescent="0.45">
      <c r="A12" s="3">
        <f t="shared" si="0"/>
        <v>11</v>
      </c>
      <c r="B12" s="7" t="s">
        <v>305</v>
      </c>
      <c r="C12" s="2" t="s">
        <v>200</v>
      </c>
      <c r="D12" s="2" t="s">
        <v>277</v>
      </c>
      <c r="E12" s="2" t="s">
        <v>213</v>
      </c>
      <c r="F12" s="7">
        <v>273</v>
      </c>
      <c r="G12" s="3"/>
      <c r="H12" s="3"/>
    </row>
    <row r="13" spans="1:8" x14ac:dyDescent="0.45">
      <c r="A13" s="3">
        <f t="shared" si="0"/>
        <v>12</v>
      </c>
      <c r="B13" s="7" t="s">
        <v>306</v>
      </c>
      <c r="C13" s="2" t="s">
        <v>248</v>
      </c>
      <c r="D13" s="2" t="s">
        <v>307</v>
      </c>
      <c r="E13" s="2" t="s">
        <v>232</v>
      </c>
      <c r="F13" s="7">
        <v>273</v>
      </c>
      <c r="G13" s="3"/>
      <c r="H13" s="3"/>
    </row>
    <row r="14" spans="1:8" x14ac:dyDescent="0.45">
      <c r="A14" s="3">
        <f t="shared" si="0"/>
        <v>13</v>
      </c>
      <c r="B14" s="7" t="s">
        <v>308</v>
      </c>
      <c r="C14" s="2" t="s">
        <v>248</v>
      </c>
      <c r="D14" s="2"/>
      <c r="E14" s="2"/>
      <c r="F14" s="7">
        <v>274</v>
      </c>
      <c r="G14" s="3"/>
      <c r="H14" s="3"/>
    </row>
    <row r="15" spans="1:8" x14ac:dyDescent="0.45">
      <c r="A15" s="3">
        <f t="shared" si="0"/>
        <v>14</v>
      </c>
      <c r="B15" s="7" t="s">
        <v>309</v>
      </c>
      <c r="C15" s="2" t="s">
        <v>248</v>
      </c>
      <c r="D15" s="2" t="s">
        <v>281</v>
      </c>
      <c r="E15" s="2" t="s">
        <v>232</v>
      </c>
      <c r="F15" s="7">
        <v>274</v>
      </c>
      <c r="G15" s="3"/>
      <c r="H15" s="3"/>
    </row>
    <row r="16" spans="1:8" x14ac:dyDescent="0.45">
      <c r="A16" s="3">
        <f t="shared" si="0"/>
        <v>15</v>
      </c>
      <c r="B16" s="7" t="s">
        <v>310</v>
      </c>
      <c r="C16" s="2" t="s">
        <v>248</v>
      </c>
      <c r="D16" s="2" t="s">
        <v>42</v>
      </c>
      <c r="E16" s="2" t="s">
        <v>54</v>
      </c>
      <c r="F16" s="7">
        <v>274</v>
      </c>
      <c r="G16" s="3"/>
      <c r="H16" s="3"/>
    </row>
    <row r="17" spans="1:8" x14ac:dyDescent="0.45">
      <c r="A17" s="3">
        <f t="shared" si="0"/>
        <v>16</v>
      </c>
      <c r="B17" s="7" t="s">
        <v>311</v>
      </c>
      <c r="C17" s="2" t="s">
        <v>200</v>
      </c>
      <c r="D17" s="2" t="s">
        <v>312</v>
      </c>
      <c r="E17" s="2" t="s">
        <v>232</v>
      </c>
      <c r="F17" s="7">
        <v>274</v>
      </c>
      <c r="G17" s="3"/>
      <c r="H17" s="3"/>
    </row>
    <row r="18" spans="1:8" x14ac:dyDescent="0.45">
      <c r="A18" s="3">
        <f t="shared" si="0"/>
        <v>17</v>
      </c>
      <c r="B18" s="7" t="s">
        <v>313</v>
      </c>
      <c r="C18" s="2" t="s">
        <v>248</v>
      </c>
      <c r="D18" s="2" t="s">
        <v>42</v>
      </c>
      <c r="E18" s="2" t="s">
        <v>54</v>
      </c>
      <c r="F18" s="7">
        <v>274</v>
      </c>
      <c r="G18" s="3"/>
      <c r="H18" s="3">
        <v>236</v>
      </c>
    </row>
    <row r="19" spans="1:8" x14ac:dyDescent="0.45">
      <c r="A19" s="3">
        <f t="shared" si="0"/>
        <v>18</v>
      </c>
      <c r="B19" s="7" t="s">
        <v>314</v>
      </c>
      <c r="C19" s="2" t="s">
        <v>248</v>
      </c>
      <c r="D19" s="2"/>
      <c r="E19" s="2"/>
      <c r="F19" s="7">
        <v>275</v>
      </c>
      <c r="G19" s="3"/>
      <c r="H19" s="3">
        <v>238</v>
      </c>
    </row>
    <row r="20" spans="1:8" x14ac:dyDescent="0.45">
      <c r="A20" s="3">
        <f t="shared" si="0"/>
        <v>19</v>
      </c>
      <c r="B20" s="3" t="s">
        <v>315</v>
      </c>
      <c r="C20" s="2" t="s">
        <v>248</v>
      </c>
      <c r="D20" s="2"/>
      <c r="E20" s="2"/>
      <c r="F20" s="7">
        <v>276</v>
      </c>
      <c r="G20" s="3"/>
      <c r="H20" s="3"/>
    </row>
    <row r="21" spans="1:8" x14ac:dyDescent="0.45">
      <c r="A21" s="3">
        <f t="shared" si="0"/>
        <v>20</v>
      </c>
      <c r="B21" s="3" t="s">
        <v>316</v>
      </c>
      <c r="C21" s="2" t="s">
        <v>248</v>
      </c>
      <c r="D21" s="2"/>
      <c r="E21" s="2"/>
      <c r="F21" s="7">
        <v>276</v>
      </c>
      <c r="G21" s="3"/>
      <c r="H21" s="3"/>
    </row>
    <row r="22" spans="1:8" x14ac:dyDescent="0.45">
      <c r="A22" s="3">
        <f t="shared" si="0"/>
        <v>21</v>
      </c>
      <c r="B22" s="3" t="s">
        <v>317</v>
      </c>
      <c r="C22" s="2" t="s">
        <v>248</v>
      </c>
      <c r="D22" s="2"/>
      <c r="E22" s="2"/>
      <c r="F22" s="7">
        <v>276</v>
      </c>
      <c r="G22" s="3"/>
      <c r="H22" s="3"/>
    </row>
    <row r="23" spans="1:8" x14ac:dyDescent="0.45">
      <c r="A23" s="3">
        <f t="shared" si="0"/>
        <v>22</v>
      </c>
      <c r="B23" s="7" t="s">
        <v>318</v>
      </c>
      <c r="C23" s="2" t="s">
        <v>72</v>
      </c>
      <c r="D23" s="2" t="s">
        <v>192</v>
      </c>
      <c r="E23" s="2"/>
      <c r="F23" s="7">
        <v>277</v>
      </c>
      <c r="G23" s="3"/>
      <c r="H23" s="3"/>
    </row>
    <row r="24" spans="1:8" x14ac:dyDescent="0.45">
      <c r="A24" s="3">
        <f t="shared" si="0"/>
        <v>23</v>
      </c>
      <c r="B24" s="7" t="s">
        <v>319</v>
      </c>
      <c r="C24" s="2" t="s">
        <v>291</v>
      </c>
      <c r="D24" s="2" t="s">
        <v>320</v>
      </c>
      <c r="E24" s="2" t="s">
        <v>232</v>
      </c>
      <c r="F24" s="7">
        <v>277</v>
      </c>
      <c r="G24" s="3"/>
      <c r="H24" s="3"/>
    </row>
    <row r="25" spans="1:8" x14ac:dyDescent="0.45">
      <c r="A25" s="3">
        <f t="shared" si="0"/>
        <v>24</v>
      </c>
      <c r="B25" s="7" t="s">
        <v>321</v>
      </c>
      <c r="C25" s="2" t="s">
        <v>200</v>
      </c>
      <c r="D25" s="2" t="s">
        <v>53</v>
      </c>
      <c r="E25" s="2" t="s">
        <v>43</v>
      </c>
      <c r="F25" s="7">
        <v>278</v>
      </c>
      <c r="G25" s="3"/>
      <c r="H25" s="3">
        <v>234</v>
      </c>
    </row>
    <row r="26" spans="1:8" x14ac:dyDescent="0.45">
      <c r="A26" s="3">
        <f t="shared" si="0"/>
        <v>25</v>
      </c>
      <c r="B26" s="7" t="s">
        <v>322</v>
      </c>
      <c r="C26" s="2" t="s">
        <v>291</v>
      </c>
      <c r="D26" s="2" t="s">
        <v>192</v>
      </c>
      <c r="E26" s="2" t="s">
        <v>207</v>
      </c>
      <c r="F26" s="7">
        <v>278</v>
      </c>
      <c r="G26" s="3"/>
      <c r="H26" s="3"/>
    </row>
    <row r="27" spans="1:8" x14ac:dyDescent="0.45">
      <c r="A27" s="3">
        <f t="shared" si="0"/>
        <v>26</v>
      </c>
      <c r="B27" s="7" t="s">
        <v>323</v>
      </c>
      <c r="C27" s="2" t="s">
        <v>52</v>
      </c>
      <c r="D27" s="2" t="s">
        <v>277</v>
      </c>
      <c r="E27" s="2" t="s">
        <v>213</v>
      </c>
      <c r="F27" s="7">
        <v>278</v>
      </c>
      <c r="G27" s="3"/>
      <c r="H27" s="3"/>
    </row>
  </sheetData>
  <autoFilter ref="A1:H27" xr:uid="{DB3AADA9-156A-4DC4-8DBF-E08E225A3129}"/>
  <sortState xmlns:xlrd2="http://schemas.microsoft.com/office/spreadsheetml/2017/richdata2" ref="A2:H27">
    <sortCondition ref="F2:F27"/>
  </sortState>
  <phoneticPr fontId="2"/>
  <hyperlinks>
    <hyperlink ref="B2" r:id="rId1" xr:uid="{87DE0C2C-395F-47CB-A3FE-3E926F4A1080}"/>
    <hyperlink ref="B3" r:id="rId2" xr:uid="{96398D5B-E1CC-4EA6-8384-D630BAE0B991}"/>
    <hyperlink ref="B24" r:id="rId3" xr:uid="{B334A58D-3564-4D9D-BEF2-94A5B975B060}"/>
    <hyperlink ref="B26" r:id="rId4" xr:uid="{382BF715-3540-4C03-8AED-9B79B4667743}"/>
    <hyperlink ref="B7" r:id="rId5" xr:uid="{0A32CFB4-0865-4954-B51D-63A1FD229AC2}"/>
    <hyperlink ref="B8" r:id="rId6" xr:uid="{E40E4DBC-E29F-41D8-B152-B5D69F225049}"/>
    <hyperlink ref="B9" r:id="rId7" xr:uid="{D8260334-1423-4A89-94A7-2FE885F62F5E}"/>
    <hyperlink ref="B10" r:id="rId8" xr:uid="{6FC3BF75-0199-4813-B6E1-FA10FC4AF4F9}"/>
    <hyperlink ref="B11" r:id="rId9" xr:uid="{9A0002E5-D433-43B3-AC54-4583DA8402A1}"/>
    <hyperlink ref="B27" r:id="rId10" xr:uid="{B58A243A-6EEA-4CEF-8ED2-DCE8693871D8}"/>
    <hyperlink ref="B5" r:id="rId11" xr:uid="{0E0418CD-3703-4D20-8CA0-9D51B1A92630}"/>
    <hyperlink ref="B6" r:id="rId12" xr:uid="{E3CBF0ED-8ED4-4B04-82B5-DE9B1280002F}"/>
    <hyperlink ref="B12" r:id="rId13" xr:uid="{B6A43E25-163B-436B-A485-F3C6C590405D}"/>
    <hyperlink ref="B17" r:id="rId14" xr:uid="{6248BBF0-8ED5-4BFB-B373-E67FA97C7CFD}"/>
    <hyperlink ref="B13" r:id="rId15" xr:uid="{B195BA82-188C-4FF5-87E0-E2A45F789721}"/>
    <hyperlink ref="B14" r:id="rId16" xr:uid="{C039510D-D74C-4736-A881-36B60E9919C9}"/>
    <hyperlink ref="B15" r:id="rId17" xr:uid="{1D271CCF-E8F4-4851-909A-B7B4C9CF2119}"/>
    <hyperlink ref="B16" r:id="rId18" xr:uid="{0CB2A65D-0783-40DC-ABF0-7A42AC741F13}"/>
    <hyperlink ref="B18" r:id="rId19" xr:uid="{3BBB83F2-FCC4-4CDC-97C9-9C093CAB5599}"/>
    <hyperlink ref="B25" r:id="rId20" xr:uid="{F4A91919-6BC5-4B1A-BA0F-56309ED45579}"/>
    <hyperlink ref="B19" r:id="rId21" xr:uid="{9C9D2B41-EAD4-408C-90AD-68AA1DCA4AD7}"/>
    <hyperlink ref="B23" r:id="rId22" xr:uid="{F0C2DDAE-A324-4D1B-B880-55FFBF1981C3}"/>
    <hyperlink ref="F2" r:id="rId23" display="https://1drv.ms/b/c/a8f0902f6b5ae388/IQAOBCGfhXQfTrc3HuTI9qEvAVd6ApxMjvQi3qFBkPqjWZ0?e=DnbcU0" xr:uid="{89442D49-1780-4351-B2F2-65E664EC1630}"/>
    <hyperlink ref="F3" r:id="rId24" display="https://1drv.ms/b/c/a8f0902f6b5ae388/IQAOBCGfhXQfTrc3HuTI9qEvAVd6ApxMjvQi3qFBkPqjWZ0?e=DnbcU0" xr:uid="{EC8CC465-5D6F-4530-884B-47308CF464D9}"/>
    <hyperlink ref="F4" r:id="rId25" display="https://1drv.ms/b/c/a8f0902f6b5ae388/IQAOBCGfhXQfTrc3HuTI9qEvAVd6ApxMjvQi3qFBkPqjWZ0?e=DnbcU0" xr:uid="{5D370C84-3C5B-47B2-BCF1-A9A366AB1140}"/>
    <hyperlink ref="F5" r:id="rId26" display="https://1drv.ms/b/c/a8f0902f6b5ae388/IQBRAsSBV_-eS5gtp5xw_NxzASq9vDjXFWBLhTMWyA92hyA?e=iGeTLA" xr:uid="{9B230464-9CA3-495B-986C-6EDE1E7A1F66}"/>
    <hyperlink ref="F6" r:id="rId27" display="https://1drv.ms/b/c/a8f0902f6b5ae388/IQBRAsSBV_-eS5gtp5xw_NxzASq9vDjXFWBLhTMWyA92hyA?e=iGeTLA" xr:uid="{4E609384-467C-4663-B393-EEFB9797A842}"/>
    <hyperlink ref="F7" r:id="rId28" display="https://1drv.ms/b/c/a8f0902f6b5ae388/IQBRAsSBV_-eS5gtp5xw_NxzASq9vDjXFWBLhTMWyA92hyA?e=iGeTLA" xr:uid="{9099E808-AF6D-49FE-A1EC-B6B40A5E398D}"/>
    <hyperlink ref="F8" r:id="rId29" display="https://1drv.ms/b/c/a8f0902f6b5ae388/IQCrIZSIIFcCRaYSwb3QROwPAep0X2z6vfH5s1lm8Nw0QMk?e=NKG3RC" xr:uid="{9669FE20-B23C-4914-A722-5FF7AD9EB9B9}"/>
    <hyperlink ref="F9" r:id="rId30" display="https://1drv.ms/b/c/a8f0902f6b5ae388/IQCrIZSIIFcCRaYSwb3QROwPAep0X2z6vfH5s1lm8Nw0QMk?e=NKG3RC" xr:uid="{973D2A06-E3E7-46F2-87F9-ACE41F951174}"/>
    <hyperlink ref="F10" r:id="rId31" display="https://1drv.ms/b/c/a8f0902f6b5ae388/IQCrIZSIIFcCRaYSwb3QROwPAep0X2z6vfH5s1lm8Nw0QMk?e=NKG3RC" xr:uid="{121D8417-36A5-401E-A843-C4B7C9C66897}"/>
    <hyperlink ref="F11" r:id="rId32" display="https://1drv.ms/b/c/a8f0902f6b5ae388/IQCrIZSIIFcCRaYSwb3QROwPAep0X2z6vfH5s1lm8Nw0QMk?e=NKG3RC" xr:uid="{81DC5FF2-DDD0-450D-A162-2191ABDF8FCA}"/>
    <hyperlink ref="F12" r:id="rId33" display="https://1drv.ms/b/c/a8f0902f6b5ae388/IQCrIZSIIFcCRaYSwb3QROwPAep0X2z6vfH5s1lm8Nw0QMk?e=NKG3RC" xr:uid="{1E336B18-B97F-44CD-B355-54A2E7ABA1A8}"/>
    <hyperlink ref="F13" r:id="rId34" display="https://1drv.ms/b/c/a8f0902f6b5ae388/IQCrIZSIIFcCRaYSwb3QROwPAep0X2z6vfH5s1lm8Nw0QMk?e=NKG3RC" xr:uid="{779B8C60-DB32-4DD7-81D2-D5CADD514877}"/>
    <hyperlink ref="F14" r:id="rId35" display="https://1drv.ms/b/c/a8f0902f6b5ae388/IQAGwcs_G-Y5T7rm1vNk5Cs5AePCaisHScIaAEXlEKT4Exk?e=MQzhtq" xr:uid="{6ED3C710-D7DD-4B5A-8ED4-0B618323E6DB}"/>
    <hyperlink ref="F15" r:id="rId36" display="https://1drv.ms/b/c/a8f0902f6b5ae388/IQAGwcs_G-Y5T7rm1vNk5Cs5AePCaisHScIaAEXlEKT4Exk?e=MQzhtq" xr:uid="{8F8BCC6C-B9DF-4767-8F6D-CFDD9D972C02}"/>
    <hyperlink ref="F16" r:id="rId37" display="https://1drv.ms/b/c/a8f0902f6b5ae388/IQAGwcs_G-Y5T7rm1vNk5Cs5AePCaisHScIaAEXlEKT4Exk?e=MQzhtq" xr:uid="{5C10FBC3-188D-4DA9-9737-26DA185E05F7}"/>
    <hyperlink ref="F17" r:id="rId38" display="https://1drv.ms/b/c/a8f0902f6b5ae388/IQAGwcs_G-Y5T7rm1vNk5Cs5AePCaisHScIaAEXlEKT4Exk?e=MQzhtq" xr:uid="{21B6BA9B-931A-4A5A-996A-94FD757D0274}"/>
    <hyperlink ref="F18" r:id="rId39" display="https://1drv.ms/b/c/a8f0902f6b5ae388/IQAGwcs_G-Y5T7rm1vNk5Cs5AePCaisHScIaAEXlEKT4Exk?e=MQzhtq" xr:uid="{6F99FCA2-40FA-4144-9F82-38EBDC8FB4CA}"/>
    <hyperlink ref="F19" r:id="rId40" display="https://1drv.ms/b/c/a8f0902f6b5ae388/IQAGwcs_G-Y5T7rm1vNk5Cs5AePCaisHScIaAEXlEKT4Exk?e=MQzhtq" xr:uid="{7CCB0A5B-2156-4578-95F8-8BCCBDE0B94A}"/>
    <hyperlink ref="F20" r:id="rId41" display="https://1drv.ms/b/c/a8f0902f6b5ae388/IQDgbMqRb3l-QZ1ly2T7Xz6CAWLh8Cjt6Vw7nogaHz_hE4E?e=YLTJDx" xr:uid="{C46CE06B-4E0B-49B3-AE5D-95B1EBFE1CD1}"/>
    <hyperlink ref="F21" r:id="rId42" display="https://1drv.ms/b/c/a8f0902f6b5ae388/IQDgbMqRb3l-QZ1ly2T7Xz6CAWLh8Cjt6Vw7nogaHz_hE4E?e=YLTJDx" xr:uid="{F2736610-972D-45E6-912F-2A7F93CA90BE}"/>
    <hyperlink ref="F22" r:id="rId43" display="https://1drv.ms/b/c/a8f0902f6b5ae388/IQDgbMqRb3l-QZ1ly2T7Xz6CAWLh8Cjt6Vw7nogaHz_hE4E?e=YLTJDx" xr:uid="{8DC0A630-6BDF-45A0-AB34-AB1DF6DE3983}"/>
    <hyperlink ref="F23" r:id="rId44" display="https://1drv.ms/b/c/a8f0902f6b5ae388/IQDgbMqRb3l-QZ1ly2T7Xz6CAWLh8Cjt6Vw7nogaHz_hE4E?e=YLTJDx" xr:uid="{57619E22-58B6-430D-B4A8-8F927AADE097}"/>
    <hyperlink ref="F24" r:id="rId45" display="https://1drv.ms/b/c/a8f0902f6b5ae388/IQDgbMqRb3l-QZ1ly2T7Xz6CAWLh8Cjt6Vw7nogaHz_hE4E?e=YLTJDx" xr:uid="{53D1ADA1-28D6-4DAA-8251-31E147E4E144}"/>
    <hyperlink ref="F25" r:id="rId46" display="https://1drv.ms/b/c/a8f0902f6b5ae388/IQCZ4YUDCFyUSb9aJpfei0RJAZXVRljCgxeboY9-4rWQxQY?e=5XyvI9" xr:uid="{28455C68-2304-49EB-9D2D-07121BA47B39}"/>
    <hyperlink ref="F26" r:id="rId47" display="https://1drv.ms/b/c/a8f0902f6b5ae388/IQCZ4YUDCFyUSb9aJpfei0RJAZXVRljCgxeboY9-4rWQxQY?e=5XyvI9" xr:uid="{0AFDFAAB-80F8-4A1F-B667-CEF59591D92D}"/>
    <hyperlink ref="F27" r:id="rId48" display="https://1drv.ms/b/c/a8f0902f6b5ae388/IQCZ4YUDCFyUSb9aJpfei0RJAZXVRljCgxeboY9-4rWQxQY?e=5XyvI9" xr:uid="{9E83342C-D7A7-4AE3-8C30-7C4AF3C698C0}"/>
  </hyperlinks>
  <pageMargins left="0.7" right="0.7" top="0.75" bottom="0.75" header="0.3" footer="0.3"/>
  <pageSetup paperSize="9" orientation="portrait" r:id="rId4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B05B-03AB-416F-B5C6-40C697CA9EC5}">
  <sheetPr codeName="Sheet20">
    <tabColor rgb="FFFFFF00"/>
  </sheetPr>
  <dimension ref="A1:H31"/>
  <sheetViews>
    <sheetView view="pageBreakPreview" zoomScaleNormal="100" zoomScaleSheetLayoutView="100" workbookViewId="0">
      <pane ySplit="1" topLeftCell="A22" activePane="bottomLeft" state="frozen"/>
      <selection pane="bottomLeft" activeCell="F2" sqref="F2:F29"/>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324</v>
      </c>
      <c r="C1" s="6"/>
      <c r="D1" s="5" t="s">
        <v>1</v>
      </c>
      <c r="E1" s="5" t="s">
        <v>2</v>
      </c>
      <c r="F1" s="6" t="s">
        <v>3</v>
      </c>
      <c r="G1" s="6" t="s">
        <v>4</v>
      </c>
      <c r="H1" s="6" t="s">
        <v>5</v>
      </c>
    </row>
    <row r="2" spans="1:8" x14ac:dyDescent="0.45">
      <c r="A2" s="3">
        <f t="shared" ref="A2:A31" si="0">ROW()-1</f>
        <v>1</v>
      </c>
      <c r="B2" s="3" t="s">
        <v>325</v>
      </c>
      <c r="C2" s="2" t="s">
        <v>147</v>
      </c>
      <c r="D2" s="2" t="s">
        <v>192</v>
      </c>
      <c r="E2" s="2"/>
      <c r="F2" s="7">
        <v>284</v>
      </c>
      <c r="G2" s="3">
        <v>102</v>
      </c>
      <c r="H2" s="3">
        <v>154</v>
      </c>
    </row>
    <row r="3" spans="1:8" x14ac:dyDescent="0.45">
      <c r="A3" s="3">
        <f t="shared" si="0"/>
        <v>2</v>
      </c>
      <c r="B3" s="3" t="s">
        <v>326</v>
      </c>
      <c r="C3" s="2" t="s">
        <v>157</v>
      </c>
      <c r="D3" s="2"/>
      <c r="E3" s="2"/>
      <c r="F3" s="7">
        <v>285</v>
      </c>
      <c r="G3" s="3"/>
      <c r="H3" s="3"/>
    </row>
    <row r="4" spans="1:8" x14ac:dyDescent="0.45">
      <c r="A4" s="3">
        <f t="shared" si="0"/>
        <v>3</v>
      </c>
      <c r="B4" s="3" t="s">
        <v>327</v>
      </c>
      <c r="C4" s="2" t="s">
        <v>174</v>
      </c>
      <c r="D4" s="2"/>
      <c r="E4" s="2"/>
      <c r="F4" s="7">
        <v>286</v>
      </c>
      <c r="G4" s="3"/>
      <c r="H4" s="3"/>
    </row>
    <row r="5" spans="1:8" x14ac:dyDescent="0.45">
      <c r="A5" s="3">
        <f t="shared" si="0"/>
        <v>4</v>
      </c>
      <c r="B5" s="7" t="s">
        <v>328</v>
      </c>
      <c r="C5" s="2" t="s">
        <v>41</v>
      </c>
      <c r="D5" s="2" t="s">
        <v>329</v>
      </c>
      <c r="E5" s="2" t="s">
        <v>232</v>
      </c>
      <c r="F5" s="7">
        <v>286</v>
      </c>
      <c r="G5" s="3"/>
      <c r="H5" s="3"/>
    </row>
    <row r="6" spans="1:8" x14ac:dyDescent="0.45">
      <c r="A6" s="3">
        <f t="shared" si="0"/>
        <v>5</v>
      </c>
      <c r="B6" s="7" t="s">
        <v>330</v>
      </c>
      <c r="C6" s="2" t="s">
        <v>41</v>
      </c>
      <c r="D6" s="2" t="s">
        <v>189</v>
      </c>
      <c r="E6" s="2" t="s">
        <v>190</v>
      </c>
      <c r="F6" s="7">
        <v>286</v>
      </c>
      <c r="G6" s="3"/>
      <c r="H6" s="3"/>
    </row>
    <row r="7" spans="1:8" x14ac:dyDescent="0.45">
      <c r="A7" s="3">
        <f t="shared" si="0"/>
        <v>6</v>
      </c>
      <c r="B7" s="7" t="s">
        <v>331</v>
      </c>
      <c r="C7" s="2" t="s">
        <v>200</v>
      </c>
      <c r="D7" s="2" t="s">
        <v>312</v>
      </c>
      <c r="E7" s="2" t="s">
        <v>232</v>
      </c>
      <c r="F7" s="7">
        <v>286</v>
      </c>
      <c r="G7" s="3"/>
      <c r="H7" s="3"/>
    </row>
    <row r="8" spans="1:8" x14ac:dyDescent="0.45">
      <c r="A8" s="3">
        <f t="shared" si="0"/>
        <v>7</v>
      </c>
      <c r="B8" s="3" t="s">
        <v>332</v>
      </c>
      <c r="C8" s="2" t="s">
        <v>150</v>
      </c>
      <c r="D8" s="2"/>
      <c r="E8" s="2"/>
      <c r="F8" s="7">
        <v>286</v>
      </c>
      <c r="G8" s="3"/>
      <c r="H8" s="3"/>
    </row>
    <row r="9" spans="1:8" x14ac:dyDescent="0.45">
      <c r="A9" s="3">
        <f t="shared" si="0"/>
        <v>8</v>
      </c>
      <c r="B9" s="7" t="s">
        <v>333</v>
      </c>
      <c r="C9" s="2" t="s">
        <v>52</v>
      </c>
      <c r="D9" s="2" t="s">
        <v>334</v>
      </c>
      <c r="E9" s="2" t="s">
        <v>335</v>
      </c>
      <c r="F9" s="7">
        <v>287</v>
      </c>
      <c r="G9" s="3"/>
      <c r="H9" s="3"/>
    </row>
    <row r="10" spans="1:8" x14ac:dyDescent="0.45">
      <c r="A10" s="3">
        <f t="shared" si="0"/>
        <v>9</v>
      </c>
      <c r="B10" s="3" t="s">
        <v>336</v>
      </c>
      <c r="C10" s="2" t="s">
        <v>161</v>
      </c>
      <c r="D10" s="2"/>
      <c r="E10" s="2"/>
      <c r="F10" s="7">
        <v>287</v>
      </c>
      <c r="G10" s="3"/>
      <c r="H10" s="3"/>
    </row>
    <row r="11" spans="1:8" x14ac:dyDescent="0.45">
      <c r="A11" s="3">
        <f t="shared" si="0"/>
        <v>10</v>
      </c>
      <c r="B11" s="7" t="s">
        <v>337</v>
      </c>
      <c r="C11" s="2" t="s">
        <v>200</v>
      </c>
      <c r="D11" s="2"/>
      <c r="E11" s="2"/>
      <c r="F11" s="7">
        <v>287</v>
      </c>
      <c r="G11" s="3"/>
      <c r="H11" s="3"/>
    </row>
    <row r="12" spans="1:8" x14ac:dyDescent="0.45">
      <c r="A12" s="3">
        <f t="shared" si="0"/>
        <v>11</v>
      </c>
      <c r="B12" s="3" t="s">
        <v>338</v>
      </c>
      <c r="C12" s="2" t="s">
        <v>153</v>
      </c>
      <c r="D12" s="2"/>
      <c r="E12" s="2"/>
      <c r="F12" s="7">
        <v>288</v>
      </c>
      <c r="G12" s="3"/>
      <c r="H12" s="3"/>
    </row>
    <row r="13" spans="1:8" x14ac:dyDescent="0.45">
      <c r="A13" s="3">
        <f t="shared" si="0"/>
        <v>12</v>
      </c>
      <c r="B13" s="7" t="s">
        <v>339</v>
      </c>
      <c r="C13" s="2" t="s">
        <v>41</v>
      </c>
      <c r="D13" s="2" t="s">
        <v>189</v>
      </c>
      <c r="E13" s="2" t="s">
        <v>205</v>
      </c>
      <c r="F13" s="7">
        <v>288</v>
      </c>
      <c r="G13" s="3"/>
      <c r="H13" s="3"/>
    </row>
    <row r="14" spans="1:8" x14ac:dyDescent="0.45">
      <c r="A14" s="3">
        <f t="shared" si="0"/>
        <v>13</v>
      </c>
      <c r="B14" s="8" t="s">
        <v>340</v>
      </c>
      <c r="C14" s="2" t="s">
        <v>41</v>
      </c>
      <c r="D14" s="2" t="s">
        <v>189</v>
      </c>
      <c r="E14" s="2" t="s">
        <v>205</v>
      </c>
      <c r="F14" s="7">
        <v>288</v>
      </c>
      <c r="G14" s="3"/>
      <c r="H14" s="3"/>
    </row>
    <row r="15" spans="1:8" x14ac:dyDescent="0.45">
      <c r="A15" s="3">
        <f t="shared" si="0"/>
        <v>14</v>
      </c>
      <c r="B15" s="3" t="s">
        <v>341</v>
      </c>
      <c r="C15" s="2" t="s">
        <v>200</v>
      </c>
      <c r="D15" s="2"/>
      <c r="E15" s="2"/>
      <c r="F15" s="7">
        <v>289</v>
      </c>
      <c r="G15" s="3"/>
      <c r="H15" s="3"/>
    </row>
    <row r="16" spans="1:8" x14ac:dyDescent="0.45">
      <c r="A16" s="3">
        <f t="shared" si="0"/>
        <v>15</v>
      </c>
      <c r="B16" s="3" t="s">
        <v>342</v>
      </c>
      <c r="C16" s="2" t="s">
        <v>72</v>
      </c>
      <c r="D16" s="2"/>
      <c r="E16" s="2"/>
      <c r="F16" s="7">
        <v>289</v>
      </c>
      <c r="G16" s="3"/>
      <c r="H16" s="3"/>
    </row>
    <row r="17" spans="1:8" x14ac:dyDescent="0.45">
      <c r="A17" s="3">
        <f t="shared" si="0"/>
        <v>16</v>
      </c>
      <c r="B17" s="7" t="s">
        <v>343</v>
      </c>
      <c r="C17" s="2" t="s">
        <v>52</v>
      </c>
      <c r="D17" s="2" t="s">
        <v>344</v>
      </c>
      <c r="E17" s="2" t="s">
        <v>335</v>
      </c>
      <c r="F17" s="7">
        <v>289</v>
      </c>
      <c r="G17" s="3"/>
      <c r="H17" s="3"/>
    </row>
    <row r="18" spans="1:8" x14ac:dyDescent="0.45">
      <c r="A18" s="3">
        <f t="shared" si="0"/>
        <v>17</v>
      </c>
      <c r="B18" s="7" t="s">
        <v>345</v>
      </c>
      <c r="C18" s="2" t="s">
        <v>200</v>
      </c>
      <c r="D18" s="2"/>
      <c r="E18" s="2"/>
      <c r="F18" s="7">
        <v>289</v>
      </c>
      <c r="G18" s="3"/>
      <c r="H18" s="3"/>
    </row>
    <row r="19" spans="1:8" x14ac:dyDescent="0.45">
      <c r="A19" s="3">
        <f t="shared" si="0"/>
        <v>18</v>
      </c>
      <c r="B19" s="7" t="s">
        <v>346</v>
      </c>
      <c r="C19" s="2" t="s">
        <v>41</v>
      </c>
      <c r="D19" s="2" t="s">
        <v>329</v>
      </c>
      <c r="E19" s="2" t="s">
        <v>232</v>
      </c>
      <c r="F19" s="7">
        <v>290</v>
      </c>
      <c r="G19" s="3"/>
      <c r="H19" s="3"/>
    </row>
    <row r="20" spans="1:8" x14ac:dyDescent="0.45">
      <c r="A20" s="3">
        <f t="shared" si="0"/>
        <v>19</v>
      </c>
      <c r="B20" s="7" t="s">
        <v>347</v>
      </c>
      <c r="C20" s="2" t="s">
        <v>248</v>
      </c>
      <c r="D20" s="2" t="s">
        <v>192</v>
      </c>
      <c r="E20" s="2" t="s">
        <v>207</v>
      </c>
      <c r="F20" s="7">
        <v>290</v>
      </c>
      <c r="G20" s="3"/>
      <c r="H20" s="3"/>
    </row>
    <row r="21" spans="1:8" x14ac:dyDescent="0.45">
      <c r="A21" s="3">
        <f t="shared" si="0"/>
        <v>20</v>
      </c>
      <c r="B21" s="7" t="s">
        <v>348</v>
      </c>
      <c r="C21" s="2" t="s">
        <v>248</v>
      </c>
      <c r="D21" s="2" t="s">
        <v>56</v>
      </c>
      <c r="E21" s="2" t="s">
        <v>57</v>
      </c>
      <c r="F21" s="7">
        <v>290</v>
      </c>
      <c r="G21" s="3"/>
      <c r="H21" s="3"/>
    </row>
    <row r="22" spans="1:8" x14ac:dyDescent="0.45">
      <c r="A22" s="3">
        <f t="shared" si="0"/>
        <v>21</v>
      </c>
      <c r="B22" s="3" t="s">
        <v>349</v>
      </c>
      <c r="C22" s="2" t="s">
        <v>153</v>
      </c>
      <c r="D22" s="2"/>
      <c r="E22" s="2"/>
      <c r="F22" s="7">
        <v>290</v>
      </c>
      <c r="G22" s="3"/>
      <c r="H22" s="3"/>
    </row>
    <row r="23" spans="1:8" x14ac:dyDescent="0.45">
      <c r="A23" s="3">
        <f t="shared" si="0"/>
        <v>22</v>
      </c>
      <c r="B23" s="7" t="s">
        <v>350</v>
      </c>
      <c r="C23" s="2" t="s">
        <v>41</v>
      </c>
      <c r="D23" s="2" t="s">
        <v>335</v>
      </c>
      <c r="E23" s="2" t="s">
        <v>335</v>
      </c>
      <c r="F23" s="7">
        <v>290</v>
      </c>
      <c r="G23" s="3"/>
      <c r="H23" s="3"/>
    </row>
    <row r="24" spans="1:8" x14ac:dyDescent="0.45">
      <c r="A24" s="3">
        <f t="shared" si="0"/>
        <v>23</v>
      </c>
      <c r="B24" s="7" t="s">
        <v>351</v>
      </c>
      <c r="C24" s="2" t="s">
        <v>41</v>
      </c>
      <c r="D24" s="2" t="s">
        <v>189</v>
      </c>
      <c r="E24" s="2" t="s">
        <v>205</v>
      </c>
      <c r="F24" s="7">
        <v>290</v>
      </c>
      <c r="G24" s="3"/>
      <c r="H24" s="3"/>
    </row>
    <row r="25" spans="1:8" x14ac:dyDescent="0.45">
      <c r="A25" s="3">
        <f t="shared" si="0"/>
        <v>24</v>
      </c>
      <c r="B25" s="3" t="s">
        <v>352</v>
      </c>
      <c r="C25" s="2" t="s">
        <v>153</v>
      </c>
      <c r="D25" s="2"/>
      <c r="E25" s="2"/>
      <c r="F25" s="7">
        <v>291</v>
      </c>
      <c r="G25" s="3"/>
      <c r="H25" s="3"/>
    </row>
    <row r="26" spans="1:8" x14ac:dyDescent="0.45">
      <c r="A26" s="3">
        <f t="shared" si="0"/>
        <v>25</v>
      </c>
      <c r="B26" s="8" t="s">
        <v>353</v>
      </c>
      <c r="C26" s="2" t="s">
        <v>41</v>
      </c>
      <c r="D26" s="2" t="s">
        <v>335</v>
      </c>
      <c r="E26" s="2" t="s">
        <v>335</v>
      </c>
      <c r="F26" s="7">
        <v>291</v>
      </c>
      <c r="G26" s="3"/>
      <c r="H26" s="3"/>
    </row>
    <row r="27" spans="1:8" x14ac:dyDescent="0.45">
      <c r="A27" s="3">
        <f t="shared" si="0"/>
        <v>26</v>
      </c>
      <c r="B27" s="7" t="s">
        <v>354</v>
      </c>
      <c r="C27" s="2" t="s">
        <v>41</v>
      </c>
      <c r="D27" s="2" t="s">
        <v>335</v>
      </c>
      <c r="E27" s="2" t="s">
        <v>335</v>
      </c>
      <c r="F27" s="7">
        <v>292</v>
      </c>
      <c r="G27" s="3"/>
      <c r="H27" s="3"/>
    </row>
    <row r="28" spans="1:8" x14ac:dyDescent="0.45">
      <c r="A28" s="3">
        <f t="shared" si="0"/>
        <v>27</v>
      </c>
      <c r="B28" s="7" t="s">
        <v>355</v>
      </c>
      <c r="C28" s="2" t="s">
        <v>52</v>
      </c>
      <c r="D28" s="2" t="s">
        <v>356</v>
      </c>
      <c r="E28" s="2" t="s">
        <v>335</v>
      </c>
      <c r="F28" s="7">
        <v>292</v>
      </c>
      <c r="G28" s="3"/>
      <c r="H28" s="3"/>
    </row>
    <row r="29" spans="1:8" x14ac:dyDescent="0.45">
      <c r="A29" s="3">
        <f t="shared" si="0"/>
        <v>28</v>
      </c>
      <c r="B29" s="7" t="s">
        <v>357</v>
      </c>
      <c r="C29" s="2" t="s">
        <v>41</v>
      </c>
      <c r="D29" s="2" t="s">
        <v>335</v>
      </c>
      <c r="E29" s="2" t="s">
        <v>335</v>
      </c>
      <c r="F29" s="7">
        <v>292</v>
      </c>
      <c r="G29" s="3"/>
      <c r="H29" s="3"/>
    </row>
    <row r="30" spans="1:8" x14ac:dyDescent="0.45">
      <c r="A30" s="3">
        <f t="shared" si="0"/>
        <v>29</v>
      </c>
      <c r="B30" s="3" t="s">
        <v>358</v>
      </c>
      <c r="C30" s="2" t="s">
        <v>161</v>
      </c>
      <c r="D30" s="2"/>
      <c r="E30" s="2"/>
      <c r="F30" s="3"/>
      <c r="G30" s="3"/>
      <c r="H30" s="3"/>
    </row>
    <row r="31" spans="1:8" x14ac:dyDescent="0.45">
      <c r="A31" s="3">
        <f t="shared" si="0"/>
        <v>30</v>
      </c>
      <c r="B31" s="7" t="s">
        <v>359</v>
      </c>
      <c r="C31" s="2" t="s">
        <v>52</v>
      </c>
      <c r="D31" s="2" t="s">
        <v>334</v>
      </c>
      <c r="E31" s="2" t="s">
        <v>335</v>
      </c>
      <c r="F31" s="3"/>
      <c r="G31" s="3"/>
      <c r="H31" s="3"/>
    </row>
  </sheetData>
  <sortState xmlns:xlrd2="http://schemas.microsoft.com/office/spreadsheetml/2017/richdata2" ref="A2:H31">
    <sortCondition ref="F2:F31"/>
  </sortState>
  <phoneticPr fontId="2"/>
  <hyperlinks>
    <hyperlink ref="B5" r:id="rId1" xr:uid="{99178BC1-569A-49EF-B3C9-506F919C84EC}"/>
    <hyperlink ref="B6" r:id="rId2" xr:uid="{99C453D0-44CC-476B-8CB6-2C998A28B050}"/>
    <hyperlink ref="B13" r:id="rId3" xr:uid="{39AF3C16-2B55-47C0-A8BE-91ECFAC332E3}"/>
    <hyperlink ref="B14" r:id="rId4" xr:uid="{AE23A1CD-0926-49BA-B4D5-6C7AC5471FF6}"/>
    <hyperlink ref="B19" r:id="rId5" xr:uid="{7F7752E6-55F1-425F-A131-76CA68E7E4B2}"/>
    <hyperlink ref="B23" r:id="rId6" xr:uid="{FB92C87A-CB2A-4037-9F1D-4853BBFA6121}"/>
    <hyperlink ref="B24" r:id="rId7" xr:uid="{C2656709-4562-4646-9699-C7512E403283}"/>
    <hyperlink ref="B26" r:id="rId8" xr:uid="{7AF6F12A-8CEB-4C15-926D-3DB1AA325E75}"/>
    <hyperlink ref="B27" r:id="rId9" xr:uid="{72D57821-10F8-47ED-AF4B-7FE824D2CCF2}"/>
    <hyperlink ref="B29" r:id="rId10" xr:uid="{5A15F161-6E05-472D-9FC2-353825229A98}"/>
    <hyperlink ref="B9" r:id="rId11" xr:uid="{13D758FE-41D2-4612-A49E-D897608BDC47}"/>
    <hyperlink ref="B17" r:id="rId12" xr:uid="{B49AAF4D-4CB7-4C73-BFCA-EF7CC7E30F72}"/>
    <hyperlink ref="B28" r:id="rId13" xr:uid="{B57E2603-2FED-4D06-AD4C-0FD17E4214E4}"/>
    <hyperlink ref="B31" r:id="rId14" xr:uid="{BB955DED-5384-4471-AFB0-EB2A1B5676BA}"/>
    <hyperlink ref="B7" r:id="rId15" xr:uid="{1FA8FAC0-743E-4A4B-A91C-B8A567BFA626}"/>
    <hyperlink ref="B11" r:id="rId16" display="前腕固" xr:uid="{DC13B44D-CD37-465B-B502-D766FB5D1B57}"/>
    <hyperlink ref="B18" r:id="rId17" xr:uid="{2D8FAE51-5B42-40F6-AA28-796611B4B769}"/>
    <hyperlink ref="B20" r:id="rId18" xr:uid="{B8EFBF4B-02BD-4C4B-8BAA-B9A99D3941D0}"/>
    <hyperlink ref="B21" r:id="rId19" xr:uid="{8C17CD92-13B2-4BAA-8C0F-8C1F1C009DA4}"/>
    <hyperlink ref="F2" r:id="rId20" display="https://1drv.ms/b/c/a8f0902f6b5ae388/IQD83QVRTndxT5Ftkx4pgXRjAYylxWZsE955SoePmeCnAx8?e=Krcwjn" xr:uid="{EAE5AF75-2F25-4AFB-801A-E329031B7152}"/>
    <hyperlink ref="F3" r:id="rId21" display="https://1drv.ms/b/c/a8f0902f6b5ae388/IQD83QVRTndxT5Ftkx4pgXRjAYylxWZsE955SoePmeCnAx8?e=Krcwjn" xr:uid="{D140F018-2A50-4258-9082-B88F140D2233}"/>
    <hyperlink ref="F4" r:id="rId22" display="https://1drv.ms/b/c/a8f0902f6b5ae388/IQDUja24671oQpmVEcrqQMhUAQ4fFrO8xp1Q3kby59f_H0A?e=KrHpbi" xr:uid="{F266035B-256F-425F-B73F-6A09E23572DA}"/>
    <hyperlink ref="F5" r:id="rId23" display="https://1drv.ms/b/c/a8f0902f6b5ae388/IQDUja24671oQpmVEcrqQMhUAQ4fFrO8xp1Q3kby59f_H0A?e=KrHpbi" xr:uid="{3C7712EF-F2F4-4956-A68E-9CDA0506C7DF}"/>
    <hyperlink ref="F6" r:id="rId24" display="https://1drv.ms/b/c/a8f0902f6b5ae388/IQDUja24671oQpmVEcrqQMhUAQ4fFrO8xp1Q3kby59f_H0A?e=KrHpbi" xr:uid="{939962E8-400D-41D8-830B-E5DE9F439822}"/>
    <hyperlink ref="F7" r:id="rId25" display="https://1drv.ms/b/c/a8f0902f6b5ae388/IQDUja24671oQpmVEcrqQMhUAQ4fFrO8xp1Q3kby59f_H0A?e=KrHpbi" xr:uid="{81F35F55-FB7B-4680-8A1B-A1754BB8222C}"/>
    <hyperlink ref="F8" r:id="rId26" display="https://1drv.ms/b/c/a8f0902f6b5ae388/IQDUja24671oQpmVEcrqQMhUAQ4fFrO8xp1Q3kby59f_H0A?e=KrHpbi" xr:uid="{FEC379B3-548B-4748-8FC0-D3F290ABF454}"/>
    <hyperlink ref="F9" r:id="rId27" display="https://1drv.ms/b/c/a8f0902f6b5ae388/IQDUja24671oQpmVEcrqQMhUAQ4fFrO8xp1Q3kby59f_H0A?e=KrHpbi" xr:uid="{637C028D-8EBD-4E1D-911D-5BB4333C18CA}"/>
    <hyperlink ref="F10" r:id="rId28" display="https://1drv.ms/b/c/a8f0902f6b5ae388/IQDUja24671oQpmVEcrqQMhUAQ4fFrO8xp1Q3kby59f_H0A?e=KrHpbi" xr:uid="{548E4979-A945-49E3-89A0-7621BBE5244E}"/>
    <hyperlink ref="F11" r:id="rId29" display="https://1drv.ms/b/c/a8f0902f6b5ae388/IQDUja24671oQpmVEcrqQMhUAQ4fFrO8xp1Q3kby59f_H0A?e=KrHpbi" xr:uid="{A019EADC-AD62-4446-9936-20BA54C4226B}"/>
    <hyperlink ref="F12" r:id="rId30" display="https://1drv.ms/b/c/a8f0902f6b5ae388/IQAvYEsKZrs-S5ihvtoMDzptARaWrh0sX9O1KZInraiVfLQ?e=WW0peS" xr:uid="{1FD29D1F-8110-4FE0-BDBB-DA5C33B55B40}"/>
    <hyperlink ref="F13" r:id="rId31" display="https://1drv.ms/b/c/a8f0902f6b5ae388/IQAvYEsKZrs-S5ihvtoMDzptARaWrh0sX9O1KZInraiVfLQ?e=WW0peS" xr:uid="{7D338435-D738-40D3-997D-ED653A364E32}"/>
    <hyperlink ref="F14" r:id="rId32" display="https://1drv.ms/b/c/a8f0902f6b5ae388/IQAvYEsKZrs-S5ihvtoMDzptARaWrh0sX9O1KZInraiVfLQ?e=WW0peS" xr:uid="{D13A8A66-FAC6-4C4F-BA69-7C1CA6725CC4}"/>
    <hyperlink ref="F15" r:id="rId33" display="https://1drv.ms/b/c/a8f0902f6b5ae388/IQAvYEsKZrs-S5ihvtoMDzptARaWrh0sX9O1KZInraiVfLQ?e=WW0peS" xr:uid="{349AA78D-D64D-4CB8-A851-96F2D87BA303}"/>
    <hyperlink ref="F16" r:id="rId34" display="https://1drv.ms/b/c/a8f0902f6b5ae388/IQAvYEsKZrs-S5ihvtoMDzptARaWrh0sX9O1KZInraiVfLQ?e=WW0peS" xr:uid="{8ED63997-3FB4-4225-B1D3-A9AD2FBDC51C}"/>
    <hyperlink ref="F17" r:id="rId35" display="https://1drv.ms/b/c/a8f0902f6b5ae388/IQAvYEsKZrs-S5ihvtoMDzptARaWrh0sX9O1KZInraiVfLQ?e=WW0peS" xr:uid="{8DC60496-7A7B-4122-B626-C1DA1525AA4B}"/>
    <hyperlink ref="F18" r:id="rId36" display="https://1drv.ms/b/c/a8f0902f6b5ae388/IQAvYEsKZrs-S5ihvtoMDzptARaWrh0sX9O1KZInraiVfLQ?e=WW0peS" xr:uid="{4FE78399-C19A-4C8B-A1C8-2540F57B3A92}"/>
    <hyperlink ref="F19" r:id="rId37" display="https://1drv.ms/b/c/a8f0902f6b5ae388/IQBSn8gFN_NbSZt9oChYFk_EARpPDMPaI49YFpn3j8w4f0Q?e=JwC3HI" xr:uid="{1F6676F8-4F12-4AFB-992B-11EE6DEC8629}"/>
    <hyperlink ref="F20" r:id="rId38" display="https://1drv.ms/b/c/a8f0902f6b5ae388/IQBSn8gFN_NbSZt9oChYFk_EARpPDMPaI49YFpn3j8w4f0Q?e=JwC3HI" xr:uid="{6FA7DFAC-F9E0-49B8-B461-4376EA61969B}"/>
    <hyperlink ref="F21" r:id="rId39" display="https://1drv.ms/b/c/a8f0902f6b5ae388/IQBSn8gFN_NbSZt9oChYFk_EARpPDMPaI49YFpn3j8w4f0Q?e=JwC3HI" xr:uid="{7CD8DE7A-8845-4513-B91E-36460E889AB8}"/>
    <hyperlink ref="F22" r:id="rId40" display="https://1drv.ms/b/c/a8f0902f6b5ae388/IQBSn8gFN_NbSZt9oChYFk_EARpPDMPaI49YFpn3j8w4f0Q?e=JwC3HI" xr:uid="{FD67651B-44FD-4703-86D3-FE0CCE615D6A}"/>
    <hyperlink ref="F23" r:id="rId41" display="https://1drv.ms/b/c/a8f0902f6b5ae388/IQBSn8gFN_NbSZt9oChYFk_EARpPDMPaI49YFpn3j8w4f0Q?e=JwC3HI" xr:uid="{548AD9ED-8119-45F7-8B21-50C3AA8AF65E}"/>
    <hyperlink ref="F24" r:id="rId42" display="https://1drv.ms/b/c/a8f0902f6b5ae388/IQBSn8gFN_NbSZt9oChYFk_EARpPDMPaI49YFpn3j8w4f0Q?e=JwC3HI" xr:uid="{C3BD4CD2-B3D2-44B1-A0C9-97A1394E5CA6}"/>
    <hyperlink ref="F25" r:id="rId43" display="https://1drv.ms/b/c/a8f0902f6b5ae388/IQBSn8gFN_NbSZt9oChYFk_EARpPDMPaI49YFpn3j8w4f0Q?e=JwC3HI" xr:uid="{AB7E9A81-C832-459E-8A99-33B0F8491128}"/>
    <hyperlink ref="F26" r:id="rId44" display="https://1drv.ms/b/c/a8f0902f6b5ae388/IQBSn8gFN_NbSZt9oChYFk_EARpPDMPaI49YFpn3j8w4f0Q?e=JwC3HI" xr:uid="{1B5619DA-5D5C-4596-BCE0-5A78A5FCE53F}"/>
    <hyperlink ref="F27" r:id="rId45" display="https://1drv.ms/b/c/a8f0902f6b5ae388/IQCdfXjxbZm0SZta_h4yK3f1AUp33zuArX6a5l2OfhoZfVw?e=9bJf6x" xr:uid="{5706AE43-0C0C-48B8-94E7-C465B2509AB0}"/>
    <hyperlink ref="F28" r:id="rId46" display="https://1drv.ms/b/c/a8f0902f6b5ae388/IQCdfXjxbZm0SZta_h4yK3f1AUp33zuArX6a5l2OfhoZfVw?e=9bJf6x" xr:uid="{05F69871-F0C4-4ADE-BB17-B744D4084855}"/>
    <hyperlink ref="F29" r:id="rId47" display="https://1drv.ms/b/c/a8f0902f6b5ae388/IQCdfXjxbZm0SZta_h4yK3f1AUp33zuArX6a5l2OfhoZfVw?e=9bJf6x" xr:uid="{54B10BA1-3A5D-45F2-81FD-A1BE72793829}"/>
  </hyperlinks>
  <pageMargins left="0.7" right="0.7" top="0.75" bottom="0.75" header="0.3" footer="0.3"/>
  <pageSetup paperSize="9" orientation="portrait" r:id="rId48"/>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FF95-49A4-4F39-A57A-E02DB70F3954}">
  <sheetPr codeName="Sheet21">
    <tabColor rgb="FFFFFF00"/>
  </sheetPr>
  <dimension ref="A1:H49"/>
  <sheetViews>
    <sheetView view="pageBreakPreview" zoomScaleNormal="100" zoomScaleSheetLayoutView="100" workbookViewId="0">
      <pane ySplit="1" topLeftCell="A35" activePane="bottomLeft" state="frozen"/>
      <selection pane="bottomLeft" activeCell="F2" sqref="F2:F49"/>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s>
  <sheetData>
    <row r="1" spans="1:8" s="1" customFormat="1" x14ac:dyDescent="0.45">
      <c r="A1" s="6"/>
      <c r="B1" s="6" t="s">
        <v>360</v>
      </c>
      <c r="C1" s="6"/>
      <c r="D1" s="5" t="s">
        <v>1</v>
      </c>
      <c r="E1" s="5" t="s">
        <v>2</v>
      </c>
      <c r="F1" s="6" t="s">
        <v>3</v>
      </c>
      <c r="G1" s="6" t="s">
        <v>4</v>
      </c>
      <c r="H1" s="6" t="s">
        <v>5</v>
      </c>
    </row>
    <row r="2" spans="1:8" x14ac:dyDescent="0.45">
      <c r="A2" s="3">
        <f t="shared" ref="A2:A49" si="0">ROW()-1</f>
        <v>1</v>
      </c>
      <c r="B2" s="7" t="s">
        <v>361</v>
      </c>
      <c r="C2" s="2" t="s">
        <v>161</v>
      </c>
      <c r="D2" s="2" t="s">
        <v>362</v>
      </c>
      <c r="E2" s="2" t="s">
        <v>363</v>
      </c>
      <c r="F2" s="7">
        <v>296</v>
      </c>
      <c r="G2" s="3">
        <v>128</v>
      </c>
      <c r="H2" s="3">
        <v>200</v>
      </c>
    </row>
    <row r="3" spans="1:8" x14ac:dyDescent="0.45">
      <c r="A3" s="3">
        <f t="shared" si="0"/>
        <v>2</v>
      </c>
      <c r="B3" s="3" t="s">
        <v>364</v>
      </c>
      <c r="C3" s="2" t="s">
        <v>161</v>
      </c>
      <c r="D3" s="2" t="s">
        <v>362</v>
      </c>
      <c r="E3" s="2" t="s">
        <v>365</v>
      </c>
      <c r="F3" s="7">
        <v>297</v>
      </c>
      <c r="G3" s="3">
        <v>126</v>
      </c>
      <c r="H3" s="3">
        <v>202</v>
      </c>
    </row>
    <row r="4" spans="1:8" x14ac:dyDescent="0.45">
      <c r="A4" s="3">
        <f t="shared" si="0"/>
        <v>3</v>
      </c>
      <c r="B4" s="7" t="s">
        <v>366</v>
      </c>
      <c r="C4" s="2" t="s">
        <v>52</v>
      </c>
      <c r="D4" s="2" t="s">
        <v>367</v>
      </c>
      <c r="E4" s="2" t="s">
        <v>368</v>
      </c>
      <c r="F4" s="7">
        <v>298</v>
      </c>
      <c r="G4" s="3"/>
      <c r="H4" s="3"/>
    </row>
    <row r="5" spans="1:8" x14ac:dyDescent="0.45">
      <c r="A5" s="3">
        <f t="shared" si="0"/>
        <v>4</v>
      </c>
      <c r="B5" s="7" t="s">
        <v>369</v>
      </c>
      <c r="C5" s="2" t="s">
        <v>52</v>
      </c>
      <c r="D5" s="2" t="s">
        <v>367</v>
      </c>
      <c r="E5" s="2" t="s">
        <v>370</v>
      </c>
      <c r="F5" s="7">
        <v>298</v>
      </c>
      <c r="G5" s="3"/>
      <c r="H5" s="3"/>
    </row>
    <row r="6" spans="1:8" x14ac:dyDescent="0.45">
      <c r="A6" s="3">
        <f t="shared" si="0"/>
        <v>5</v>
      </c>
      <c r="B6" s="3" t="s">
        <v>371</v>
      </c>
      <c r="C6" s="2" t="s">
        <v>161</v>
      </c>
      <c r="D6" s="2" t="s">
        <v>367</v>
      </c>
      <c r="E6" s="2"/>
      <c r="F6" s="7">
        <v>298</v>
      </c>
      <c r="G6" s="3">
        <v>130</v>
      </c>
      <c r="H6" s="3"/>
    </row>
    <row r="7" spans="1:8" x14ac:dyDescent="0.45">
      <c r="A7" s="3">
        <f t="shared" si="0"/>
        <v>6</v>
      </c>
      <c r="B7" s="7" t="s">
        <v>372</v>
      </c>
      <c r="C7" s="2" t="s">
        <v>200</v>
      </c>
      <c r="D7" s="2"/>
      <c r="E7" s="2"/>
      <c r="F7" s="7">
        <v>298</v>
      </c>
      <c r="G7" s="3"/>
      <c r="H7" s="3"/>
    </row>
    <row r="8" spans="1:8" x14ac:dyDescent="0.45">
      <c r="A8" s="3">
        <f t="shared" si="0"/>
        <v>7</v>
      </c>
      <c r="B8" s="7" t="s">
        <v>373</v>
      </c>
      <c r="C8" s="2" t="s">
        <v>52</v>
      </c>
      <c r="D8" s="2" t="s">
        <v>367</v>
      </c>
      <c r="E8" s="2" t="s">
        <v>374</v>
      </c>
      <c r="F8" s="7">
        <v>298</v>
      </c>
      <c r="G8" s="3"/>
      <c r="H8" s="3">
        <v>248</v>
      </c>
    </row>
    <row r="9" spans="1:8" x14ac:dyDescent="0.45">
      <c r="A9" s="3">
        <f t="shared" si="0"/>
        <v>8</v>
      </c>
      <c r="B9" s="7" t="s">
        <v>375</v>
      </c>
      <c r="C9" s="2" t="s">
        <v>248</v>
      </c>
      <c r="D9" s="2"/>
      <c r="E9" s="2"/>
      <c r="F9" s="7">
        <v>300</v>
      </c>
      <c r="G9" s="3"/>
      <c r="H9" s="3"/>
    </row>
    <row r="10" spans="1:8" x14ac:dyDescent="0.45">
      <c r="A10" s="3">
        <f t="shared" si="0"/>
        <v>9</v>
      </c>
      <c r="B10" s="7" t="s">
        <v>376</v>
      </c>
      <c r="C10" s="2" t="s">
        <v>200</v>
      </c>
      <c r="D10" s="2"/>
      <c r="E10" s="2"/>
      <c r="F10" s="7">
        <v>300</v>
      </c>
      <c r="G10" s="3"/>
      <c r="H10" s="3"/>
    </row>
    <row r="11" spans="1:8" x14ac:dyDescent="0.45">
      <c r="A11" s="3">
        <f t="shared" si="0"/>
        <v>10</v>
      </c>
      <c r="B11" s="3" t="s">
        <v>377</v>
      </c>
      <c r="C11" s="2" t="s">
        <v>174</v>
      </c>
      <c r="D11" s="2" t="s">
        <v>182</v>
      </c>
      <c r="E11" s="2"/>
      <c r="F11" s="7">
        <v>300</v>
      </c>
      <c r="G11" s="3">
        <v>122</v>
      </c>
      <c r="H11" s="3">
        <v>196</v>
      </c>
    </row>
    <row r="12" spans="1:8" x14ac:dyDescent="0.45">
      <c r="A12" s="3">
        <f t="shared" si="0"/>
        <v>11</v>
      </c>
      <c r="B12" s="3" t="s">
        <v>378</v>
      </c>
      <c r="C12" s="2" t="s">
        <v>174</v>
      </c>
      <c r="D12" s="2" t="s">
        <v>182</v>
      </c>
      <c r="E12" s="2"/>
      <c r="F12" s="3"/>
      <c r="G12" s="3"/>
      <c r="H12" s="3"/>
    </row>
    <row r="13" spans="1:8" x14ac:dyDescent="0.45">
      <c r="A13" s="3">
        <f t="shared" si="0"/>
        <v>12</v>
      </c>
      <c r="B13" s="3" t="s">
        <v>379</v>
      </c>
      <c r="C13" s="2" t="s">
        <v>161</v>
      </c>
      <c r="D13" s="2" t="s">
        <v>380</v>
      </c>
      <c r="E13" s="2"/>
      <c r="F13" s="7">
        <v>300</v>
      </c>
      <c r="G13" s="3"/>
      <c r="H13" s="3"/>
    </row>
    <row r="14" spans="1:8" x14ac:dyDescent="0.45">
      <c r="A14" s="3">
        <f t="shared" si="0"/>
        <v>13</v>
      </c>
      <c r="B14" s="3" t="s">
        <v>381</v>
      </c>
      <c r="C14" s="2" t="s">
        <v>161</v>
      </c>
      <c r="D14" s="2" t="s">
        <v>380</v>
      </c>
      <c r="E14" s="2"/>
      <c r="F14" s="7">
        <v>300</v>
      </c>
      <c r="G14" s="3">
        <v>134</v>
      </c>
      <c r="H14" s="3">
        <v>242</v>
      </c>
    </row>
    <row r="15" spans="1:8" x14ac:dyDescent="0.45">
      <c r="A15" s="3">
        <f t="shared" si="0"/>
        <v>14</v>
      </c>
      <c r="B15" s="7" t="s">
        <v>382</v>
      </c>
      <c r="C15" s="2" t="s">
        <v>41</v>
      </c>
      <c r="D15" s="2" t="s">
        <v>367</v>
      </c>
      <c r="E15" s="2" t="s">
        <v>383</v>
      </c>
      <c r="F15" s="7">
        <v>302</v>
      </c>
      <c r="G15" s="3"/>
      <c r="H15" s="3"/>
    </row>
    <row r="16" spans="1:8" x14ac:dyDescent="0.45">
      <c r="A16" s="3">
        <f t="shared" si="0"/>
        <v>15</v>
      </c>
      <c r="B16" s="7" t="s">
        <v>384</v>
      </c>
      <c r="C16" s="2" t="s">
        <v>41</v>
      </c>
      <c r="D16" s="2" t="s">
        <v>385</v>
      </c>
      <c r="E16" s="2" t="s">
        <v>386</v>
      </c>
      <c r="F16" s="7">
        <v>302</v>
      </c>
      <c r="G16" s="3"/>
      <c r="H16" s="3"/>
    </row>
    <row r="17" spans="1:8" x14ac:dyDescent="0.45">
      <c r="A17" s="3">
        <f t="shared" si="0"/>
        <v>16</v>
      </c>
      <c r="B17" s="3" t="s">
        <v>387</v>
      </c>
      <c r="C17" s="2" t="s">
        <v>161</v>
      </c>
      <c r="D17" s="2" t="s">
        <v>380</v>
      </c>
      <c r="E17" s="2"/>
      <c r="F17" s="7">
        <v>302</v>
      </c>
      <c r="G17" s="3">
        <v>138</v>
      </c>
      <c r="H17" s="3"/>
    </row>
    <row r="18" spans="1:8" x14ac:dyDescent="0.45">
      <c r="A18" s="3">
        <f t="shared" si="0"/>
        <v>17</v>
      </c>
      <c r="B18" s="7" t="s">
        <v>388</v>
      </c>
      <c r="C18" s="2" t="s">
        <v>41</v>
      </c>
      <c r="D18" s="2" t="s">
        <v>367</v>
      </c>
      <c r="E18" s="2" t="s">
        <v>383</v>
      </c>
      <c r="F18" s="7">
        <v>302</v>
      </c>
      <c r="G18" s="3"/>
      <c r="H18" s="3">
        <v>246</v>
      </c>
    </row>
    <row r="19" spans="1:8" x14ac:dyDescent="0.45">
      <c r="A19" s="3">
        <f t="shared" si="0"/>
        <v>18</v>
      </c>
      <c r="B19" s="7" t="s">
        <v>389</v>
      </c>
      <c r="C19" s="2" t="s">
        <v>41</v>
      </c>
      <c r="D19" s="2" t="s">
        <v>385</v>
      </c>
      <c r="E19" s="2" t="s">
        <v>390</v>
      </c>
      <c r="F19" s="7">
        <v>302</v>
      </c>
      <c r="G19" s="3"/>
      <c r="H19" s="3"/>
    </row>
    <row r="20" spans="1:8" x14ac:dyDescent="0.45">
      <c r="A20" s="3">
        <f t="shared" si="0"/>
        <v>19</v>
      </c>
      <c r="B20" s="3" t="s">
        <v>391</v>
      </c>
      <c r="C20" s="2" t="s">
        <v>161</v>
      </c>
      <c r="D20" s="2" t="s">
        <v>380</v>
      </c>
      <c r="E20" s="2"/>
      <c r="F20" s="7">
        <v>303</v>
      </c>
      <c r="G20" s="3">
        <v>136</v>
      </c>
      <c r="H20" s="3">
        <v>244</v>
      </c>
    </row>
    <row r="21" spans="1:8" x14ac:dyDescent="0.45">
      <c r="A21" s="3">
        <f t="shared" si="0"/>
        <v>20</v>
      </c>
      <c r="B21" s="7" t="s">
        <v>392</v>
      </c>
      <c r="C21" s="2" t="s">
        <v>200</v>
      </c>
      <c r="D21" s="2"/>
      <c r="E21" s="2"/>
      <c r="F21" s="7">
        <v>303</v>
      </c>
      <c r="G21" s="3"/>
      <c r="H21" s="3"/>
    </row>
    <row r="22" spans="1:8" x14ac:dyDescent="0.45">
      <c r="A22" s="3">
        <f t="shared" si="0"/>
        <v>21</v>
      </c>
      <c r="B22" s="7" t="s">
        <v>393</v>
      </c>
      <c r="C22" s="2" t="s">
        <v>248</v>
      </c>
      <c r="D22" s="2"/>
      <c r="E22" s="2"/>
      <c r="F22" s="7">
        <v>303</v>
      </c>
      <c r="G22" s="3"/>
      <c r="H22" s="3"/>
    </row>
    <row r="23" spans="1:8" x14ac:dyDescent="0.45">
      <c r="A23" s="3">
        <f t="shared" si="0"/>
        <v>22</v>
      </c>
      <c r="B23" s="7" t="s">
        <v>394</v>
      </c>
      <c r="C23" s="2" t="s">
        <v>248</v>
      </c>
      <c r="D23" s="2"/>
      <c r="E23" s="2"/>
      <c r="F23" s="7">
        <v>303</v>
      </c>
      <c r="G23" s="3"/>
      <c r="H23" s="3"/>
    </row>
    <row r="24" spans="1:8" x14ac:dyDescent="0.45">
      <c r="A24" s="3">
        <f t="shared" si="0"/>
        <v>23</v>
      </c>
      <c r="B24" s="7" t="s">
        <v>395</v>
      </c>
      <c r="C24" s="2" t="s">
        <v>200</v>
      </c>
      <c r="D24" s="2" t="s">
        <v>396</v>
      </c>
      <c r="E24" s="2" t="s">
        <v>397</v>
      </c>
      <c r="F24" s="7">
        <v>303</v>
      </c>
      <c r="G24" s="3"/>
      <c r="H24" s="3"/>
    </row>
    <row r="25" spans="1:8" x14ac:dyDescent="0.45">
      <c r="A25" s="3">
        <f t="shared" si="0"/>
        <v>24</v>
      </c>
      <c r="B25" s="7" t="s">
        <v>398</v>
      </c>
      <c r="C25" s="2" t="s">
        <v>200</v>
      </c>
      <c r="D25" s="2" t="s">
        <v>396</v>
      </c>
      <c r="E25" s="2" t="s">
        <v>397</v>
      </c>
      <c r="F25" s="7">
        <v>303</v>
      </c>
      <c r="G25" s="3"/>
      <c r="H25" s="3"/>
    </row>
    <row r="26" spans="1:8" x14ac:dyDescent="0.45">
      <c r="A26" s="3">
        <f t="shared" si="0"/>
        <v>25</v>
      </c>
      <c r="B26" s="7" t="s">
        <v>399</v>
      </c>
      <c r="C26" s="2" t="s">
        <v>248</v>
      </c>
      <c r="D26" s="2"/>
      <c r="E26" s="2"/>
      <c r="F26" s="7">
        <v>305</v>
      </c>
      <c r="G26" s="3"/>
      <c r="H26" s="3"/>
    </row>
    <row r="27" spans="1:8" x14ac:dyDescent="0.45">
      <c r="A27" s="3">
        <f t="shared" si="0"/>
        <v>26</v>
      </c>
      <c r="B27" s="7" t="s">
        <v>400</v>
      </c>
      <c r="C27" s="2" t="s">
        <v>248</v>
      </c>
      <c r="D27" s="2"/>
      <c r="E27" s="2"/>
      <c r="F27" s="7">
        <v>305</v>
      </c>
      <c r="G27" s="3"/>
      <c r="H27" s="3"/>
    </row>
    <row r="28" spans="1:8" x14ac:dyDescent="0.45">
      <c r="A28" s="3">
        <f t="shared" si="0"/>
        <v>27</v>
      </c>
      <c r="B28" s="7" t="s">
        <v>401</v>
      </c>
      <c r="C28" s="2" t="s">
        <v>248</v>
      </c>
      <c r="D28" s="2"/>
      <c r="E28" s="2"/>
      <c r="F28" s="7">
        <v>305</v>
      </c>
      <c r="G28" s="3"/>
      <c r="H28" s="3"/>
    </row>
    <row r="29" spans="1:8" x14ac:dyDescent="0.45">
      <c r="A29" s="3">
        <f t="shared" si="0"/>
        <v>28</v>
      </c>
      <c r="B29" s="7" t="s">
        <v>402</v>
      </c>
      <c r="C29" s="2" t="s">
        <v>200</v>
      </c>
      <c r="D29" s="2"/>
      <c r="E29" s="2"/>
      <c r="F29" s="7">
        <v>305</v>
      </c>
      <c r="G29" s="3"/>
      <c r="H29" s="3">
        <v>250</v>
      </c>
    </row>
    <row r="30" spans="1:8" x14ac:dyDescent="0.45">
      <c r="A30" s="3">
        <f t="shared" si="0"/>
        <v>29</v>
      </c>
      <c r="B30" s="10" t="s">
        <v>403</v>
      </c>
      <c r="C30" s="2" t="s">
        <v>200</v>
      </c>
      <c r="D30" s="2"/>
      <c r="E30" s="2"/>
      <c r="F30" s="7">
        <v>305</v>
      </c>
      <c r="G30" s="3"/>
      <c r="H30" s="3"/>
    </row>
    <row r="31" spans="1:8" x14ac:dyDescent="0.45">
      <c r="A31" s="3">
        <f t="shared" si="0"/>
        <v>30</v>
      </c>
      <c r="B31" s="7" t="s">
        <v>404</v>
      </c>
      <c r="C31" s="2" t="s">
        <v>52</v>
      </c>
      <c r="D31" s="2" t="s">
        <v>405</v>
      </c>
      <c r="E31" s="2" t="s">
        <v>335</v>
      </c>
      <c r="F31" s="7">
        <v>305</v>
      </c>
      <c r="G31" s="3"/>
      <c r="H31" s="3"/>
    </row>
    <row r="32" spans="1:8" x14ac:dyDescent="0.45">
      <c r="A32" s="3">
        <f t="shared" si="0"/>
        <v>31</v>
      </c>
      <c r="B32" s="7" t="s">
        <v>406</v>
      </c>
      <c r="C32" s="2" t="s">
        <v>200</v>
      </c>
      <c r="D32" s="2" t="s">
        <v>396</v>
      </c>
      <c r="E32" s="2" t="s">
        <v>407</v>
      </c>
      <c r="F32" s="7">
        <v>306</v>
      </c>
      <c r="G32" s="3"/>
      <c r="H32" s="3">
        <v>256</v>
      </c>
    </row>
    <row r="33" spans="1:8" x14ac:dyDescent="0.45">
      <c r="A33" s="3">
        <f t="shared" si="0"/>
        <v>32</v>
      </c>
      <c r="B33" s="7" t="s">
        <v>408</v>
      </c>
      <c r="C33" s="2" t="s">
        <v>200</v>
      </c>
      <c r="D33" s="2" t="s">
        <v>409</v>
      </c>
      <c r="E33" s="2" t="s">
        <v>410</v>
      </c>
      <c r="F33" s="7">
        <v>306</v>
      </c>
      <c r="G33" s="3"/>
      <c r="H33" s="3"/>
    </row>
    <row r="34" spans="1:8" x14ac:dyDescent="0.45">
      <c r="A34" s="3">
        <f t="shared" si="0"/>
        <v>33</v>
      </c>
      <c r="B34" s="7" t="s">
        <v>411</v>
      </c>
      <c r="C34" s="2" t="s">
        <v>200</v>
      </c>
      <c r="D34" s="2" t="s">
        <v>409</v>
      </c>
      <c r="E34" s="2" t="s">
        <v>410</v>
      </c>
      <c r="F34" s="7">
        <v>307</v>
      </c>
      <c r="G34" s="3"/>
      <c r="H34" s="3"/>
    </row>
    <row r="35" spans="1:8" x14ac:dyDescent="0.45">
      <c r="A35" s="3">
        <f t="shared" si="0"/>
        <v>34</v>
      </c>
      <c r="B35" s="7" t="s">
        <v>412</v>
      </c>
      <c r="C35" s="2" t="s">
        <v>200</v>
      </c>
      <c r="D35" s="2"/>
      <c r="E35" s="2"/>
      <c r="F35" s="7">
        <v>307</v>
      </c>
      <c r="G35" s="3"/>
      <c r="H35" s="3"/>
    </row>
    <row r="36" spans="1:8" x14ac:dyDescent="0.45">
      <c r="A36" s="3">
        <f t="shared" si="0"/>
        <v>35</v>
      </c>
      <c r="B36" s="7" t="s">
        <v>413</v>
      </c>
      <c r="C36" s="2" t="s">
        <v>200</v>
      </c>
      <c r="D36" s="2" t="s">
        <v>367</v>
      </c>
      <c r="E36" s="2" t="s">
        <v>414</v>
      </c>
      <c r="F36" s="7">
        <v>307</v>
      </c>
      <c r="G36" s="3"/>
      <c r="H36" s="3">
        <v>252</v>
      </c>
    </row>
    <row r="37" spans="1:8" x14ac:dyDescent="0.45">
      <c r="A37" s="3">
        <f t="shared" si="0"/>
        <v>36</v>
      </c>
      <c r="B37" s="7" t="s">
        <v>415</v>
      </c>
      <c r="C37" s="2" t="s">
        <v>200</v>
      </c>
      <c r="D37" s="2" t="s">
        <v>367</v>
      </c>
      <c r="E37" s="2" t="s">
        <v>414</v>
      </c>
      <c r="F37" s="7">
        <v>308</v>
      </c>
      <c r="G37" s="3"/>
      <c r="H37" s="3">
        <v>254</v>
      </c>
    </row>
    <row r="38" spans="1:8" x14ac:dyDescent="0.45">
      <c r="A38" s="3">
        <f t="shared" si="0"/>
        <v>37</v>
      </c>
      <c r="B38" s="3" t="s">
        <v>416</v>
      </c>
      <c r="C38" s="2" t="s">
        <v>200</v>
      </c>
      <c r="D38" s="2"/>
      <c r="E38" s="2"/>
      <c r="F38" s="7">
        <v>308</v>
      </c>
      <c r="G38" s="3"/>
      <c r="H38" s="3"/>
    </row>
    <row r="39" spans="1:8" x14ac:dyDescent="0.45">
      <c r="A39" s="3">
        <f t="shared" si="0"/>
        <v>38</v>
      </c>
      <c r="B39" s="7" t="s">
        <v>417</v>
      </c>
      <c r="C39" s="2" t="s">
        <v>200</v>
      </c>
      <c r="D39" s="2"/>
      <c r="E39" s="2"/>
      <c r="F39" s="7">
        <v>308</v>
      </c>
      <c r="G39" s="3"/>
      <c r="H39" s="3"/>
    </row>
    <row r="40" spans="1:8" x14ac:dyDescent="0.45">
      <c r="A40" s="3">
        <f t="shared" si="0"/>
        <v>39</v>
      </c>
      <c r="B40" s="7" t="s">
        <v>418</v>
      </c>
      <c r="C40" s="2" t="s">
        <v>248</v>
      </c>
      <c r="D40" s="2"/>
      <c r="E40" s="2"/>
      <c r="F40" s="7">
        <v>308</v>
      </c>
      <c r="G40" s="3"/>
      <c r="H40" s="3"/>
    </row>
    <row r="41" spans="1:8" x14ac:dyDescent="0.45">
      <c r="A41" s="3">
        <f t="shared" si="0"/>
        <v>40</v>
      </c>
      <c r="B41" s="7" t="s">
        <v>419</v>
      </c>
      <c r="C41" s="2" t="s">
        <v>248</v>
      </c>
      <c r="D41" s="2"/>
      <c r="E41" s="2"/>
      <c r="F41" s="7">
        <v>309</v>
      </c>
      <c r="G41" s="3"/>
      <c r="H41" s="3"/>
    </row>
    <row r="42" spans="1:8" x14ac:dyDescent="0.45">
      <c r="A42" s="3">
        <f t="shared" si="0"/>
        <v>41</v>
      </c>
      <c r="B42" s="7" t="s">
        <v>420</v>
      </c>
      <c r="C42" s="2" t="s">
        <v>248</v>
      </c>
      <c r="D42" s="2"/>
      <c r="E42" s="2"/>
      <c r="F42" s="7">
        <v>309</v>
      </c>
      <c r="G42" s="3"/>
      <c r="H42" s="3"/>
    </row>
    <row r="43" spans="1:8" x14ac:dyDescent="0.45">
      <c r="A43" s="3">
        <f t="shared" si="0"/>
        <v>42</v>
      </c>
      <c r="B43" s="7" t="s">
        <v>421</v>
      </c>
      <c r="C43" s="2" t="s">
        <v>248</v>
      </c>
      <c r="D43" s="2"/>
      <c r="E43" s="2"/>
      <c r="F43" s="7">
        <v>309</v>
      </c>
      <c r="G43" s="3"/>
      <c r="H43" s="3"/>
    </row>
    <row r="44" spans="1:8" x14ac:dyDescent="0.45">
      <c r="A44" s="3">
        <f t="shared" si="0"/>
        <v>43</v>
      </c>
      <c r="B44" s="7" t="s">
        <v>422</v>
      </c>
      <c r="C44" s="2" t="s">
        <v>200</v>
      </c>
      <c r="D44" s="2" t="s">
        <v>396</v>
      </c>
      <c r="E44" s="2" t="s">
        <v>397</v>
      </c>
      <c r="F44" s="7">
        <v>310</v>
      </c>
      <c r="G44" s="3"/>
      <c r="H44" s="3"/>
    </row>
    <row r="45" spans="1:8" x14ac:dyDescent="0.45">
      <c r="A45" s="3">
        <f t="shared" si="0"/>
        <v>44</v>
      </c>
      <c r="B45" s="7" t="s">
        <v>423</v>
      </c>
      <c r="C45" s="2" t="s">
        <v>248</v>
      </c>
      <c r="D45" s="2" t="s">
        <v>409</v>
      </c>
      <c r="E45" s="2" t="s">
        <v>410</v>
      </c>
      <c r="F45" s="7">
        <v>310</v>
      </c>
      <c r="G45" s="3"/>
      <c r="H45" s="3"/>
    </row>
    <row r="46" spans="1:8" x14ac:dyDescent="0.45">
      <c r="A46" s="3">
        <f t="shared" si="0"/>
        <v>45</v>
      </c>
      <c r="B46" s="7" t="s">
        <v>424</v>
      </c>
      <c r="C46" s="2" t="s">
        <v>52</v>
      </c>
      <c r="D46" s="2" t="s">
        <v>425</v>
      </c>
      <c r="E46" s="2" t="s">
        <v>426</v>
      </c>
      <c r="F46" s="7">
        <v>311</v>
      </c>
      <c r="G46" s="3"/>
      <c r="H46" s="3"/>
    </row>
    <row r="47" spans="1:8" x14ac:dyDescent="0.45">
      <c r="A47" s="3">
        <f t="shared" si="0"/>
        <v>46</v>
      </c>
      <c r="B47" s="7" t="s">
        <v>427</v>
      </c>
      <c r="C47" s="2" t="s">
        <v>248</v>
      </c>
      <c r="D47" s="2" t="s">
        <v>123</v>
      </c>
      <c r="E47" s="2" t="s">
        <v>70</v>
      </c>
      <c r="F47" s="7">
        <v>311</v>
      </c>
      <c r="G47" s="3"/>
      <c r="H47" s="3">
        <v>258</v>
      </c>
    </row>
    <row r="48" spans="1:8" x14ac:dyDescent="0.45">
      <c r="A48" s="3">
        <f t="shared" si="0"/>
        <v>47</v>
      </c>
      <c r="B48" s="3" t="s">
        <v>428</v>
      </c>
      <c r="C48" s="2" t="s">
        <v>248</v>
      </c>
      <c r="D48" s="2"/>
      <c r="E48" s="2"/>
      <c r="F48" s="7">
        <v>312</v>
      </c>
      <c r="G48" s="3"/>
      <c r="H48" s="3"/>
    </row>
    <row r="49" spans="1:8" x14ac:dyDescent="0.45">
      <c r="A49" s="3">
        <f t="shared" si="0"/>
        <v>48</v>
      </c>
      <c r="B49" s="3" t="s">
        <v>429</v>
      </c>
      <c r="C49" s="2" t="s">
        <v>248</v>
      </c>
      <c r="D49" s="2"/>
      <c r="E49" s="2"/>
      <c r="F49" s="7">
        <v>312</v>
      </c>
      <c r="G49" s="3"/>
      <c r="H49" s="3"/>
    </row>
  </sheetData>
  <sortState xmlns:xlrd2="http://schemas.microsoft.com/office/spreadsheetml/2017/richdata2" ref="A2:H49">
    <sortCondition ref="F2:F49"/>
  </sortState>
  <phoneticPr fontId="2"/>
  <hyperlinks>
    <hyperlink ref="B15" r:id="rId1" xr:uid="{0B1495D6-487F-4E76-AC40-21A24B6359E6}"/>
    <hyperlink ref="B16" r:id="rId2" xr:uid="{3CAE0351-254F-418F-B62C-58F48F0E4AFA}"/>
    <hyperlink ref="B18" r:id="rId3" xr:uid="{D9411649-D2FA-4B4F-B3D3-CEF4C78B0221}"/>
    <hyperlink ref="B19" r:id="rId4" xr:uid="{45DF2D29-7F7F-4F4F-9354-06B54E59A281}"/>
    <hyperlink ref="B4" r:id="rId5" xr:uid="{E05B7BF5-B625-44C0-B79C-A327C2695EB1}"/>
    <hyperlink ref="B5" r:id="rId6" xr:uid="{828449C2-697C-4BA5-875E-F5E9C03B175B}"/>
    <hyperlink ref="B8" r:id="rId7" xr:uid="{C0CD3189-51A0-4DC9-93DA-7B2115733B12}"/>
    <hyperlink ref="B31" r:id="rId8" xr:uid="{833FE592-29C2-4681-9D17-25149BD41445}"/>
    <hyperlink ref="B46" r:id="rId9" xr:uid="{99DF8770-C53B-4221-976A-A29081EC6090}"/>
    <hyperlink ref="B24" r:id="rId10" xr:uid="{7112DF9D-4023-492D-8B8A-81B584943393}"/>
    <hyperlink ref="B32" r:id="rId11" xr:uid="{0A0509F5-6DC2-40A4-9D8F-D8CA5F68C8D4}"/>
    <hyperlink ref="B33" r:id="rId12" xr:uid="{169D685D-D40D-47EB-AE76-55AC83807656}"/>
    <hyperlink ref="B34" r:id="rId13" xr:uid="{79F6BCC8-1FC6-4643-B0D0-759A94D1A4E9}"/>
    <hyperlink ref="B36" r:id="rId14" xr:uid="{D65E660D-46EE-40DC-BBEF-47C74D4908C3}"/>
    <hyperlink ref="B37" r:id="rId15" xr:uid="{F8472FB1-1FAD-42A2-8D96-722F5F14BCFF}"/>
    <hyperlink ref="B44" r:id="rId16" xr:uid="{42E81EB7-A7E6-4597-A20D-3DA5D6DB5581}"/>
    <hyperlink ref="B9" r:id="rId17" xr:uid="{06927CB0-2ED7-48EC-93F5-01C279F88D6A}"/>
    <hyperlink ref="B22" r:id="rId18" xr:uid="{420DBE07-0656-4AD5-9770-B0DA7F51E406}"/>
    <hyperlink ref="B23" r:id="rId19" xr:uid="{C23520E2-8853-46EC-A4AE-E19161205043}"/>
    <hyperlink ref="B26" r:id="rId20" xr:uid="{4A6DF08C-E889-4DB0-83CD-BCE2C75BF8C2}"/>
    <hyperlink ref="B27" r:id="rId21" xr:uid="{1EE99976-18C3-4BD8-8EC9-2F8580647EE4}"/>
    <hyperlink ref="B28" r:id="rId22" xr:uid="{8CD643ED-0244-4E6D-AB7A-E41288830CEC}"/>
    <hyperlink ref="B40" r:id="rId23" xr:uid="{14132DA5-5F3D-4CDC-97C6-6973D3439189}"/>
    <hyperlink ref="B41" r:id="rId24" xr:uid="{006DF20B-E991-4B14-8317-FDA999B2A834}"/>
    <hyperlink ref="B42" r:id="rId25" xr:uid="{27F58136-F4DA-4CB8-AEB3-65792CA4E0AE}"/>
    <hyperlink ref="B43" r:id="rId26" xr:uid="{2CE9359E-2E81-4078-9511-BE5EF13307F7}"/>
    <hyperlink ref="B45" r:id="rId27" xr:uid="{CCBA3078-66A3-4ED0-8E19-D3440B8CFE96}"/>
    <hyperlink ref="B47" r:id="rId28" xr:uid="{73435D6C-2A58-4C83-9CC8-2013F8733FC1}"/>
    <hyperlink ref="B7" r:id="rId29" xr:uid="{0001A46A-E433-4C3F-9B10-3948CE84AE61}"/>
    <hyperlink ref="B39" r:id="rId30" xr:uid="{9F9F647E-F64A-4123-BC5A-F34FBF5A99FC}"/>
    <hyperlink ref="B29" r:id="rId31" xr:uid="{E7F78527-B766-40DB-A865-305E94D70465}"/>
    <hyperlink ref="B30" r:id="rId32" xr:uid="{A42DD054-83F9-4D5C-BAC3-E06D4685B791}"/>
    <hyperlink ref="B21" r:id="rId33" xr:uid="{05399225-2969-42FE-ABA7-583CC669EE68}"/>
    <hyperlink ref="B25" r:id="rId34" xr:uid="{3440CDAA-6213-4DDC-A9C0-605753DEE768}"/>
    <hyperlink ref="B10" r:id="rId35" xr:uid="{EFAA1475-CFDB-4365-9723-506835F3B0F4}"/>
    <hyperlink ref="B35" r:id="rId36" xr:uid="{86CE71E0-2BC5-406E-8012-91857AD992DB}"/>
    <hyperlink ref="B2" r:id="rId37" xr:uid="{22280F2A-1FE0-4972-ACAC-0A0F4E0D8530}"/>
    <hyperlink ref="F2" r:id="rId38" display="https://1drv.ms/b/c/a8f0902f6b5ae388/IQBmtmGw0R12T47jFN0ZL9vHAQF7EDZIXMxFgdRdqJ_gTjI?e=M4mbOW" xr:uid="{D65EAA52-7B26-4D3E-8B91-C11EDAB58A5D}"/>
    <hyperlink ref="F3" r:id="rId39" display="https://1drv.ms/b/c/a8f0902f6b5ae388/IQBmtmGw0R12T47jFN0ZL9vHAQF7EDZIXMxFgdRdqJ_gTjI?e=M4mbOW" xr:uid="{9382585F-18F9-4422-B61F-8436D300C78D}"/>
    <hyperlink ref="F4" r:id="rId40" display="https://1drv.ms/b/c/a8f0902f6b5ae388/IQAx_h7THmPRRqUVhOLwr11uAedttrpoXIC0ZcRZUyX8QOs?e=3agvNp" xr:uid="{A617CB60-0F52-4FE3-AD1C-2637ACE7D4B0}"/>
    <hyperlink ref="F5" r:id="rId41" display="https://1drv.ms/b/c/a8f0902f6b5ae388/IQAx_h7THmPRRqUVhOLwr11uAedttrpoXIC0ZcRZUyX8QOs?e=3agvNp" xr:uid="{4D20EB6B-F838-41E0-A418-1FB419BCFD8F}"/>
    <hyperlink ref="F6" r:id="rId42" display="https://1drv.ms/b/c/a8f0902f6b5ae388/IQAx_h7THmPRRqUVhOLwr11uAedttrpoXIC0ZcRZUyX8QOs?e=3agvNp" xr:uid="{453BF1F8-A128-4BC5-8CF1-258CA86E1E69}"/>
    <hyperlink ref="F7" r:id="rId43" display="https://1drv.ms/b/c/a8f0902f6b5ae388/IQAx_h7THmPRRqUVhOLwr11uAedttrpoXIC0ZcRZUyX8QOs?e=3agvNp" xr:uid="{FD8C2D49-6303-4FC5-94B6-E4C439B7FE9C}"/>
    <hyperlink ref="F8" r:id="rId44" display="https://1drv.ms/b/c/a8f0902f6b5ae388/IQAx_h7THmPRRqUVhOLwr11uAedttrpoXIC0ZcRZUyX8QOs?e=3agvNp" xr:uid="{969FCCDD-3CCB-4CC8-A99D-B89125CA3E5C}"/>
    <hyperlink ref="F9" r:id="rId45" display="https://1drv.ms/b/c/a8f0902f6b5ae388/IQAvDF4_YH49S6Xc7C1aydneAdI8_4oWS6N0e7-YF3gcDj8?e=3GA97h" xr:uid="{9727B470-40F8-48AF-B454-485AF3FDF11E}"/>
    <hyperlink ref="F10" r:id="rId46" display="https://1drv.ms/b/c/a8f0902f6b5ae388/IQAvDF4_YH49S6Xc7C1aydneAdI8_4oWS6N0e7-YF3gcDj8?e=3GA97h" xr:uid="{21CBE77B-8FB6-4216-A463-C478D6B79B8A}"/>
    <hyperlink ref="F11" r:id="rId47" display="https://1drv.ms/b/c/a8f0902f6b5ae388/IQAvDF4_YH49S6Xc7C1aydneAdI8_4oWS6N0e7-YF3gcDj8?e=3GA97h" xr:uid="{099F2930-F23A-403E-B092-502223883D98}"/>
    <hyperlink ref="F13" r:id="rId48" display="https://1drv.ms/b/c/a8f0902f6b5ae388/IQAvDF4_YH49S6Xc7C1aydneAdI8_4oWS6N0e7-YF3gcDj8?e=3GA97h" xr:uid="{9C254954-F2E6-41B9-86D2-1C5AEF837AA4}"/>
    <hyperlink ref="F14" r:id="rId49" display="https://1drv.ms/b/c/a8f0902f6b5ae388/IQAvDF4_YH49S6Xc7C1aydneAdI8_4oWS6N0e7-YF3gcDj8?e=3GA97h" xr:uid="{E5BB7337-C76D-49D2-8AF3-F8EEEA28E5F1}"/>
    <hyperlink ref="F15" r:id="rId50" display="https://1drv.ms/b/c/a8f0902f6b5ae388/IQDderDuMfABTK8mPGcdGwO0ATOXl4MXxBmOQM_iMwOnBtk?e=pMs1PQ" xr:uid="{98035BEF-03B1-42DF-8B96-295C8840B60F}"/>
    <hyperlink ref="F16" r:id="rId51" display="https://1drv.ms/b/c/a8f0902f6b5ae388/IQDderDuMfABTK8mPGcdGwO0ATOXl4MXxBmOQM_iMwOnBtk?e=pMs1PQ" xr:uid="{BF21E36D-3B8F-4DFA-B5D3-109449BE78AD}"/>
    <hyperlink ref="F17" r:id="rId52" display="https://1drv.ms/b/c/a8f0902f6b5ae388/IQDderDuMfABTK8mPGcdGwO0ATOXl4MXxBmOQM_iMwOnBtk?e=pMs1PQ" xr:uid="{983752A6-070C-4AFD-9C06-859F20411281}"/>
    <hyperlink ref="F18" r:id="rId53" display="https://1drv.ms/b/c/a8f0902f6b5ae388/IQDderDuMfABTK8mPGcdGwO0ATOXl4MXxBmOQM_iMwOnBtk?e=pMs1PQ" xr:uid="{99D971AB-DD9C-4667-A1DE-7050B2E22B37}"/>
    <hyperlink ref="F19" r:id="rId54" display="https://1drv.ms/b/c/a8f0902f6b5ae388/IQDderDuMfABTK8mPGcdGwO0ATOXl4MXxBmOQM_iMwOnBtk?e=pMs1PQ" xr:uid="{4DAA9D5F-7462-49CA-8A50-188B823987B2}"/>
    <hyperlink ref="F20" r:id="rId55" display="https://1drv.ms/b/c/a8f0902f6b5ae388/IQDderDuMfABTK8mPGcdGwO0ATOXl4MXxBmOQM_iMwOnBtk?e=pMs1PQ" xr:uid="{9E6E0284-4C53-4567-9AFF-4CBEFD3D7742}"/>
    <hyperlink ref="F21" r:id="rId56" display="https://1drv.ms/b/c/a8f0902f6b5ae388/IQDderDuMfABTK8mPGcdGwO0ATOXl4MXxBmOQM_iMwOnBtk?e=pMs1PQ" xr:uid="{3FFDAA57-27CC-4D47-9B5E-E95B8C7DD7B6}"/>
    <hyperlink ref="F22" r:id="rId57" display="https://1drv.ms/b/c/a8f0902f6b5ae388/IQDderDuMfABTK8mPGcdGwO0ATOXl4MXxBmOQM_iMwOnBtk?e=pMs1PQ" xr:uid="{27B2DC25-B13B-4BDA-8C36-F267A10FD9E7}"/>
    <hyperlink ref="F23" r:id="rId58" display="https://1drv.ms/b/c/a8f0902f6b5ae388/IQDderDuMfABTK8mPGcdGwO0ATOXl4MXxBmOQM_iMwOnBtk?e=pMs1PQ" xr:uid="{1D7C9BD0-38A0-489C-A8CC-52E92E39FCD0}"/>
    <hyperlink ref="F24" r:id="rId59" display="https://1drv.ms/b/c/a8f0902f6b5ae388/IQDderDuMfABTK8mPGcdGwO0ATOXl4MXxBmOQM_iMwOnBtk?e=pMs1PQ" xr:uid="{E7FE637C-2CF5-4B1B-860F-7D35A25BEC8F}"/>
    <hyperlink ref="F25" r:id="rId60" display="https://1drv.ms/b/c/a8f0902f6b5ae388/IQDderDuMfABTK8mPGcdGwO0ATOXl4MXxBmOQM_iMwOnBtk?e=pMs1PQ" xr:uid="{59A6616D-8DBB-403A-A30C-C4AADE945411}"/>
    <hyperlink ref="F26" r:id="rId61" display="https://1drv.ms/b/c/a8f0902f6b5ae388/IQCW6fdWtajpR50M2pcV8BMJAVW7OhsABfwWNHxlHmU4-JE?e=wO7t5G" xr:uid="{EE2113A1-61C6-4D53-9124-B22057EAB837}"/>
    <hyperlink ref="F27" r:id="rId62" display="https://1drv.ms/b/c/a8f0902f6b5ae388/IQCW6fdWtajpR50M2pcV8BMJAVW7OhsABfwWNHxlHmU4-JE?e=wO7t5G" xr:uid="{06913284-DB2C-43C0-9D36-96B27ABB00E4}"/>
    <hyperlink ref="F28" r:id="rId63" display="https://1drv.ms/b/c/a8f0902f6b5ae388/IQCW6fdWtajpR50M2pcV8BMJAVW7OhsABfwWNHxlHmU4-JE?e=wO7t5G" xr:uid="{65237440-E4F9-4ACA-B7D2-6892B92A5C30}"/>
    <hyperlink ref="F29" r:id="rId64" display="https://1drv.ms/b/c/a8f0902f6b5ae388/IQCW6fdWtajpR50M2pcV8BMJAVW7OhsABfwWNHxlHmU4-JE?e=wO7t5G" xr:uid="{AF360824-CF24-43ED-969E-51E08258F095}"/>
    <hyperlink ref="F30" r:id="rId65" display="https://1drv.ms/b/c/a8f0902f6b5ae388/IQCW6fdWtajpR50M2pcV8BMJAVW7OhsABfwWNHxlHmU4-JE?e=wO7t5G" xr:uid="{10936237-3C70-4917-8668-6E05546D2F1D}"/>
    <hyperlink ref="F31" r:id="rId66" display="https://1drv.ms/b/c/a8f0902f6b5ae388/IQCW6fdWtajpR50M2pcV8BMJAVW7OhsABfwWNHxlHmU4-JE?e=wO7t5G" xr:uid="{AF92D0E8-FDE4-4DA3-8398-ADC766CA9999}"/>
    <hyperlink ref="F32" r:id="rId67" display="https://1drv.ms/b/c/a8f0902f6b5ae388/IQAuPDz1NfwbR64EadSPl5jCAUKpqFsXaReX1Pi1Ag3Ckss?e=6Sv8uf" xr:uid="{827C8EF0-F00E-4534-9AD4-173CE4B0A5BD}"/>
    <hyperlink ref="F33" r:id="rId68" display="https://1drv.ms/b/c/a8f0902f6b5ae388/IQAuPDz1NfwbR64EadSPl5jCAUKpqFsXaReX1Pi1Ag3Ckss?e=6Sv8uf" xr:uid="{E6E4FDC1-E84D-4B0D-A62F-9D0267DE82E7}"/>
    <hyperlink ref="F34" r:id="rId69" display="https://1drv.ms/b/c/a8f0902f6b5ae388/IQAuPDz1NfwbR64EadSPl5jCAUKpqFsXaReX1Pi1Ag3Ckss?e=6Sv8uf" xr:uid="{615F30ED-997E-4A55-91EC-E76A82EAF229}"/>
    <hyperlink ref="F35" r:id="rId70" display="https://1drv.ms/b/c/a8f0902f6b5ae388/IQAuPDz1NfwbR64EadSPl5jCAUKpqFsXaReX1Pi1Ag3Ckss?e=6Sv8uf" xr:uid="{0EC6AE79-0CDB-4FD4-ADFC-318B06DACFF5}"/>
    <hyperlink ref="F36" r:id="rId71" display="https://1drv.ms/b/c/a8f0902f6b5ae388/IQAuPDz1NfwbR64EadSPl5jCAUKpqFsXaReX1Pi1Ag3Ckss?e=6Sv8uf" xr:uid="{87D76B40-678B-4368-B6F1-969E4F5315BF}"/>
    <hyperlink ref="F37" r:id="rId72" display="https://1drv.ms/b/c/a8f0902f6b5ae388/IQC985puHVBCQ5a8kI8vfjlfAd3WluDDQ-C5eR0g6Fpda9U?e=6adh88" xr:uid="{F304787F-28B1-430A-9234-683BEBA4EBF4}"/>
    <hyperlink ref="F38" r:id="rId73" display="https://1drv.ms/b/c/a8f0902f6b5ae388/IQC985puHVBCQ5a8kI8vfjlfAd3WluDDQ-C5eR0g6Fpda9U?e=6adh88" xr:uid="{93D750A5-0168-4F6E-8A2C-48C390848290}"/>
    <hyperlink ref="F39" r:id="rId74" display="https://1drv.ms/b/c/a8f0902f6b5ae388/IQC985puHVBCQ5a8kI8vfjlfAd3WluDDQ-C5eR0g6Fpda9U?e=6adh88" xr:uid="{D7076327-EC7D-47D9-9160-DA703FAEE039}"/>
    <hyperlink ref="F40" r:id="rId75" display="https://1drv.ms/b/c/a8f0902f6b5ae388/IQC985puHVBCQ5a8kI8vfjlfAd3WluDDQ-C5eR0g6Fpda9U?e=6adh88" xr:uid="{6ACA9BA3-EAA3-4CC9-B3C1-559221EE83B0}"/>
    <hyperlink ref="F41" r:id="rId76" display="https://1drv.ms/b/c/a8f0902f6b5ae388/IQC985puHVBCQ5a8kI8vfjlfAd3WluDDQ-C5eR0g6Fpda9U?e=6adh88" xr:uid="{186C3783-5899-4EE0-9A82-B3291AF8C553}"/>
    <hyperlink ref="F42" r:id="rId77" display="https://1drv.ms/b/c/a8f0902f6b5ae388/IQC985puHVBCQ5a8kI8vfjlfAd3WluDDQ-C5eR0g6Fpda9U?e=6adh88" xr:uid="{D3492C36-C4AE-4315-85CF-8D6DD64F4E7C}"/>
    <hyperlink ref="F43" r:id="rId78" display="https://1drv.ms/b/c/a8f0902f6b5ae388/IQC985puHVBCQ5a8kI8vfjlfAd3WluDDQ-C5eR0g6Fpda9U?e=6adh88" xr:uid="{B6623F98-934C-4E76-B110-EEDB820606B0}"/>
    <hyperlink ref="F44" r:id="rId79" display="https://1drv.ms/b/c/a8f0902f6b5ae388/IQDINnmT1a6nQIE7rh6IQ-pHAQSCoSy5Iv19GGvNuGX4Bbg?e=YSq1DL" xr:uid="{96201DC0-0F31-4792-B37A-373ACCB2BAD5}"/>
    <hyperlink ref="F45" r:id="rId80" display="https://1drv.ms/b/c/a8f0902f6b5ae388/IQDINnmT1a6nQIE7rh6IQ-pHAQSCoSy5Iv19GGvNuGX4Bbg?e=YSq1DL" xr:uid="{4EE334A4-569E-4E14-B3F6-F72F310C0FC3}"/>
    <hyperlink ref="F46" r:id="rId81" display="https://1drv.ms/b/c/a8f0902f6b5ae388/IQDINnmT1a6nQIE7rh6IQ-pHAQSCoSy5Iv19GGvNuGX4Bbg?e=YSq1DL" xr:uid="{CB593893-3F83-469B-9400-A805997DDB6E}"/>
    <hyperlink ref="F47" r:id="rId82" display="https://1drv.ms/b/c/a8f0902f6b5ae388/IQDINnmT1a6nQIE7rh6IQ-pHAQSCoSy5Iv19GGvNuGX4Bbg?e=YSq1DL" xr:uid="{5DA2AA5F-FE19-4E53-AF07-43A4B849644A}"/>
    <hyperlink ref="F48" r:id="rId83" display="https://1drv.ms/b/c/a8f0902f6b5ae388/IQAADjgBPKWcSbRqEfrGg94eAdLgq3hLToQTPw_QeIW_SC8?e=og68di" xr:uid="{B6BB5811-610C-4FBD-9D07-1EE2ABBEEB9F}"/>
    <hyperlink ref="F49" r:id="rId84" display="https://1drv.ms/b/c/a8f0902f6b5ae388/IQAADjgBPKWcSbRqEfrGg94eAdLgq3hLToQTPw_QeIW_SC8?e=og68di" xr:uid="{D6839EEF-3D6C-42D7-A940-3531B31F7369}"/>
  </hyperlinks>
  <pageMargins left="0.70866141732283472" right="0.70866141732283472" top="0.74803149606299213" bottom="0.74803149606299213" header="0.31496062992125984" footer="0.31496062992125984"/>
  <pageSetup paperSize="9" orientation="portrait" r:id="rId8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B4F2-4A8D-4E5C-BE87-A7C9E349D1C7}">
  <sheetPr codeName="Sheet22"/>
  <dimension ref="A2:F19"/>
  <sheetViews>
    <sheetView showGridLines="0" workbookViewId="0">
      <selection activeCell="E24" sqref="E24"/>
    </sheetView>
  </sheetViews>
  <sheetFormatPr defaultRowHeight="18" x14ac:dyDescent="0.45"/>
  <cols>
    <col min="1" max="1" width="17.19921875" customWidth="1"/>
    <col min="2" max="2" width="3.3984375" style="1" bestFit="1" customWidth="1"/>
    <col min="3" max="3" width="8.8984375" bestFit="1" customWidth="1"/>
    <col min="4" max="4" width="3.3984375" bestFit="1" customWidth="1"/>
    <col min="5" max="5" width="8.8984375" bestFit="1" customWidth="1"/>
    <col min="6" max="6" width="3.3984375" bestFit="1" customWidth="1"/>
  </cols>
  <sheetData>
    <row r="2" spans="1:6" x14ac:dyDescent="0.45">
      <c r="A2" s="320" t="s">
        <v>850</v>
      </c>
      <c r="B2" s="474" t="s">
        <v>200</v>
      </c>
      <c r="C2" s="320" t="s">
        <v>80</v>
      </c>
      <c r="D2" s="437" t="s">
        <v>72</v>
      </c>
      <c r="E2" s="320" t="s">
        <v>67</v>
      </c>
      <c r="F2" s="474" t="s">
        <v>865</v>
      </c>
    </row>
    <row r="3" spans="1:6" x14ac:dyDescent="0.45">
      <c r="A3" s="319" t="s">
        <v>851</v>
      </c>
      <c r="B3" s="475" t="s">
        <v>200</v>
      </c>
      <c r="C3" s="319" t="s">
        <v>82</v>
      </c>
      <c r="D3" s="1" t="s">
        <v>867</v>
      </c>
      <c r="E3" s="319" t="s">
        <v>71</v>
      </c>
      <c r="F3" s="475" t="s">
        <v>72</v>
      </c>
    </row>
    <row r="4" spans="1:6" x14ac:dyDescent="0.45">
      <c r="A4" s="319" t="s">
        <v>854</v>
      </c>
      <c r="B4" s="475" t="s">
        <v>200</v>
      </c>
      <c r="C4" s="318" t="s">
        <v>84</v>
      </c>
      <c r="D4" s="430" t="s">
        <v>867</v>
      </c>
      <c r="E4" s="319" t="s">
        <v>73</v>
      </c>
      <c r="F4" s="475" t="s">
        <v>52</v>
      </c>
    </row>
    <row r="5" spans="1:6" x14ac:dyDescent="0.45">
      <c r="A5" s="319" t="s">
        <v>852</v>
      </c>
      <c r="B5" s="475" t="s">
        <v>200</v>
      </c>
      <c r="C5" s="320" t="s">
        <v>92</v>
      </c>
      <c r="D5" s="437" t="s">
        <v>41</v>
      </c>
      <c r="E5" s="319" t="s">
        <v>75</v>
      </c>
      <c r="F5" s="475" t="s">
        <v>866</v>
      </c>
    </row>
    <row r="6" spans="1:6" x14ac:dyDescent="0.45">
      <c r="A6" s="319" t="s">
        <v>853</v>
      </c>
      <c r="B6" s="475" t="s">
        <v>200</v>
      </c>
      <c r="C6" s="318" t="s">
        <v>104</v>
      </c>
      <c r="D6" s="430" t="s">
        <v>41</v>
      </c>
      <c r="E6" s="319" t="s">
        <v>78</v>
      </c>
      <c r="F6" s="475" t="s">
        <v>866</v>
      </c>
    </row>
    <row r="7" spans="1:6" x14ac:dyDescent="0.45">
      <c r="A7" s="319" t="s">
        <v>855</v>
      </c>
      <c r="B7" s="475" t="s">
        <v>200</v>
      </c>
      <c r="C7" s="320" t="s">
        <v>130</v>
      </c>
      <c r="D7" s="437" t="s">
        <v>41</v>
      </c>
      <c r="E7" s="318" t="s">
        <v>86</v>
      </c>
      <c r="F7" s="476" t="s">
        <v>868</v>
      </c>
    </row>
    <row r="8" spans="1:6" x14ac:dyDescent="0.45">
      <c r="A8" s="319" t="s">
        <v>856</v>
      </c>
      <c r="B8" s="475" t="s">
        <v>200</v>
      </c>
      <c r="C8" s="318" t="s">
        <v>131</v>
      </c>
      <c r="D8" s="430" t="s">
        <v>41</v>
      </c>
      <c r="E8" s="320" t="s">
        <v>89</v>
      </c>
      <c r="F8" s="474" t="s">
        <v>868</v>
      </c>
    </row>
    <row r="9" spans="1:6" x14ac:dyDescent="0.45">
      <c r="A9" s="319" t="s">
        <v>857</v>
      </c>
      <c r="B9" s="475" t="s">
        <v>200</v>
      </c>
      <c r="E9" s="319" t="s">
        <v>91</v>
      </c>
      <c r="F9" s="475" t="s">
        <v>52</v>
      </c>
    </row>
    <row r="10" spans="1:6" x14ac:dyDescent="0.45">
      <c r="A10" s="319" t="s">
        <v>858</v>
      </c>
      <c r="B10" s="475" t="s">
        <v>200</v>
      </c>
      <c r="E10" s="319" t="s">
        <v>93</v>
      </c>
      <c r="F10" s="475" t="s">
        <v>865</v>
      </c>
    </row>
    <row r="11" spans="1:6" x14ac:dyDescent="0.45">
      <c r="A11" s="319" t="s">
        <v>859</v>
      </c>
      <c r="B11" s="475" t="s">
        <v>200</v>
      </c>
      <c r="E11" s="319" t="s">
        <v>96</v>
      </c>
      <c r="F11" s="475" t="s">
        <v>865</v>
      </c>
    </row>
    <row r="12" spans="1:6" x14ac:dyDescent="0.45">
      <c r="A12" s="319" t="s">
        <v>860</v>
      </c>
      <c r="B12" s="475" t="s">
        <v>200</v>
      </c>
      <c r="E12" s="319" t="s">
        <v>98</v>
      </c>
      <c r="F12" s="475" t="s">
        <v>865</v>
      </c>
    </row>
    <row r="13" spans="1:6" x14ac:dyDescent="0.45">
      <c r="A13" s="318" t="s">
        <v>861</v>
      </c>
      <c r="B13" s="476" t="s">
        <v>200</v>
      </c>
      <c r="E13" s="319" t="s">
        <v>100</v>
      </c>
      <c r="F13" s="475" t="s">
        <v>865</v>
      </c>
    </row>
    <row r="14" spans="1:6" x14ac:dyDescent="0.45">
      <c r="A14" s="320" t="s">
        <v>862</v>
      </c>
      <c r="B14" s="474" t="s">
        <v>52</v>
      </c>
      <c r="E14" s="318" t="s">
        <v>102</v>
      </c>
      <c r="F14" s="476" t="s">
        <v>867</v>
      </c>
    </row>
    <row r="15" spans="1:6" x14ac:dyDescent="0.45">
      <c r="A15" s="319" t="s">
        <v>863</v>
      </c>
      <c r="B15" s="475" t="s">
        <v>52</v>
      </c>
    </row>
    <row r="16" spans="1:6" x14ac:dyDescent="0.45">
      <c r="A16" s="318" t="s">
        <v>864</v>
      </c>
      <c r="B16" s="476" t="s">
        <v>52</v>
      </c>
    </row>
    <row r="17" spans="1:2" x14ac:dyDescent="0.45">
      <c r="A17" s="320" t="s">
        <v>195</v>
      </c>
      <c r="B17" s="474" t="s">
        <v>869</v>
      </c>
    </row>
    <row r="18" spans="1:2" x14ac:dyDescent="0.45">
      <c r="A18" s="318" t="s">
        <v>197</v>
      </c>
      <c r="B18" s="476" t="s">
        <v>869</v>
      </c>
    </row>
    <row r="19" spans="1:2" x14ac:dyDescent="0.45">
      <c r="A19" s="438" t="s">
        <v>256</v>
      </c>
      <c r="B19" s="477" t="s">
        <v>72</v>
      </c>
    </row>
  </sheetData>
  <phoneticPr fontId="2"/>
  <pageMargins left="0.7" right="0.7"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AF9E-E539-498C-9BD1-61F0C0A4CEFD}">
  <sheetPr codeName="Sheet23"/>
  <dimension ref="A1:F27"/>
  <sheetViews>
    <sheetView zoomScaleNormal="80" zoomScaleSheetLayoutView="100" workbookViewId="0">
      <selection activeCell="E24" sqref="E24"/>
    </sheetView>
  </sheetViews>
  <sheetFormatPr defaultRowHeight="18" x14ac:dyDescent="0.45"/>
  <cols>
    <col min="1" max="1" width="3.09765625" bestFit="1" customWidth="1"/>
    <col min="2" max="2" width="13.69921875" bestFit="1" customWidth="1"/>
    <col min="3" max="3" width="2.69921875" bestFit="1" customWidth="1"/>
    <col min="4" max="4" width="10.8984375" bestFit="1" customWidth="1"/>
    <col min="5" max="5" width="8.19921875" bestFit="1" customWidth="1"/>
    <col min="6" max="6" width="4.5" bestFit="1" customWidth="1"/>
  </cols>
  <sheetData>
    <row r="1" spans="1:6" x14ac:dyDescent="0.45">
      <c r="A1" s="6"/>
      <c r="B1" s="6" t="s">
        <v>145</v>
      </c>
      <c r="C1" s="6"/>
      <c r="D1" s="5" t="s">
        <v>1</v>
      </c>
      <c r="E1" s="5" t="s">
        <v>2</v>
      </c>
      <c r="F1" s="6" t="s">
        <v>3</v>
      </c>
    </row>
    <row r="2" spans="1:6" x14ac:dyDescent="0.45">
      <c r="A2" s="3">
        <f t="shared" ref="A2:A12" si="0">ROW()-1</f>
        <v>1</v>
      </c>
      <c r="B2" s="414" t="s">
        <v>164</v>
      </c>
      <c r="C2" s="2" t="s">
        <v>72</v>
      </c>
      <c r="D2" s="2" t="s">
        <v>151</v>
      </c>
      <c r="E2" s="418" t="s">
        <v>754</v>
      </c>
      <c r="F2" s="3">
        <v>222</v>
      </c>
    </row>
    <row r="3" spans="1:6" x14ac:dyDescent="0.45">
      <c r="A3" s="3">
        <f t="shared" si="0"/>
        <v>2</v>
      </c>
      <c r="B3" s="3" t="s">
        <v>167</v>
      </c>
      <c r="C3" s="2" t="s">
        <v>161</v>
      </c>
      <c r="D3" s="2" t="s">
        <v>168</v>
      </c>
      <c r="E3" s="418"/>
      <c r="F3" s="3">
        <v>223</v>
      </c>
    </row>
    <row r="4" spans="1:6" x14ac:dyDescent="0.45">
      <c r="A4" s="3">
        <f t="shared" si="0"/>
        <v>3</v>
      </c>
      <c r="B4" s="414" t="s">
        <v>169</v>
      </c>
      <c r="C4" s="2" t="s">
        <v>72</v>
      </c>
      <c r="D4" s="2" t="s">
        <v>148</v>
      </c>
      <c r="E4" s="418"/>
      <c r="F4" s="3">
        <v>223</v>
      </c>
    </row>
    <row r="5" spans="1:6" x14ac:dyDescent="0.45">
      <c r="A5" s="3">
        <f t="shared" si="0"/>
        <v>4</v>
      </c>
      <c r="B5" s="3" t="s">
        <v>175</v>
      </c>
      <c r="C5" s="2" t="s">
        <v>161</v>
      </c>
      <c r="D5" s="2" t="s">
        <v>151</v>
      </c>
      <c r="E5" s="418"/>
      <c r="F5" s="3">
        <v>224</v>
      </c>
    </row>
    <row r="6" spans="1:6" x14ac:dyDescent="0.45">
      <c r="A6" s="3">
        <f t="shared" si="0"/>
        <v>5</v>
      </c>
      <c r="B6" s="3" t="s">
        <v>177</v>
      </c>
      <c r="C6" s="2" t="s">
        <v>153</v>
      </c>
      <c r="D6" s="2" t="s">
        <v>151</v>
      </c>
      <c r="E6" s="418"/>
      <c r="F6" s="3">
        <v>225</v>
      </c>
    </row>
    <row r="7" spans="1:6" x14ac:dyDescent="0.45">
      <c r="A7" s="3">
        <f t="shared" si="0"/>
        <v>6</v>
      </c>
      <c r="B7" s="3" t="s">
        <v>178</v>
      </c>
      <c r="C7" s="2" t="s">
        <v>153</v>
      </c>
      <c r="D7" s="2" t="s">
        <v>151</v>
      </c>
      <c r="E7" s="418"/>
      <c r="F7" s="3">
        <v>225</v>
      </c>
    </row>
    <row r="8" spans="1:6" x14ac:dyDescent="0.45">
      <c r="A8" s="3">
        <f t="shared" si="0"/>
        <v>7</v>
      </c>
      <c r="B8" s="3" t="s">
        <v>179</v>
      </c>
      <c r="C8" s="2" t="s">
        <v>161</v>
      </c>
      <c r="D8" s="2" t="s">
        <v>151</v>
      </c>
      <c r="E8" s="418"/>
      <c r="F8" s="3">
        <v>226</v>
      </c>
    </row>
    <row r="9" spans="1:6" x14ac:dyDescent="0.45">
      <c r="A9" s="3">
        <f t="shared" si="0"/>
        <v>8</v>
      </c>
      <c r="B9" s="3" t="s">
        <v>183</v>
      </c>
      <c r="C9" s="2" t="s">
        <v>174</v>
      </c>
      <c r="D9" s="2" t="s">
        <v>182</v>
      </c>
      <c r="E9" s="418"/>
      <c r="F9" s="3"/>
    </row>
    <row r="10" spans="1:6" x14ac:dyDescent="0.45">
      <c r="A10" s="3">
        <f t="shared" si="0"/>
        <v>9</v>
      </c>
      <c r="B10" s="3" t="s">
        <v>187</v>
      </c>
      <c r="C10" s="2" t="s">
        <v>174</v>
      </c>
      <c r="D10" s="2" t="s">
        <v>186</v>
      </c>
      <c r="E10" s="418"/>
      <c r="F10" s="3">
        <v>227</v>
      </c>
    </row>
    <row r="11" spans="1:6" x14ac:dyDescent="0.45">
      <c r="A11" s="3">
        <f t="shared" si="0"/>
        <v>10</v>
      </c>
      <c r="B11" s="3" t="s">
        <v>195</v>
      </c>
      <c r="C11" s="2" t="s">
        <v>161</v>
      </c>
      <c r="D11" s="2" t="s">
        <v>196</v>
      </c>
      <c r="E11" s="418"/>
      <c r="F11" s="3">
        <v>229</v>
      </c>
    </row>
    <row r="12" spans="1:6" x14ac:dyDescent="0.45">
      <c r="A12" s="3">
        <f t="shared" si="0"/>
        <v>11</v>
      </c>
      <c r="B12" s="3" t="s">
        <v>197</v>
      </c>
      <c r="C12" s="2" t="s">
        <v>161</v>
      </c>
      <c r="D12" s="2" t="s">
        <v>198</v>
      </c>
      <c r="E12" s="418"/>
      <c r="F12" s="3">
        <v>229</v>
      </c>
    </row>
    <row r="13" spans="1:6" x14ac:dyDescent="0.45">
      <c r="A13" s="6"/>
      <c r="B13" s="6" t="s">
        <v>202</v>
      </c>
      <c r="C13" s="6"/>
      <c r="D13" s="5" t="s">
        <v>1</v>
      </c>
      <c r="E13" s="5" t="s">
        <v>2</v>
      </c>
      <c r="F13" s="6" t="s">
        <v>3</v>
      </c>
    </row>
    <row r="14" spans="1:6" x14ac:dyDescent="0.45">
      <c r="A14" s="3">
        <f>ROW()-13</f>
        <v>1</v>
      </c>
      <c r="B14" s="414" t="s">
        <v>242</v>
      </c>
      <c r="C14" s="2" t="s">
        <v>52</v>
      </c>
      <c r="D14" s="2" t="s">
        <v>231</v>
      </c>
      <c r="E14" s="418" t="s">
        <v>243</v>
      </c>
      <c r="F14" s="3">
        <v>249</v>
      </c>
    </row>
    <row r="15" spans="1:6" x14ac:dyDescent="0.45">
      <c r="A15" s="469">
        <f>ROW()-13</f>
        <v>2</v>
      </c>
      <c r="B15" s="470" t="s">
        <v>267</v>
      </c>
      <c r="C15" s="471" t="s">
        <v>52</v>
      </c>
      <c r="D15" s="471" t="s">
        <v>220</v>
      </c>
      <c r="E15" s="472" t="s">
        <v>221</v>
      </c>
      <c r="F15" s="473">
        <v>259</v>
      </c>
    </row>
    <row r="16" spans="1:6" x14ac:dyDescent="0.45">
      <c r="A16" s="3">
        <f>ROW()-13</f>
        <v>3</v>
      </c>
      <c r="B16" s="414" t="s">
        <v>271</v>
      </c>
      <c r="C16" s="2" t="s">
        <v>52</v>
      </c>
      <c r="D16" s="2" t="s">
        <v>220</v>
      </c>
      <c r="E16" s="418" t="s">
        <v>221</v>
      </c>
      <c r="F16" s="3">
        <v>260</v>
      </c>
    </row>
    <row r="17" spans="1:6" x14ac:dyDescent="0.45">
      <c r="A17" s="6"/>
      <c r="B17" s="6" t="s">
        <v>289</v>
      </c>
      <c r="C17" s="6"/>
      <c r="D17" s="5" t="s">
        <v>1</v>
      </c>
      <c r="E17" s="5" t="s">
        <v>2</v>
      </c>
      <c r="F17" s="6" t="s">
        <v>3</v>
      </c>
    </row>
    <row r="18" spans="1:6" x14ac:dyDescent="0.45">
      <c r="A18" s="3">
        <f>ROW()-17</f>
        <v>1</v>
      </c>
      <c r="B18" s="414" t="s">
        <v>319</v>
      </c>
      <c r="C18" s="2" t="s">
        <v>291</v>
      </c>
      <c r="D18" s="2" t="s">
        <v>320</v>
      </c>
      <c r="E18" s="418" t="s">
        <v>232</v>
      </c>
      <c r="F18" s="3">
        <v>277</v>
      </c>
    </row>
    <row r="19" spans="1:6" x14ac:dyDescent="0.45">
      <c r="A19" s="6"/>
      <c r="B19" s="6" t="s">
        <v>324</v>
      </c>
      <c r="C19" s="6"/>
      <c r="D19" s="5" t="s">
        <v>1</v>
      </c>
      <c r="E19" s="5" t="s">
        <v>2</v>
      </c>
      <c r="F19" s="6" t="s">
        <v>3</v>
      </c>
    </row>
    <row r="20" spans="1:6" x14ac:dyDescent="0.45">
      <c r="A20" s="469">
        <f>ROW()-19</f>
        <v>1</v>
      </c>
      <c r="B20" s="470" t="s">
        <v>328</v>
      </c>
      <c r="C20" s="471" t="s">
        <v>41</v>
      </c>
      <c r="D20" s="471" t="s">
        <v>329</v>
      </c>
      <c r="E20" s="472" t="s">
        <v>232</v>
      </c>
      <c r="F20" s="473">
        <v>286</v>
      </c>
    </row>
    <row r="21" spans="1:6" x14ac:dyDescent="0.45">
      <c r="A21" s="6"/>
      <c r="B21" s="6" t="s">
        <v>360</v>
      </c>
      <c r="C21" s="6"/>
      <c r="D21" s="5" t="s">
        <v>1</v>
      </c>
      <c r="E21" s="5" t="s">
        <v>2</v>
      </c>
      <c r="F21" s="6" t="s">
        <v>3</v>
      </c>
    </row>
    <row r="22" spans="1:6" x14ac:dyDescent="0.45">
      <c r="A22" s="3">
        <f t="shared" ref="A22:A27" si="1">ROW()-21</f>
        <v>1</v>
      </c>
      <c r="B22" s="414" t="s">
        <v>366</v>
      </c>
      <c r="C22" s="2" t="s">
        <v>52</v>
      </c>
      <c r="D22" s="2" t="s">
        <v>367</v>
      </c>
      <c r="E22" s="418" t="s">
        <v>368</v>
      </c>
      <c r="F22" s="3">
        <v>298</v>
      </c>
    </row>
    <row r="23" spans="1:6" x14ac:dyDescent="0.45">
      <c r="A23" s="3">
        <f t="shared" si="1"/>
        <v>2</v>
      </c>
      <c r="B23" s="414" t="s">
        <v>369</v>
      </c>
      <c r="C23" s="2" t="s">
        <v>52</v>
      </c>
      <c r="D23" s="2" t="s">
        <v>367</v>
      </c>
      <c r="E23" s="418" t="s">
        <v>370</v>
      </c>
      <c r="F23" s="3">
        <v>298</v>
      </c>
    </row>
    <row r="24" spans="1:6" x14ac:dyDescent="0.45">
      <c r="A24" s="3">
        <f t="shared" si="1"/>
        <v>3</v>
      </c>
      <c r="B24" s="414" t="s">
        <v>372</v>
      </c>
      <c r="C24" s="2" t="s">
        <v>200</v>
      </c>
      <c r="D24" s="2"/>
      <c r="E24" s="418"/>
      <c r="F24" s="3">
        <v>298</v>
      </c>
    </row>
    <row r="25" spans="1:6" x14ac:dyDescent="0.45">
      <c r="A25" s="3">
        <f t="shared" si="1"/>
        <v>4</v>
      </c>
      <c r="B25" s="414" t="s">
        <v>417</v>
      </c>
      <c r="C25" s="2" t="s">
        <v>200</v>
      </c>
      <c r="D25" s="2"/>
      <c r="E25" s="418"/>
      <c r="F25" s="3">
        <v>308</v>
      </c>
    </row>
    <row r="26" spans="1:6" x14ac:dyDescent="0.45">
      <c r="A26" s="3">
        <f t="shared" si="1"/>
        <v>5</v>
      </c>
      <c r="B26" s="414" t="s">
        <v>422</v>
      </c>
      <c r="C26" s="2" t="s">
        <v>200</v>
      </c>
      <c r="D26" s="2" t="s">
        <v>396</v>
      </c>
      <c r="E26" s="418" t="s">
        <v>397</v>
      </c>
      <c r="F26" s="3">
        <v>310</v>
      </c>
    </row>
    <row r="27" spans="1:6" x14ac:dyDescent="0.45">
      <c r="A27" s="469">
        <f t="shared" si="1"/>
        <v>6</v>
      </c>
      <c r="B27" s="470" t="s">
        <v>424</v>
      </c>
      <c r="C27" s="471" t="s">
        <v>52</v>
      </c>
      <c r="D27" s="471" t="s">
        <v>425</v>
      </c>
      <c r="E27" s="472" t="s">
        <v>426</v>
      </c>
      <c r="F27" s="473">
        <v>311</v>
      </c>
    </row>
  </sheetData>
  <phoneticPr fontId="2"/>
  <hyperlinks>
    <hyperlink ref="B2" r:id="rId1" xr:uid="{7F372601-C1AE-4418-BE11-0C4C75849A8F}"/>
    <hyperlink ref="B4" r:id="rId2" xr:uid="{F5AF0E33-5C9E-46AA-A1F6-F6EA28FBDAFC}"/>
    <hyperlink ref="B14" r:id="rId3" xr:uid="{E61F1AB2-CC5B-419B-B345-A2C6ABF1F4AA}"/>
    <hyperlink ref="B15" r:id="rId4" xr:uid="{DFC4E0AB-8ECF-4FDE-B568-4B92C6D9C6A1}"/>
    <hyperlink ref="B16" r:id="rId5" xr:uid="{7794F1AB-8B25-445E-B774-8BE16973F81B}"/>
    <hyperlink ref="B18" r:id="rId6" xr:uid="{81D3E9B8-535E-45FE-A4EF-CF21847E4C10}"/>
    <hyperlink ref="B20" r:id="rId7" xr:uid="{2B4C4149-855C-4F29-8F2E-62F8ED5BB6AA}"/>
    <hyperlink ref="B22" r:id="rId8" xr:uid="{6151ABE1-50CA-4035-B263-B5E10F8F488B}"/>
    <hyperlink ref="B23" r:id="rId9" xr:uid="{FD385A8B-46F9-41A6-8DC5-67CD82D8F6B4}"/>
    <hyperlink ref="B26" r:id="rId10" xr:uid="{E048B81B-780C-4A14-B9E2-FFED30E660FD}"/>
    <hyperlink ref="B27" r:id="rId11" xr:uid="{DCD44CC5-8A9A-4FBC-B0D3-158D6FE7B521}"/>
    <hyperlink ref="B24" r:id="rId12" xr:uid="{526DC320-D730-4975-B9BD-98630B0920C4}"/>
    <hyperlink ref="B25" r:id="rId13" xr:uid="{6083EBD4-727A-4219-91F0-F94DC279584A}"/>
  </hyperlinks>
  <pageMargins left="0.70866141732283472" right="0.70866141732283472" top="0.74803149606299213" bottom="0.74803149606299213" header="0.31496062992125984" footer="0.31496062992125984"/>
  <pageSetup paperSize="9" scale="140" orientation="portrait" r:id="rId1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092B-462E-426E-96DD-C8392E1540ED}">
  <sheetPr codeName="Sheet24">
    <pageSetUpPr fitToPage="1"/>
  </sheetPr>
  <dimension ref="A1:K53"/>
  <sheetViews>
    <sheetView view="pageBreakPreview" zoomScaleNormal="100" zoomScaleSheetLayoutView="100" workbookViewId="0">
      <selection activeCell="E24" sqref="E24"/>
    </sheetView>
  </sheetViews>
  <sheetFormatPr defaultRowHeight="18" x14ac:dyDescent="0.45"/>
  <cols>
    <col min="1" max="1" width="4" bestFit="1" customWidth="1"/>
    <col min="2" max="2" width="7" bestFit="1" customWidth="1"/>
    <col min="3" max="3" width="41.69921875" bestFit="1" customWidth="1"/>
    <col min="4" max="4" width="3.59765625" bestFit="1" customWidth="1"/>
    <col min="5" max="5" width="20.19921875" bestFit="1" customWidth="1"/>
    <col min="6" max="6" width="8.69921875" bestFit="1" customWidth="1"/>
    <col min="7" max="7" width="42.19921875" customWidth="1"/>
  </cols>
  <sheetData>
    <row r="1" spans="1:7" s="13" customFormat="1" thickBot="1" x14ac:dyDescent="0.5">
      <c r="A1" s="267"/>
      <c r="B1" s="282" t="s">
        <v>434</v>
      </c>
      <c r="C1" s="283"/>
      <c r="D1" s="283"/>
      <c r="E1" s="283"/>
      <c r="F1" s="283"/>
    </row>
    <row r="2" spans="1:7" s="15" customFormat="1" ht="34.799999999999997" x14ac:dyDescent="0.45">
      <c r="A2" s="311">
        <f>ROW()-1</f>
        <v>1</v>
      </c>
      <c r="B2" s="284" t="s">
        <v>435</v>
      </c>
      <c r="C2" s="285" t="s">
        <v>590</v>
      </c>
      <c r="D2" s="286" t="s">
        <v>52</v>
      </c>
      <c r="E2" s="65" t="s">
        <v>471</v>
      </c>
      <c r="F2" s="294" t="s">
        <v>729</v>
      </c>
      <c r="G2" s="306"/>
    </row>
    <row r="3" spans="1:7" s="15" customFormat="1" ht="34.799999999999997" x14ac:dyDescent="0.45">
      <c r="A3" s="311">
        <f t="shared" ref="A3:A53" si="0">ROW()-1</f>
        <v>2</v>
      </c>
      <c r="B3" s="287" t="s">
        <v>435</v>
      </c>
      <c r="C3" s="265" t="s">
        <v>592</v>
      </c>
      <c r="D3" s="269" t="s">
        <v>52</v>
      </c>
      <c r="E3" s="268" t="s">
        <v>470</v>
      </c>
      <c r="F3" s="295" t="s">
        <v>729</v>
      </c>
      <c r="G3" s="307"/>
    </row>
    <row r="4" spans="1:7" s="15" customFormat="1" ht="35.4" thickBot="1" x14ac:dyDescent="0.5">
      <c r="A4" s="311">
        <f t="shared" si="0"/>
        <v>3</v>
      </c>
      <c r="B4" s="288" t="s">
        <v>435</v>
      </c>
      <c r="C4" s="279" t="s">
        <v>594</v>
      </c>
      <c r="D4" s="280" t="s">
        <v>41</v>
      </c>
      <c r="E4" s="289" t="s">
        <v>475</v>
      </c>
      <c r="F4" s="296" t="s">
        <v>730</v>
      </c>
      <c r="G4" s="308"/>
    </row>
    <row r="5" spans="1:7" s="15" customFormat="1" ht="34.799999999999997" x14ac:dyDescent="0.45">
      <c r="A5" s="311">
        <f t="shared" si="0"/>
        <v>4</v>
      </c>
      <c r="B5" s="284" t="s">
        <v>437</v>
      </c>
      <c r="C5" s="275" t="s">
        <v>597</v>
      </c>
      <c r="D5" s="290">
        <v>2</v>
      </c>
      <c r="E5" s="291" t="s">
        <v>479</v>
      </c>
      <c r="F5" s="299" t="s">
        <v>708</v>
      </c>
      <c r="G5" s="306"/>
    </row>
    <row r="6" spans="1:7" s="15" customFormat="1" ht="34.799999999999997" x14ac:dyDescent="0.45">
      <c r="A6" s="311">
        <f t="shared" si="0"/>
        <v>5</v>
      </c>
      <c r="B6" s="287" t="s">
        <v>437</v>
      </c>
      <c r="C6" s="273" t="s">
        <v>597</v>
      </c>
      <c r="D6" s="267">
        <v>2</v>
      </c>
      <c r="E6" s="272" t="s">
        <v>478</v>
      </c>
      <c r="F6" s="297" t="s">
        <v>709</v>
      </c>
      <c r="G6" s="307"/>
    </row>
    <row r="7" spans="1:7" s="15" customFormat="1" ht="35.4" thickBot="1" x14ac:dyDescent="0.5">
      <c r="A7" s="311">
        <f t="shared" si="0"/>
        <v>6</v>
      </c>
      <c r="B7" s="288" t="s">
        <v>437</v>
      </c>
      <c r="C7" s="292" t="s">
        <v>597</v>
      </c>
      <c r="D7" s="280" t="s">
        <v>72</v>
      </c>
      <c r="E7" s="293" t="s">
        <v>80</v>
      </c>
      <c r="F7" s="298" t="s">
        <v>709</v>
      </c>
      <c r="G7" s="308"/>
    </row>
    <row r="8" spans="1:7" s="15" customFormat="1" ht="17.399999999999999" x14ac:dyDescent="0.45">
      <c r="A8" s="311">
        <f t="shared" si="0"/>
        <v>7</v>
      </c>
      <c r="B8" s="284" t="s">
        <v>439</v>
      </c>
      <c r="C8" s="275" t="s">
        <v>616</v>
      </c>
      <c r="D8" s="290" t="s">
        <v>41</v>
      </c>
      <c r="E8" s="291" t="s">
        <v>488</v>
      </c>
      <c r="F8" s="299" t="s">
        <v>709</v>
      </c>
      <c r="G8" s="306"/>
    </row>
    <row r="9" spans="1:7" s="15" customFormat="1" ht="17.399999999999999" x14ac:dyDescent="0.45">
      <c r="A9" s="311">
        <f t="shared" si="0"/>
        <v>8</v>
      </c>
      <c r="B9" s="287" t="s">
        <v>439</v>
      </c>
      <c r="C9" s="273" t="s">
        <v>617</v>
      </c>
      <c r="D9" s="267" t="s">
        <v>41</v>
      </c>
      <c r="E9" s="272" t="s">
        <v>489</v>
      </c>
      <c r="F9" s="297" t="s">
        <v>709</v>
      </c>
      <c r="G9" s="307"/>
    </row>
    <row r="10" spans="1:7" s="15" customFormat="1" ht="34.799999999999997" x14ac:dyDescent="0.45">
      <c r="A10" s="311">
        <f t="shared" si="0"/>
        <v>9</v>
      </c>
      <c r="B10" s="287" t="s">
        <v>440</v>
      </c>
      <c r="C10" s="273" t="s">
        <v>620</v>
      </c>
      <c r="D10" s="267" t="s">
        <v>72</v>
      </c>
      <c r="E10" s="272" t="s">
        <v>491</v>
      </c>
      <c r="F10" s="297" t="s">
        <v>709</v>
      </c>
      <c r="G10" s="307"/>
    </row>
    <row r="11" spans="1:7" s="15" customFormat="1" ht="35.4" thickBot="1" x14ac:dyDescent="0.5">
      <c r="A11" s="311">
        <f t="shared" si="0"/>
        <v>10</v>
      </c>
      <c r="B11" s="288" t="s">
        <v>440</v>
      </c>
      <c r="C11" s="292" t="s">
        <v>622</v>
      </c>
      <c r="D11" s="280" t="s">
        <v>41</v>
      </c>
      <c r="E11" s="293" t="s">
        <v>494</v>
      </c>
      <c r="F11" s="298" t="s">
        <v>708</v>
      </c>
      <c r="G11" s="308"/>
    </row>
    <row r="12" spans="1:7" s="15" customFormat="1" ht="17.399999999999999" x14ac:dyDescent="0.45">
      <c r="A12" s="297">
        <f t="shared" si="0"/>
        <v>11</v>
      </c>
      <c r="B12" s="284" t="s">
        <v>436</v>
      </c>
      <c r="C12" s="275" t="s">
        <v>602</v>
      </c>
      <c r="D12" s="276">
        <v>3</v>
      </c>
      <c r="E12" s="291" t="s">
        <v>89</v>
      </c>
      <c r="F12" s="299" t="s">
        <v>709</v>
      </c>
      <c r="G12" s="306"/>
    </row>
    <row r="13" spans="1:7" s="15" customFormat="1" ht="17.399999999999999" x14ac:dyDescent="0.45">
      <c r="A13" s="297">
        <f t="shared" si="0"/>
        <v>12</v>
      </c>
      <c r="B13" s="287" t="s">
        <v>436</v>
      </c>
      <c r="C13" s="273" t="s">
        <v>602</v>
      </c>
      <c r="D13" s="267" t="s">
        <v>41</v>
      </c>
      <c r="E13" s="272" t="s">
        <v>104</v>
      </c>
      <c r="F13" s="297" t="s">
        <v>708</v>
      </c>
      <c r="G13" s="307"/>
    </row>
    <row r="14" spans="1:7" s="15" customFormat="1" ht="17.399999999999999" x14ac:dyDescent="0.45">
      <c r="A14" s="297">
        <f t="shared" si="0"/>
        <v>13</v>
      </c>
      <c r="B14" s="287" t="s">
        <v>436</v>
      </c>
      <c r="C14" s="273" t="s">
        <v>603</v>
      </c>
      <c r="D14" s="267" t="s">
        <v>41</v>
      </c>
      <c r="E14" s="272" t="s">
        <v>92</v>
      </c>
      <c r="F14" s="297" t="s">
        <v>709</v>
      </c>
      <c r="G14" s="307"/>
    </row>
    <row r="15" spans="1:7" s="15" customFormat="1" ht="17.399999999999999" x14ac:dyDescent="0.45">
      <c r="A15" s="297">
        <f t="shared" si="0"/>
        <v>14</v>
      </c>
      <c r="B15" s="287" t="s">
        <v>436</v>
      </c>
      <c r="C15" s="273" t="s">
        <v>604</v>
      </c>
      <c r="D15" s="267">
        <v>2</v>
      </c>
      <c r="E15" s="272" t="s">
        <v>481</v>
      </c>
      <c r="F15" s="297" t="s">
        <v>709</v>
      </c>
      <c r="G15" s="307"/>
    </row>
    <row r="16" spans="1:7" s="15" customFormat="1" ht="17.399999999999999" x14ac:dyDescent="0.45">
      <c r="A16" s="297">
        <f t="shared" si="0"/>
        <v>15</v>
      </c>
      <c r="B16" s="287" t="s">
        <v>436</v>
      </c>
      <c r="C16" s="273" t="s">
        <v>605</v>
      </c>
      <c r="D16" s="267">
        <v>1</v>
      </c>
      <c r="E16" s="272" t="s">
        <v>482</v>
      </c>
      <c r="F16" s="297" t="s">
        <v>709</v>
      </c>
      <c r="G16" s="307"/>
    </row>
    <row r="17" spans="1:7" s="15" customFormat="1" ht="17.399999999999999" x14ac:dyDescent="0.45">
      <c r="A17" s="297">
        <f t="shared" si="0"/>
        <v>16</v>
      </c>
      <c r="B17" s="287" t="s">
        <v>436</v>
      </c>
      <c r="C17" s="273" t="s">
        <v>606</v>
      </c>
      <c r="D17" s="267">
        <v>1</v>
      </c>
      <c r="E17" s="272" t="s">
        <v>96</v>
      </c>
      <c r="F17" s="297" t="s">
        <v>709</v>
      </c>
      <c r="G17" s="307"/>
    </row>
    <row r="18" spans="1:7" s="15" customFormat="1" ht="17.399999999999999" x14ac:dyDescent="0.45">
      <c r="A18" s="297">
        <f t="shared" si="0"/>
        <v>17</v>
      </c>
      <c r="B18" s="287" t="s">
        <v>436</v>
      </c>
      <c r="C18" s="273" t="s">
        <v>607</v>
      </c>
      <c r="D18" s="267">
        <v>1</v>
      </c>
      <c r="E18" s="272" t="s">
        <v>483</v>
      </c>
      <c r="F18" s="297" t="s">
        <v>709</v>
      </c>
      <c r="G18" s="307"/>
    </row>
    <row r="19" spans="1:7" s="15" customFormat="1" ht="17.399999999999999" x14ac:dyDescent="0.45">
      <c r="A19" s="297">
        <f t="shared" si="0"/>
        <v>18</v>
      </c>
      <c r="B19" s="287" t="s">
        <v>436</v>
      </c>
      <c r="C19" s="273" t="s">
        <v>608</v>
      </c>
      <c r="D19" s="269" t="s">
        <v>52</v>
      </c>
      <c r="E19" s="272" t="s">
        <v>91</v>
      </c>
      <c r="F19" s="297" t="s">
        <v>708</v>
      </c>
      <c r="G19" s="307"/>
    </row>
    <row r="20" spans="1:7" s="15" customFormat="1" thickBot="1" x14ac:dyDescent="0.5">
      <c r="A20" s="297">
        <f t="shared" si="0"/>
        <v>19</v>
      </c>
      <c r="B20" s="288" t="s">
        <v>436</v>
      </c>
      <c r="C20" s="292" t="s">
        <v>609</v>
      </c>
      <c r="D20" s="280">
        <v>1</v>
      </c>
      <c r="E20" s="293" t="s">
        <v>98</v>
      </c>
      <c r="F20" s="298" t="s">
        <v>709</v>
      </c>
      <c r="G20" s="308"/>
    </row>
    <row r="21" spans="1:7" s="15" customFormat="1" ht="17.399999999999999" x14ac:dyDescent="0.45">
      <c r="A21" s="311">
        <f t="shared" si="0"/>
        <v>20</v>
      </c>
      <c r="B21" s="274" t="s">
        <v>441</v>
      </c>
      <c r="C21" s="275" t="s">
        <v>624</v>
      </c>
      <c r="D21" s="276">
        <v>3</v>
      </c>
      <c r="E21" s="43" t="s">
        <v>697</v>
      </c>
      <c r="F21" s="300" t="s">
        <v>708</v>
      </c>
      <c r="G21" s="306"/>
    </row>
    <row r="22" spans="1:7" s="15" customFormat="1" ht="17.399999999999999" x14ac:dyDescent="0.45">
      <c r="A22" s="311">
        <f t="shared" si="0"/>
        <v>21</v>
      </c>
      <c r="B22" s="277" t="s">
        <v>441</v>
      </c>
      <c r="C22" s="273" t="s">
        <v>628</v>
      </c>
      <c r="D22" s="266">
        <v>3</v>
      </c>
      <c r="E22" s="271" t="s">
        <v>698</v>
      </c>
      <c r="F22" s="301" t="s">
        <v>708</v>
      </c>
      <c r="G22" s="307"/>
    </row>
    <row r="23" spans="1:7" s="15" customFormat="1" ht="17.399999999999999" x14ac:dyDescent="0.45">
      <c r="A23" s="311">
        <f t="shared" si="0"/>
        <v>22</v>
      </c>
      <c r="B23" s="277" t="s">
        <v>441</v>
      </c>
      <c r="C23" s="273" t="s">
        <v>644</v>
      </c>
      <c r="D23" s="267">
        <v>2</v>
      </c>
      <c r="E23" s="271" t="s">
        <v>700</v>
      </c>
      <c r="F23" s="301" t="s">
        <v>708</v>
      </c>
      <c r="G23" s="307"/>
    </row>
    <row r="24" spans="1:7" s="15" customFormat="1" ht="17.399999999999999" x14ac:dyDescent="0.45">
      <c r="A24" s="311">
        <f t="shared" si="0"/>
        <v>23</v>
      </c>
      <c r="B24" s="277" t="s">
        <v>441</v>
      </c>
      <c r="C24" s="273" t="s">
        <v>632</v>
      </c>
      <c r="D24" s="267">
        <v>2</v>
      </c>
      <c r="E24" s="272" t="s">
        <v>731</v>
      </c>
      <c r="F24" s="297" t="s">
        <v>708</v>
      </c>
      <c r="G24" s="307"/>
    </row>
    <row r="25" spans="1:7" s="15" customFormat="1" ht="34.799999999999997" x14ac:dyDescent="0.45">
      <c r="A25" s="311">
        <f t="shared" si="0"/>
        <v>24</v>
      </c>
      <c r="B25" s="277" t="s">
        <v>441</v>
      </c>
      <c r="C25" s="273" t="s">
        <v>633</v>
      </c>
      <c r="D25" s="267">
        <v>2</v>
      </c>
      <c r="E25" s="271" t="s">
        <v>701</v>
      </c>
      <c r="F25" s="302" t="s">
        <v>716</v>
      </c>
      <c r="G25" s="307"/>
    </row>
    <row r="26" spans="1:7" s="15" customFormat="1" ht="34.799999999999997" x14ac:dyDescent="0.45">
      <c r="A26" s="311">
        <f t="shared" si="0"/>
        <v>25</v>
      </c>
      <c r="B26" s="277" t="s">
        <v>441</v>
      </c>
      <c r="C26" s="273" t="s">
        <v>645</v>
      </c>
      <c r="D26" s="267" t="s">
        <v>41</v>
      </c>
      <c r="E26" s="268" t="s">
        <v>728</v>
      </c>
      <c r="F26" s="295" t="s">
        <v>716</v>
      </c>
      <c r="G26" s="307"/>
    </row>
    <row r="27" spans="1:7" s="15" customFormat="1" ht="17.399999999999999" x14ac:dyDescent="0.45">
      <c r="A27" s="311">
        <f t="shared" si="0"/>
        <v>26</v>
      </c>
      <c r="B27" s="277" t="s">
        <v>202</v>
      </c>
      <c r="C27" s="273" t="s">
        <v>628</v>
      </c>
      <c r="D27" s="267">
        <v>2</v>
      </c>
      <c r="E27" s="271" t="s">
        <v>702</v>
      </c>
      <c r="F27" s="301" t="s">
        <v>708</v>
      </c>
      <c r="G27" s="307"/>
    </row>
    <row r="28" spans="1:7" s="15" customFormat="1" ht="17.399999999999999" x14ac:dyDescent="0.45">
      <c r="A28" s="311">
        <f t="shared" si="0"/>
        <v>27</v>
      </c>
      <c r="B28" s="277" t="s">
        <v>202</v>
      </c>
      <c r="C28" s="273" t="s">
        <v>643</v>
      </c>
      <c r="D28" s="267">
        <v>2</v>
      </c>
      <c r="E28" s="271" t="s">
        <v>703</v>
      </c>
      <c r="F28" s="301" t="s">
        <v>708</v>
      </c>
      <c r="G28" s="307"/>
    </row>
    <row r="29" spans="1:7" s="15" customFormat="1" ht="17.399999999999999" x14ac:dyDescent="0.45">
      <c r="A29" s="311">
        <f t="shared" si="0"/>
        <v>28</v>
      </c>
      <c r="B29" s="277" t="s">
        <v>202</v>
      </c>
      <c r="C29" s="273" t="s">
        <v>632</v>
      </c>
      <c r="D29" s="267">
        <v>2</v>
      </c>
      <c r="E29" s="271" t="s">
        <v>704</v>
      </c>
      <c r="F29" s="301" t="s">
        <v>708</v>
      </c>
      <c r="G29" s="307"/>
    </row>
    <row r="30" spans="1:7" s="15" customFormat="1" ht="34.799999999999997" x14ac:dyDescent="0.45">
      <c r="A30" s="311">
        <f t="shared" si="0"/>
        <v>29</v>
      </c>
      <c r="B30" s="277" t="s">
        <v>202</v>
      </c>
      <c r="C30" s="273" t="s">
        <v>645</v>
      </c>
      <c r="D30" s="267" t="s">
        <v>72</v>
      </c>
      <c r="E30" s="272" t="s">
        <v>705</v>
      </c>
      <c r="F30" s="303" t="s">
        <v>716</v>
      </c>
      <c r="G30" s="307"/>
    </row>
    <row r="31" spans="1:7" s="15" customFormat="1" ht="35.4" thickBot="1" x14ac:dyDescent="0.5">
      <c r="A31" s="311">
        <f t="shared" si="0"/>
        <v>30</v>
      </c>
      <c r="B31" s="278" t="s">
        <v>360</v>
      </c>
      <c r="C31" s="279" t="s">
        <v>633</v>
      </c>
      <c r="D31" s="280">
        <v>2</v>
      </c>
      <c r="E31" s="281" t="s">
        <v>706</v>
      </c>
      <c r="F31" s="304" t="s">
        <v>716</v>
      </c>
      <c r="G31" s="308"/>
    </row>
    <row r="32" spans="1:7" s="15" customFormat="1" ht="17.399999999999999" x14ac:dyDescent="0.45">
      <c r="A32" s="297">
        <f t="shared" si="0"/>
        <v>31</v>
      </c>
      <c r="B32" s="274" t="s">
        <v>441</v>
      </c>
      <c r="C32" s="275" t="s">
        <v>635</v>
      </c>
      <c r="D32" s="290">
        <v>1</v>
      </c>
      <c r="E32" s="291" t="s">
        <v>501</v>
      </c>
      <c r="F32" s="299" t="s">
        <v>709</v>
      </c>
      <c r="G32" s="306"/>
    </row>
    <row r="33" spans="1:11" s="15" customFormat="1" ht="17.399999999999999" x14ac:dyDescent="0.45">
      <c r="A33" s="297">
        <f t="shared" si="0"/>
        <v>32</v>
      </c>
      <c r="B33" s="277" t="s">
        <v>441</v>
      </c>
      <c r="C33" s="273" t="s">
        <v>637</v>
      </c>
      <c r="D33" s="267">
        <v>1</v>
      </c>
      <c r="E33" s="272" t="s">
        <v>197</v>
      </c>
      <c r="F33" s="297"/>
      <c r="G33" s="307"/>
    </row>
    <row r="34" spans="1:11" s="15" customFormat="1" x14ac:dyDescent="0.45">
      <c r="A34" s="297">
        <f t="shared" si="0"/>
        <v>33</v>
      </c>
      <c r="B34" s="277" t="s">
        <v>360</v>
      </c>
      <c r="C34" s="265" t="s">
        <v>637</v>
      </c>
      <c r="D34" s="267">
        <v>1</v>
      </c>
      <c r="E34" s="272" t="s">
        <v>566</v>
      </c>
      <c r="F34" s="297"/>
      <c r="G34" s="307"/>
      <c r="K34"/>
    </row>
    <row r="35" spans="1:11" s="15" customFormat="1" ht="17.399999999999999" x14ac:dyDescent="0.45">
      <c r="A35" s="297">
        <f t="shared" si="0"/>
        <v>34</v>
      </c>
      <c r="B35" s="277" t="s">
        <v>441</v>
      </c>
      <c r="C35" s="273" t="s">
        <v>639</v>
      </c>
      <c r="D35" s="267">
        <v>1</v>
      </c>
      <c r="E35" s="272" t="s">
        <v>195</v>
      </c>
      <c r="F35" s="297"/>
      <c r="G35" s="307"/>
    </row>
    <row r="36" spans="1:11" s="15" customFormat="1" ht="17.399999999999999" x14ac:dyDescent="0.45">
      <c r="A36" s="297">
        <f t="shared" si="0"/>
        <v>35</v>
      </c>
      <c r="B36" s="277" t="s">
        <v>360</v>
      </c>
      <c r="C36" s="265" t="s">
        <v>638</v>
      </c>
      <c r="D36" s="267">
        <v>1</v>
      </c>
      <c r="E36" s="272" t="s">
        <v>562</v>
      </c>
      <c r="F36" s="297"/>
      <c r="G36" s="307"/>
    </row>
    <row r="37" spans="1:11" s="15" customFormat="1" ht="17.399999999999999" x14ac:dyDescent="0.45">
      <c r="A37" s="297">
        <f t="shared" si="0"/>
        <v>36</v>
      </c>
      <c r="B37" s="277" t="s">
        <v>360</v>
      </c>
      <c r="C37" s="265" t="s">
        <v>638</v>
      </c>
      <c r="D37" s="270" t="s">
        <v>200</v>
      </c>
      <c r="E37" s="272" t="s">
        <v>575</v>
      </c>
      <c r="F37" s="305"/>
      <c r="G37" s="307"/>
    </row>
    <row r="38" spans="1:11" s="15" customFormat="1" ht="17.399999999999999" x14ac:dyDescent="0.45">
      <c r="A38" s="297">
        <f t="shared" si="0"/>
        <v>37</v>
      </c>
      <c r="B38" s="277" t="s">
        <v>202</v>
      </c>
      <c r="C38" s="273" t="s">
        <v>658</v>
      </c>
      <c r="D38" s="269" t="s">
        <v>52</v>
      </c>
      <c r="E38" s="272" t="s">
        <v>523</v>
      </c>
      <c r="F38" s="297" t="s">
        <v>724</v>
      </c>
      <c r="G38" s="307"/>
    </row>
    <row r="39" spans="1:11" s="15" customFormat="1" ht="17.399999999999999" x14ac:dyDescent="0.45">
      <c r="A39" s="297">
        <f t="shared" si="0"/>
        <v>38</v>
      </c>
      <c r="B39" s="277" t="s">
        <v>202</v>
      </c>
      <c r="C39" s="273" t="s">
        <v>642</v>
      </c>
      <c r="D39" s="267">
        <v>1</v>
      </c>
      <c r="E39" s="272" t="s">
        <v>511</v>
      </c>
      <c r="F39" s="297" t="s">
        <v>708</v>
      </c>
      <c r="G39" s="307"/>
    </row>
    <row r="40" spans="1:11" s="15" customFormat="1" ht="17.399999999999999" x14ac:dyDescent="0.45">
      <c r="A40" s="297">
        <f t="shared" si="0"/>
        <v>39</v>
      </c>
      <c r="B40" s="277" t="s">
        <v>202</v>
      </c>
      <c r="C40" s="273" t="s">
        <v>663</v>
      </c>
      <c r="D40" s="269" t="s">
        <v>52</v>
      </c>
      <c r="E40" s="272" t="s">
        <v>526</v>
      </c>
      <c r="F40" s="297" t="s">
        <v>708</v>
      </c>
      <c r="G40" s="307"/>
    </row>
    <row r="41" spans="1:11" s="15" customFormat="1" ht="17.399999999999999" x14ac:dyDescent="0.45">
      <c r="A41" s="297">
        <f t="shared" si="0"/>
        <v>40</v>
      </c>
      <c r="B41" s="277" t="s">
        <v>202</v>
      </c>
      <c r="C41" s="273"/>
      <c r="D41" s="269" t="s">
        <v>52</v>
      </c>
      <c r="E41" s="272" t="s">
        <v>527</v>
      </c>
      <c r="F41" s="297" t="s">
        <v>708</v>
      </c>
      <c r="G41" s="307"/>
    </row>
    <row r="42" spans="1:11" s="15" customFormat="1" ht="17.399999999999999" x14ac:dyDescent="0.45">
      <c r="A42" s="297">
        <f t="shared" si="0"/>
        <v>41</v>
      </c>
      <c r="B42" s="277" t="s">
        <v>202</v>
      </c>
      <c r="C42" s="273" t="s">
        <v>645</v>
      </c>
      <c r="D42" s="267" t="s">
        <v>41</v>
      </c>
      <c r="E42" s="272" t="s">
        <v>519</v>
      </c>
      <c r="F42" s="297" t="s">
        <v>708</v>
      </c>
      <c r="G42" s="307"/>
    </row>
    <row r="43" spans="1:11" s="15" customFormat="1" ht="17.399999999999999" x14ac:dyDescent="0.45">
      <c r="A43" s="311">
        <f t="shared" si="0"/>
        <v>42</v>
      </c>
      <c r="B43" s="277" t="s">
        <v>202</v>
      </c>
      <c r="C43" s="273" t="s">
        <v>671</v>
      </c>
      <c r="D43" s="267" t="s">
        <v>72</v>
      </c>
      <c r="E43" s="272" t="s">
        <v>256</v>
      </c>
      <c r="F43" s="297" t="s">
        <v>708</v>
      </c>
      <c r="G43" s="307"/>
    </row>
    <row r="44" spans="1:11" s="15" customFormat="1" ht="17.399999999999999" x14ac:dyDescent="0.45">
      <c r="A44" s="311">
        <f t="shared" si="0"/>
        <v>43</v>
      </c>
      <c r="B44" s="277" t="s">
        <v>202</v>
      </c>
      <c r="C44" s="273" t="s">
        <v>661</v>
      </c>
      <c r="D44" s="269" t="s">
        <v>52</v>
      </c>
      <c r="E44" s="272" t="s">
        <v>242</v>
      </c>
      <c r="F44" s="297"/>
      <c r="G44" s="307"/>
    </row>
    <row r="45" spans="1:11" s="15" customFormat="1" ht="17.399999999999999" x14ac:dyDescent="0.45">
      <c r="A45" s="311">
        <f t="shared" si="0"/>
        <v>44</v>
      </c>
      <c r="B45" s="277" t="s">
        <v>289</v>
      </c>
      <c r="C45" s="265" t="s">
        <v>673</v>
      </c>
      <c r="D45" s="269" t="s">
        <v>52</v>
      </c>
      <c r="E45" s="272" t="s">
        <v>540</v>
      </c>
      <c r="F45" s="297" t="s">
        <v>708</v>
      </c>
      <c r="G45" s="307"/>
    </row>
    <row r="46" spans="1:11" s="15" customFormat="1" ht="17.399999999999999" x14ac:dyDescent="0.45">
      <c r="A46" s="311">
        <f t="shared" si="0"/>
        <v>45</v>
      </c>
      <c r="B46" s="277" t="s">
        <v>289</v>
      </c>
      <c r="C46" s="265" t="s">
        <v>653</v>
      </c>
      <c r="D46" s="267" t="s">
        <v>72</v>
      </c>
      <c r="E46" s="272" t="s">
        <v>318</v>
      </c>
      <c r="F46" s="297" t="s">
        <v>708</v>
      </c>
      <c r="G46" s="307"/>
    </row>
    <row r="47" spans="1:11" s="15" customFormat="1" ht="17.399999999999999" x14ac:dyDescent="0.45">
      <c r="A47" s="311">
        <f t="shared" si="0"/>
        <v>46</v>
      </c>
      <c r="B47" s="277" t="s">
        <v>289</v>
      </c>
      <c r="C47" s="265" t="s">
        <v>674</v>
      </c>
      <c r="D47" s="267" t="s">
        <v>41</v>
      </c>
      <c r="E47" s="272" t="s">
        <v>319</v>
      </c>
      <c r="F47" s="297" t="s">
        <v>708</v>
      </c>
      <c r="G47" s="307"/>
    </row>
    <row r="48" spans="1:11" s="15" customFormat="1" ht="34.799999999999997" x14ac:dyDescent="0.45">
      <c r="A48" s="311">
        <f t="shared" si="0"/>
        <v>47</v>
      </c>
      <c r="B48" s="277" t="s">
        <v>324</v>
      </c>
      <c r="C48" s="265" t="s">
        <v>686</v>
      </c>
      <c r="D48" s="267" t="s">
        <v>41</v>
      </c>
      <c r="E48" s="272" t="s">
        <v>548</v>
      </c>
      <c r="F48" s="303" t="s">
        <v>725</v>
      </c>
      <c r="G48" s="307"/>
    </row>
    <row r="49" spans="1:7" s="15" customFormat="1" ht="17.399999999999999" x14ac:dyDescent="0.45">
      <c r="A49" s="311">
        <f t="shared" si="0"/>
        <v>48</v>
      </c>
      <c r="B49" s="277" t="s">
        <v>324</v>
      </c>
      <c r="C49" s="265"/>
      <c r="D49" s="267" t="s">
        <v>41</v>
      </c>
      <c r="E49" s="272" t="s">
        <v>552</v>
      </c>
      <c r="F49" s="297"/>
      <c r="G49" s="307"/>
    </row>
    <row r="50" spans="1:7" s="15" customFormat="1" ht="17.399999999999999" x14ac:dyDescent="0.45">
      <c r="A50" s="311">
        <f t="shared" si="0"/>
        <v>49</v>
      </c>
      <c r="B50" s="277" t="s">
        <v>360</v>
      </c>
      <c r="C50" s="265" t="s">
        <v>680</v>
      </c>
      <c r="D50" s="267" t="s">
        <v>41</v>
      </c>
      <c r="E50" s="272" t="s">
        <v>570</v>
      </c>
      <c r="F50" s="297" t="s">
        <v>724</v>
      </c>
      <c r="G50" s="307"/>
    </row>
    <row r="51" spans="1:7" s="15" customFormat="1" ht="17.399999999999999" x14ac:dyDescent="0.45">
      <c r="A51" s="311">
        <f t="shared" si="0"/>
        <v>50</v>
      </c>
      <c r="B51" s="277" t="s">
        <v>202</v>
      </c>
      <c r="C51" s="273"/>
      <c r="D51" s="270" t="s">
        <v>200</v>
      </c>
      <c r="E51" s="272" t="s">
        <v>532</v>
      </c>
      <c r="F51" s="305"/>
      <c r="G51" s="307"/>
    </row>
    <row r="52" spans="1:7" s="15" customFormat="1" ht="17.399999999999999" x14ac:dyDescent="0.45">
      <c r="A52" s="311">
        <f t="shared" si="0"/>
        <v>51</v>
      </c>
      <c r="B52" s="277" t="s">
        <v>202</v>
      </c>
      <c r="C52" s="273" t="s">
        <v>655</v>
      </c>
      <c r="D52" s="270" t="s">
        <v>200</v>
      </c>
      <c r="E52" s="272" t="s">
        <v>534</v>
      </c>
      <c r="F52" s="305"/>
      <c r="G52" s="307"/>
    </row>
    <row r="53" spans="1:7" s="15" customFormat="1" thickBot="1" x14ac:dyDescent="0.5">
      <c r="A53" s="311">
        <f t="shared" si="0"/>
        <v>52</v>
      </c>
      <c r="B53" s="278" t="s">
        <v>202</v>
      </c>
      <c r="C53" s="292" t="s">
        <v>662</v>
      </c>
      <c r="D53" s="309" t="s">
        <v>200</v>
      </c>
      <c r="E53" s="293" t="s">
        <v>533</v>
      </c>
      <c r="F53" s="310"/>
      <c r="G53" s="308"/>
    </row>
  </sheetData>
  <phoneticPr fontId="2"/>
  <pageMargins left="0.7" right="0.7" top="0.75" bottom="0.75" header="0.3" footer="0.3"/>
  <pageSetup paperSize="9" scale="94" fitToHeight="0" orientation="landscape" r:id="rId1"/>
  <rowBreaks count="2" manualBreakCount="2">
    <brk id="20" max="6" man="1"/>
    <brk id="3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10</vt:i4>
      </vt:variant>
    </vt:vector>
  </HeadingPairs>
  <TitlesOfParts>
    <vt:vector size="34" baseType="lpstr">
      <vt:lpstr>拳系マスタ</vt:lpstr>
      <vt:lpstr>階級マスタ</vt:lpstr>
      <vt:lpstr>分類マスタ</vt:lpstr>
      <vt:lpstr>技リスト</vt:lpstr>
      <vt:lpstr>特昇対策</vt:lpstr>
      <vt:lpstr>剛法</vt:lpstr>
      <vt:lpstr>柔法</vt:lpstr>
      <vt:lpstr>階級別まとめ</vt:lpstr>
      <vt:lpstr>まとめ</vt:lpstr>
      <vt:lpstr>仁王拳</vt:lpstr>
      <vt:lpstr>三合拳～地王拳</vt:lpstr>
      <vt:lpstr>三合拳</vt:lpstr>
      <vt:lpstr>天王拳</vt:lpstr>
      <vt:lpstr>白蓮拳</vt:lpstr>
      <vt:lpstr>地王拳</vt:lpstr>
      <vt:lpstr>鶴立拳</vt:lpstr>
      <vt:lpstr>龍王拳</vt:lpstr>
      <vt:lpstr>龍華拳</vt:lpstr>
      <vt:lpstr>五花拳</vt:lpstr>
      <vt:lpstr>金剛拳</vt:lpstr>
      <vt:lpstr>羅漢拳</vt:lpstr>
      <vt:lpstr>不安リスト３</vt:lpstr>
      <vt:lpstr>不安リスト２</vt:lpstr>
      <vt:lpstr>不安リスト</vt:lpstr>
      <vt:lpstr>まとめ!Print_Area</vt:lpstr>
      <vt:lpstr>階級別まとめ!Print_Area</vt:lpstr>
      <vt:lpstr>'三合拳～地王拳'!Print_Area</vt:lpstr>
      <vt:lpstr>特昇対策!Print_Area</vt:lpstr>
      <vt:lpstr>不安リスト!Print_Area</vt:lpstr>
      <vt:lpstr>まとめ!Print_Titles</vt:lpstr>
      <vt:lpstr>階級別まとめ!Print_Titles</vt:lpstr>
      <vt:lpstr>剛法!Print_Titles</vt:lpstr>
      <vt:lpstr>羅漢拳!Print_Titles</vt:lpstr>
      <vt:lpstr>龍華拳!Print_Titles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誠也 中内</dc:creator>
  <cp:keywords/>
  <dc:description/>
  <cp:lastModifiedBy>誠也 中内</cp:lastModifiedBy>
  <cp:revision/>
  <cp:lastPrinted>2026-07-06T08:02:30Z</cp:lastPrinted>
  <dcterms:created xsi:type="dcterms:W3CDTF">2025-12-08T12:10:11Z</dcterms:created>
  <dcterms:modified xsi:type="dcterms:W3CDTF">2026-07-27T06:07:58Z</dcterms:modified>
  <cp:category/>
  <cp:contentStatus/>
</cp:coreProperties>
</file>